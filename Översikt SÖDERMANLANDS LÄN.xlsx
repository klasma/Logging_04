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45736</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45736</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45736</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45736</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45736</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45736</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45736</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45736</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45736</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45736</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45736</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45736</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45736</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45736</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45736</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45736</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45736</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45736</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45736</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45736</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45736</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45736</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45736</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45736</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45736</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45736</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45736</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45736</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45736</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45736</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45736</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45736</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45736</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45736</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45736</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45736</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45736</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45736</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45736</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45736</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45736</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45736</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45736</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45736</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45736</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45736</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45736</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45736</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45736</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45736</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45736</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45736</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45736</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45736</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45736</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45736</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45736</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45736</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45736</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45736</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45736</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45736</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45736</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45736</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45736</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45736</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45736</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45736</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45736</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45736</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45736</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45736</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45736</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45736</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45736</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45736</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45736</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45736</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45736</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45736</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45736</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45736</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45736</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45736</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45736</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45736</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45736</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45736</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45736</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45736</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45736</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45736</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45736</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45736</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45736</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45736</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45736</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45736</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45736</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45736</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45736</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45736</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45736</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45736</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45736</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45736</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45736</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45736</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45736</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45736</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45736</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45736</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45736</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45736</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45736</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45736</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45736</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45736</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45736</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45736</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45736</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45736</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45736</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45736</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45736</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45736</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45736</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45736</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45736</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45736</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45736</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45736</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45736</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45736</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45736</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45736</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45736</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45736</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45736</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45736</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45736</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45736</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45736</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45736</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45736</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45736</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45736</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45736</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45736</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45736</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45736</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45736</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45736</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45736</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45736</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45736</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45736</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45736</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45736</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45736</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45736</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45736</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45736</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45736</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45736</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45736</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45736</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45736</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45736</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45736</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45736</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45736</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45736</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45736</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45736</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45736</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45736</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45736</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45736</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45736</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45736</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45736</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45736</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45736</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45736</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45736</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45736</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45736</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45736</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45736</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45736</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45736</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45736</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45736</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45736</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45736</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45736</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45736</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45736</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45736</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45736</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45736</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45736</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45736</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45736</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45736</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45736</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45736</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4436-2025</t>
        </is>
      </c>
      <c r="B222" s="1" t="n">
        <v>45686</v>
      </c>
      <c r="C222" s="1" t="n">
        <v>45736</v>
      </c>
      <c r="D222" t="inlineStr">
        <is>
          <t>SÖDERMANLANDS LÄN</t>
        </is>
      </c>
      <c r="E222" t="inlineStr">
        <is>
          <t>ESKILSTUNA</t>
        </is>
      </c>
      <c r="G222" t="n">
        <v>2.1</v>
      </c>
      <c r="H222" t="n">
        <v>1</v>
      </c>
      <c r="I222" t="n">
        <v>1</v>
      </c>
      <c r="J222" t="n">
        <v>0</v>
      </c>
      <c r="K222" t="n">
        <v>0</v>
      </c>
      <c r="L222" t="n">
        <v>1</v>
      </c>
      <c r="M222" t="n">
        <v>0</v>
      </c>
      <c r="N222" t="n">
        <v>0</v>
      </c>
      <c r="O222" t="n">
        <v>1</v>
      </c>
      <c r="P222" t="n">
        <v>1</v>
      </c>
      <c r="Q222" t="n">
        <v>3</v>
      </c>
      <c r="R222" s="2" t="inlineStr">
        <is>
          <t>Ask
Vårärt
Blåsippa</t>
        </is>
      </c>
      <c r="S222">
        <f>HYPERLINK("https://klasma.github.io/Logging_0484/artfynd/A 4436-2025 artfynd.xlsx", "A 4436-2025")</f>
        <v/>
      </c>
      <c r="T222">
        <f>HYPERLINK("https://klasma.github.io/Logging_0484/kartor/A 4436-2025 karta.png", "A 4436-2025")</f>
        <v/>
      </c>
      <c r="V222">
        <f>HYPERLINK("https://klasma.github.io/Logging_0484/klagomål/A 4436-2025 FSC-klagomål.docx", "A 4436-2025")</f>
        <v/>
      </c>
      <c r="W222">
        <f>HYPERLINK("https://klasma.github.io/Logging_0484/klagomålsmail/A 4436-2025 FSC-klagomål mail.docx", "A 4436-2025")</f>
        <v/>
      </c>
      <c r="X222">
        <f>HYPERLINK("https://klasma.github.io/Logging_0484/tillsyn/A 4436-2025 tillsynsbegäran.docx", "A 4436-2025")</f>
        <v/>
      </c>
      <c r="Y222">
        <f>HYPERLINK("https://klasma.github.io/Logging_0484/tillsynsmail/A 4436-2025 tillsynsbegäran mail.docx", "A 4436-2025")</f>
        <v/>
      </c>
    </row>
    <row r="223" ht="15" customHeight="1">
      <c r="A223" t="inlineStr">
        <is>
          <t>A 7923-2025</t>
        </is>
      </c>
      <c r="B223" s="1" t="n">
        <v>45707</v>
      </c>
      <c r="C223" s="1" t="n">
        <v>45736</v>
      </c>
      <c r="D223" t="inlineStr">
        <is>
          <t>SÖDERMANLANDS LÄN</t>
        </is>
      </c>
      <c r="E223" t="inlineStr">
        <is>
          <t>STRÄNGNÄS</t>
        </is>
      </c>
      <c r="G223" t="n">
        <v>11.5</v>
      </c>
      <c r="H223" t="n">
        <v>1</v>
      </c>
      <c r="I223" t="n">
        <v>1</v>
      </c>
      <c r="J223" t="n">
        <v>2</v>
      </c>
      <c r="K223" t="n">
        <v>0</v>
      </c>
      <c r="L223" t="n">
        <v>0</v>
      </c>
      <c r="M223" t="n">
        <v>0</v>
      </c>
      <c r="N223" t="n">
        <v>0</v>
      </c>
      <c r="O223" t="n">
        <v>2</v>
      </c>
      <c r="P223" t="n">
        <v>0</v>
      </c>
      <c r="Q223" t="n">
        <v>3</v>
      </c>
      <c r="R223" s="2" t="inlineStr">
        <is>
          <t>Spillkråka
Ullticka
Mindre märgborre</t>
        </is>
      </c>
      <c r="S223">
        <f>HYPERLINK("https://klasma.github.io/Logging_0486/artfynd/A 7923-2025 artfynd.xlsx", "A 7923-2025")</f>
        <v/>
      </c>
      <c r="T223">
        <f>HYPERLINK("https://klasma.github.io/Logging_0486/kartor/A 7923-2025 karta.png", "A 7923-2025")</f>
        <v/>
      </c>
      <c r="V223">
        <f>HYPERLINK("https://klasma.github.io/Logging_0486/klagomål/A 7923-2025 FSC-klagomål.docx", "A 7923-2025")</f>
        <v/>
      </c>
      <c r="W223">
        <f>HYPERLINK("https://klasma.github.io/Logging_0486/klagomålsmail/A 7923-2025 FSC-klagomål mail.docx", "A 7923-2025")</f>
        <v/>
      </c>
      <c r="X223">
        <f>HYPERLINK("https://klasma.github.io/Logging_0486/tillsyn/A 7923-2025 tillsynsbegäran.docx", "A 7923-2025")</f>
        <v/>
      </c>
      <c r="Y223">
        <f>HYPERLINK("https://klasma.github.io/Logging_0486/tillsynsmail/A 7923-2025 tillsynsbegäran mail.docx", "A 7923-2025")</f>
        <v/>
      </c>
      <c r="Z223">
        <f>HYPERLINK("https://klasma.github.io/Logging_0486/fåglar/A 7923-2025 prioriterade fågelarter.docx", "A 7923-2025")</f>
        <v/>
      </c>
    </row>
    <row r="224" ht="15" customHeight="1">
      <c r="A224" t="inlineStr">
        <is>
          <t>A 9495-2025</t>
        </is>
      </c>
      <c r="B224" s="1" t="n">
        <v>45715</v>
      </c>
      <c r="C224" s="1" t="n">
        <v>45736</v>
      </c>
      <c r="D224" t="inlineStr">
        <is>
          <t>SÖDERMANLANDS LÄN</t>
        </is>
      </c>
      <c r="E224" t="inlineStr">
        <is>
          <t>ESKILSTUNA</t>
        </is>
      </c>
      <c r="G224" t="n">
        <v>9.6</v>
      </c>
      <c r="H224" t="n">
        <v>0</v>
      </c>
      <c r="I224" t="n">
        <v>0</v>
      </c>
      <c r="J224" t="n">
        <v>2</v>
      </c>
      <c r="K224" t="n">
        <v>0</v>
      </c>
      <c r="L224" t="n">
        <v>1</v>
      </c>
      <c r="M224" t="n">
        <v>0</v>
      </c>
      <c r="N224" t="n">
        <v>0</v>
      </c>
      <c r="O224" t="n">
        <v>3</v>
      </c>
      <c r="P224" t="n">
        <v>1</v>
      </c>
      <c r="Q224" t="n">
        <v>3</v>
      </c>
      <c r="R224" s="2" t="inlineStr">
        <is>
          <t>Ask
Svinrot
Ängsskära</t>
        </is>
      </c>
      <c r="S224">
        <f>HYPERLINK("https://klasma.github.io/Logging_0484/artfynd/A 9495-2025 artfynd.xlsx", "A 9495-2025")</f>
        <v/>
      </c>
      <c r="T224">
        <f>HYPERLINK("https://klasma.github.io/Logging_0484/kartor/A 9495-2025 karta.png", "A 9495-2025")</f>
        <v/>
      </c>
      <c r="V224">
        <f>HYPERLINK("https://klasma.github.io/Logging_0484/klagomål/A 9495-2025 FSC-klagomål.docx", "A 9495-2025")</f>
        <v/>
      </c>
      <c r="W224">
        <f>HYPERLINK("https://klasma.github.io/Logging_0484/klagomålsmail/A 9495-2025 FSC-klagomål mail.docx", "A 9495-2025")</f>
        <v/>
      </c>
      <c r="X224">
        <f>HYPERLINK("https://klasma.github.io/Logging_0484/tillsyn/A 9495-2025 tillsynsbegäran.docx", "A 9495-2025")</f>
        <v/>
      </c>
      <c r="Y224">
        <f>HYPERLINK("https://klasma.github.io/Logging_0484/tillsynsmail/A 9495-2025 tillsynsbegäran mail.docx", "A 9495-2025")</f>
        <v/>
      </c>
    </row>
    <row r="225" ht="15" customHeight="1">
      <c r="A225" t="inlineStr">
        <is>
          <t>A 21540-2019</t>
        </is>
      </c>
      <c r="B225" s="1" t="n">
        <v>43580</v>
      </c>
      <c r="C225" s="1" t="n">
        <v>45736</v>
      </c>
      <c r="D225" t="inlineStr">
        <is>
          <t>SÖDERMANLANDS LÄN</t>
        </is>
      </c>
      <c r="E225" t="inlineStr">
        <is>
          <t>KATRINEHOLM</t>
        </is>
      </c>
      <c r="F225" t="inlineStr">
        <is>
          <t>Kommuner</t>
        </is>
      </c>
      <c r="G225" t="n">
        <v>2.8</v>
      </c>
      <c r="H225" t="n">
        <v>0</v>
      </c>
      <c r="I225" t="n">
        <v>0</v>
      </c>
      <c r="J225" t="n">
        <v>2</v>
      </c>
      <c r="K225" t="n">
        <v>0</v>
      </c>
      <c r="L225" t="n">
        <v>0</v>
      </c>
      <c r="M225" t="n">
        <v>0</v>
      </c>
      <c r="N225" t="n">
        <v>0</v>
      </c>
      <c r="O225" t="n">
        <v>2</v>
      </c>
      <c r="P225" t="n">
        <v>0</v>
      </c>
      <c r="Q225" t="n">
        <v>2</v>
      </c>
      <c r="R225" s="2" t="inlineStr">
        <is>
          <t>Svedjenäva
Svinrot</t>
        </is>
      </c>
      <c r="S225">
        <f>HYPERLINK("https://klasma.github.io/Logging_0483/artfynd/A 21540-2019 artfynd.xlsx", "A 21540-2019")</f>
        <v/>
      </c>
      <c r="T225">
        <f>HYPERLINK("https://klasma.github.io/Logging_0483/kartor/A 21540-2019 karta.png", "A 21540-2019")</f>
        <v/>
      </c>
      <c r="V225">
        <f>HYPERLINK("https://klasma.github.io/Logging_0483/klagomål/A 21540-2019 FSC-klagomål.docx", "A 21540-2019")</f>
        <v/>
      </c>
      <c r="W225">
        <f>HYPERLINK("https://klasma.github.io/Logging_0483/klagomålsmail/A 21540-2019 FSC-klagomål mail.docx", "A 21540-2019")</f>
        <v/>
      </c>
      <c r="X225">
        <f>HYPERLINK("https://klasma.github.io/Logging_0483/tillsyn/A 21540-2019 tillsynsbegäran.docx", "A 21540-2019")</f>
        <v/>
      </c>
      <c r="Y225">
        <f>HYPERLINK("https://klasma.github.io/Logging_0483/tillsynsmail/A 21540-2019 tillsynsbegäran mail.docx", "A 21540-2019")</f>
        <v/>
      </c>
    </row>
    <row r="226" ht="15" customHeight="1">
      <c r="A226" t="inlineStr">
        <is>
          <t>A 28642-2019</t>
        </is>
      </c>
      <c r="B226" s="1" t="n">
        <v>43614</v>
      </c>
      <c r="C226" s="1" t="n">
        <v>45736</v>
      </c>
      <c r="D226" t="inlineStr">
        <is>
          <t>SÖDERMANLANDS LÄN</t>
        </is>
      </c>
      <c r="E226" t="inlineStr">
        <is>
          <t>NYKÖPING</t>
        </is>
      </c>
      <c r="G226" t="n">
        <v>17</v>
      </c>
      <c r="H226" t="n">
        <v>1</v>
      </c>
      <c r="I226" t="n">
        <v>0</v>
      </c>
      <c r="J226" t="n">
        <v>1</v>
      </c>
      <c r="K226" t="n">
        <v>1</v>
      </c>
      <c r="L226" t="n">
        <v>0</v>
      </c>
      <c r="M226" t="n">
        <v>0</v>
      </c>
      <c r="N226" t="n">
        <v>0</v>
      </c>
      <c r="O226" t="n">
        <v>2</v>
      </c>
      <c r="P226" t="n">
        <v>1</v>
      </c>
      <c r="Q226" t="n">
        <v>2</v>
      </c>
      <c r="R226" s="2" t="inlineStr">
        <is>
          <t>Bombmurkla
Granticka</t>
        </is>
      </c>
      <c r="S226">
        <f>HYPERLINK("https://klasma.github.io/Logging_0480/artfynd/A 28642-2019 artfynd.xlsx", "A 28642-2019")</f>
        <v/>
      </c>
      <c r="T226">
        <f>HYPERLINK("https://klasma.github.io/Logging_0480/kartor/A 28642-2019 karta.png", "A 28642-2019")</f>
        <v/>
      </c>
      <c r="V226">
        <f>HYPERLINK("https://klasma.github.io/Logging_0480/klagomål/A 28642-2019 FSC-klagomål.docx", "A 28642-2019")</f>
        <v/>
      </c>
      <c r="W226">
        <f>HYPERLINK("https://klasma.github.io/Logging_0480/klagomålsmail/A 28642-2019 FSC-klagomål mail.docx", "A 28642-2019")</f>
        <v/>
      </c>
      <c r="X226">
        <f>HYPERLINK("https://klasma.github.io/Logging_0480/tillsyn/A 28642-2019 tillsynsbegäran.docx", "A 28642-2019")</f>
        <v/>
      </c>
      <c r="Y226">
        <f>HYPERLINK("https://klasma.github.io/Logging_0480/tillsynsmail/A 28642-2019 tillsynsbegäran mail.docx", "A 28642-2019")</f>
        <v/>
      </c>
    </row>
    <row r="227" ht="15" customHeight="1">
      <c r="A227" t="inlineStr">
        <is>
          <t>A 32879-2019</t>
        </is>
      </c>
      <c r="B227" s="1" t="n">
        <v>43643</v>
      </c>
      <c r="C227" s="1" t="n">
        <v>45736</v>
      </c>
      <c r="D227" t="inlineStr">
        <is>
          <t>SÖDERMANLANDS LÄN</t>
        </is>
      </c>
      <c r="E227" t="inlineStr">
        <is>
          <t>FLEN</t>
        </is>
      </c>
      <c r="G227" t="n">
        <v>22.2</v>
      </c>
      <c r="H227" t="n">
        <v>1</v>
      </c>
      <c r="I227" t="n">
        <v>0</v>
      </c>
      <c r="J227" t="n">
        <v>1</v>
      </c>
      <c r="K227" t="n">
        <v>0</v>
      </c>
      <c r="L227" t="n">
        <v>0</v>
      </c>
      <c r="M227" t="n">
        <v>0</v>
      </c>
      <c r="N227" t="n">
        <v>0</v>
      </c>
      <c r="O227" t="n">
        <v>1</v>
      </c>
      <c r="P227" t="n">
        <v>0</v>
      </c>
      <c r="Q227" t="n">
        <v>2</v>
      </c>
      <c r="R227" s="2" t="inlineStr">
        <is>
          <t>Vårstarr
Gullviva</t>
        </is>
      </c>
      <c r="S227">
        <f>HYPERLINK("https://klasma.github.io/Logging_0482/artfynd/A 32879-2019 artfynd.xlsx", "A 32879-2019")</f>
        <v/>
      </c>
      <c r="T227">
        <f>HYPERLINK("https://klasma.github.io/Logging_0482/kartor/A 32879-2019 karta.png", "A 32879-2019")</f>
        <v/>
      </c>
      <c r="V227">
        <f>HYPERLINK("https://klasma.github.io/Logging_0482/klagomål/A 32879-2019 FSC-klagomål.docx", "A 32879-2019")</f>
        <v/>
      </c>
      <c r="W227">
        <f>HYPERLINK("https://klasma.github.io/Logging_0482/klagomålsmail/A 32879-2019 FSC-klagomål mail.docx", "A 32879-2019")</f>
        <v/>
      </c>
      <c r="X227">
        <f>HYPERLINK("https://klasma.github.io/Logging_0482/tillsyn/A 32879-2019 tillsynsbegäran.docx", "A 32879-2019")</f>
        <v/>
      </c>
      <c r="Y227">
        <f>HYPERLINK("https://klasma.github.io/Logging_0482/tillsynsmail/A 32879-2019 tillsynsbegäran mail.docx", "A 32879-2019")</f>
        <v/>
      </c>
    </row>
    <row r="228" ht="15" customHeight="1">
      <c r="A228" t="inlineStr">
        <is>
          <t>A 32889-2019</t>
        </is>
      </c>
      <c r="B228" s="1" t="n">
        <v>43643</v>
      </c>
      <c r="C228" s="1" t="n">
        <v>45736</v>
      </c>
      <c r="D228" t="inlineStr">
        <is>
          <t>SÖDERMANLANDS LÄN</t>
        </is>
      </c>
      <c r="E228" t="inlineStr">
        <is>
          <t>FLEN</t>
        </is>
      </c>
      <c r="G228" t="n">
        <v>16</v>
      </c>
      <c r="H228" t="n">
        <v>0</v>
      </c>
      <c r="I228" t="n">
        <v>0</v>
      </c>
      <c r="J228" t="n">
        <v>2</v>
      </c>
      <c r="K228" t="n">
        <v>0</v>
      </c>
      <c r="L228" t="n">
        <v>0</v>
      </c>
      <c r="M228" t="n">
        <v>0</v>
      </c>
      <c r="N228" t="n">
        <v>0</v>
      </c>
      <c r="O228" t="n">
        <v>2</v>
      </c>
      <c r="P228" t="n">
        <v>0</v>
      </c>
      <c r="Q228" t="n">
        <v>2</v>
      </c>
      <c r="R228" s="2" t="inlineStr">
        <is>
          <t>Gullklöver
Svinrot</t>
        </is>
      </c>
      <c r="S228">
        <f>HYPERLINK("https://klasma.github.io/Logging_0482/artfynd/A 32889-2019 artfynd.xlsx", "A 32889-2019")</f>
        <v/>
      </c>
      <c r="T228">
        <f>HYPERLINK("https://klasma.github.io/Logging_0482/kartor/A 32889-2019 karta.png", "A 32889-2019")</f>
        <v/>
      </c>
      <c r="V228">
        <f>HYPERLINK("https://klasma.github.io/Logging_0482/klagomål/A 32889-2019 FSC-klagomål.docx", "A 32889-2019")</f>
        <v/>
      </c>
      <c r="W228">
        <f>HYPERLINK("https://klasma.github.io/Logging_0482/klagomålsmail/A 32889-2019 FSC-klagomål mail.docx", "A 32889-2019")</f>
        <v/>
      </c>
      <c r="X228">
        <f>HYPERLINK("https://klasma.github.io/Logging_0482/tillsyn/A 32889-2019 tillsynsbegäran.docx", "A 32889-2019")</f>
        <v/>
      </c>
      <c r="Y228">
        <f>HYPERLINK("https://klasma.github.io/Logging_0482/tillsynsmail/A 32889-2019 tillsynsbegäran mail.docx", "A 32889-2019")</f>
        <v/>
      </c>
    </row>
    <row r="229" ht="15" customHeight="1">
      <c r="A229" t="inlineStr">
        <is>
          <t>A 37714-2019</t>
        </is>
      </c>
      <c r="B229" s="1" t="n">
        <v>43682</v>
      </c>
      <c r="C229" s="1" t="n">
        <v>45736</v>
      </c>
      <c r="D229" t="inlineStr">
        <is>
          <t>SÖDERMANLANDS LÄN</t>
        </is>
      </c>
      <c r="E229" t="inlineStr">
        <is>
          <t>GNESTA</t>
        </is>
      </c>
      <c r="G229" t="n">
        <v>7.5</v>
      </c>
      <c r="H229" t="n">
        <v>2</v>
      </c>
      <c r="I229" t="n">
        <v>0</v>
      </c>
      <c r="J229" t="n">
        <v>0</v>
      </c>
      <c r="K229" t="n">
        <v>0</v>
      </c>
      <c r="L229" t="n">
        <v>0</v>
      </c>
      <c r="M229" t="n">
        <v>0</v>
      </c>
      <c r="N229" t="n">
        <v>0</v>
      </c>
      <c r="O229" t="n">
        <v>0</v>
      </c>
      <c r="P229" t="n">
        <v>0</v>
      </c>
      <c r="Q229" t="n">
        <v>2</v>
      </c>
      <c r="R229" s="2" t="inlineStr">
        <is>
          <t>Revlummer
Äkta lopplummer</t>
        </is>
      </c>
      <c r="S229">
        <f>HYPERLINK("https://klasma.github.io/Logging_0461/artfynd/A 37714-2019 artfynd.xlsx", "A 37714-2019")</f>
        <v/>
      </c>
      <c r="T229">
        <f>HYPERLINK("https://klasma.github.io/Logging_0461/kartor/A 37714-2019 karta.png", "A 37714-2019")</f>
        <v/>
      </c>
      <c r="V229">
        <f>HYPERLINK("https://klasma.github.io/Logging_0461/klagomål/A 37714-2019 FSC-klagomål.docx", "A 37714-2019")</f>
        <v/>
      </c>
      <c r="W229">
        <f>HYPERLINK("https://klasma.github.io/Logging_0461/klagomålsmail/A 37714-2019 FSC-klagomål mail.docx", "A 37714-2019")</f>
        <v/>
      </c>
      <c r="X229">
        <f>HYPERLINK("https://klasma.github.io/Logging_0461/tillsyn/A 37714-2019 tillsynsbegäran.docx", "A 37714-2019")</f>
        <v/>
      </c>
      <c r="Y229">
        <f>HYPERLINK("https://klasma.github.io/Logging_0461/tillsynsmail/A 37714-2019 tillsynsbegäran mail.docx", "A 37714-2019")</f>
        <v/>
      </c>
    </row>
    <row r="230" ht="15" customHeight="1">
      <c r="A230" t="inlineStr">
        <is>
          <t>A 41919-2019</t>
        </is>
      </c>
      <c r="B230" s="1" t="n">
        <v>43700</v>
      </c>
      <c r="C230" s="1" t="n">
        <v>45736</v>
      </c>
      <c r="D230" t="inlineStr">
        <is>
          <t>SÖDERMANLANDS LÄN</t>
        </is>
      </c>
      <c r="E230" t="inlineStr">
        <is>
          <t>TROSA</t>
        </is>
      </c>
      <c r="F230" t="inlineStr">
        <is>
          <t>Övriga Aktiebolag</t>
        </is>
      </c>
      <c r="G230" t="n">
        <v>6.8</v>
      </c>
      <c r="H230" t="n">
        <v>2</v>
      </c>
      <c r="I230" t="n">
        <v>0</v>
      </c>
      <c r="J230" t="n">
        <v>1</v>
      </c>
      <c r="K230" t="n">
        <v>1</v>
      </c>
      <c r="L230" t="n">
        <v>0</v>
      </c>
      <c r="M230" t="n">
        <v>0</v>
      </c>
      <c r="N230" t="n">
        <v>0</v>
      </c>
      <c r="O230" t="n">
        <v>2</v>
      </c>
      <c r="P230" t="n">
        <v>1</v>
      </c>
      <c r="Q230" t="n">
        <v>2</v>
      </c>
      <c r="R230" s="2" t="inlineStr">
        <is>
          <t>Knärot
Spillkråka</t>
        </is>
      </c>
      <c r="S230">
        <f>HYPERLINK("https://klasma.github.io/Logging_0488/artfynd/A 41919-2019 artfynd.xlsx", "A 41919-2019")</f>
        <v/>
      </c>
      <c r="T230">
        <f>HYPERLINK("https://klasma.github.io/Logging_0488/kartor/A 41919-2019 karta.png", "A 41919-2019")</f>
        <v/>
      </c>
      <c r="U230">
        <f>HYPERLINK("https://klasma.github.io/Logging_0488/knärot/A 41919-2019 karta knärot.png", "A 41919-2019")</f>
        <v/>
      </c>
      <c r="V230">
        <f>HYPERLINK("https://klasma.github.io/Logging_0488/klagomål/A 41919-2019 FSC-klagomål.docx", "A 41919-2019")</f>
        <v/>
      </c>
      <c r="W230">
        <f>HYPERLINK("https://klasma.github.io/Logging_0488/klagomålsmail/A 41919-2019 FSC-klagomål mail.docx", "A 41919-2019")</f>
        <v/>
      </c>
      <c r="X230">
        <f>HYPERLINK("https://klasma.github.io/Logging_0488/tillsyn/A 41919-2019 tillsynsbegäran.docx", "A 41919-2019")</f>
        <v/>
      </c>
      <c r="Y230">
        <f>HYPERLINK("https://klasma.github.io/Logging_0488/tillsynsmail/A 41919-2019 tillsynsbegäran mail.docx", "A 41919-2019")</f>
        <v/>
      </c>
      <c r="Z230">
        <f>HYPERLINK("https://klasma.github.io/Logging_0488/fåglar/A 41919-2019 prioriterade fågelarter.docx", "A 41919-2019")</f>
        <v/>
      </c>
    </row>
    <row r="231" ht="15" customHeight="1">
      <c r="A231" t="inlineStr">
        <is>
          <t>A 43373-2019</t>
        </is>
      </c>
      <c r="B231" s="1" t="n">
        <v>43703</v>
      </c>
      <c r="C231" s="1" t="n">
        <v>45736</v>
      </c>
      <c r="D231" t="inlineStr">
        <is>
          <t>SÖDERMANLANDS LÄN</t>
        </is>
      </c>
      <c r="E231" t="inlineStr">
        <is>
          <t>FLEN</t>
        </is>
      </c>
      <c r="G231" t="n">
        <v>10.5</v>
      </c>
      <c r="H231" t="n">
        <v>2</v>
      </c>
      <c r="I231" t="n">
        <v>0</v>
      </c>
      <c r="J231" t="n">
        <v>0</v>
      </c>
      <c r="K231" t="n">
        <v>0</v>
      </c>
      <c r="L231" t="n">
        <v>0</v>
      </c>
      <c r="M231" t="n">
        <v>0</v>
      </c>
      <c r="N231" t="n">
        <v>0</v>
      </c>
      <c r="O231" t="n">
        <v>0</v>
      </c>
      <c r="P231" t="n">
        <v>0</v>
      </c>
      <c r="Q231" t="n">
        <v>2</v>
      </c>
      <c r="R231" s="2" t="inlineStr">
        <is>
          <t>Blåsippa
Gullviva</t>
        </is>
      </c>
      <c r="S231">
        <f>HYPERLINK("https://klasma.github.io/Logging_0482/artfynd/A 43373-2019 artfynd.xlsx", "A 43373-2019")</f>
        <v/>
      </c>
      <c r="T231">
        <f>HYPERLINK("https://klasma.github.io/Logging_0482/kartor/A 43373-2019 karta.png", "A 43373-2019")</f>
        <v/>
      </c>
      <c r="V231">
        <f>HYPERLINK("https://klasma.github.io/Logging_0482/klagomål/A 43373-2019 FSC-klagomål.docx", "A 43373-2019")</f>
        <v/>
      </c>
      <c r="W231">
        <f>HYPERLINK("https://klasma.github.io/Logging_0482/klagomålsmail/A 43373-2019 FSC-klagomål mail.docx", "A 43373-2019")</f>
        <v/>
      </c>
      <c r="X231">
        <f>HYPERLINK("https://klasma.github.io/Logging_0482/tillsyn/A 43373-2019 tillsynsbegäran.docx", "A 43373-2019")</f>
        <v/>
      </c>
      <c r="Y231">
        <f>HYPERLINK("https://klasma.github.io/Logging_0482/tillsynsmail/A 43373-2019 tillsynsbegäran mail.docx", "A 43373-2019")</f>
        <v/>
      </c>
    </row>
    <row r="232" ht="15" customHeight="1">
      <c r="A232" t="inlineStr">
        <is>
          <t>A 42501-2019</t>
        </is>
      </c>
      <c r="B232" s="1" t="n">
        <v>43704</v>
      </c>
      <c r="C232" s="1" t="n">
        <v>45736</v>
      </c>
      <c r="D232" t="inlineStr">
        <is>
          <t>SÖDERMANLANDS LÄN</t>
        </is>
      </c>
      <c r="E232" t="inlineStr">
        <is>
          <t>NYKÖPING</t>
        </is>
      </c>
      <c r="G232" t="n">
        <v>1.6</v>
      </c>
      <c r="H232" t="n">
        <v>2</v>
      </c>
      <c r="I232" t="n">
        <v>0</v>
      </c>
      <c r="J232" t="n">
        <v>2</v>
      </c>
      <c r="K232" t="n">
        <v>0</v>
      </c>
      <c r="L232" t="n">
        <v>0</v>
      </c>
      <c r="M232" t="n">
        <v>0</v>
      </c>
      <c r="N232" t="n">
        <v>0</v>
      </c>
      <c r="O232" t="n">
        <v>2</v>
      </c>
      <c r="P232" t="n">
        <v>0</v>
      </c>
      <c r="Q232" t="n">
        <v>2</v>
      </c>
      <c r="R232" s="2" t="inlineStr">
        <is>
          <t>Entita
Talltita</t>
        </is>
      </c>
      <c r="S232">
        <f>HYPERLINK("https://klasma.github.io/Logging_0480/artfynd/A 42501-2019 artfynd.xlsx", "A 42501-2019")</f>
        <v/>
      </c>
      <c r="T232">
        <f>HYPERLINK("https://klasma.github.io/Logging_0480/kartor/A 42501-2019 karta.png", "A 42501-2019")</f>
        <v/>
      </c>
      <c r="V232">
        <f>HYPERLINK("https://klasma.github.io/Logging_0480/klagomål/A 42501-2019 FSC-klagomål.docx", "A 42501-2019")</f>
        <v/>
      </c>
      <c r="W232">
        <f>HYPERLINK("https://klasma.github.io/Logging_0480/klagomålsmail/A 42501-2019 FSC-klagomål mail.docx", "A 42501-2019")</f>
        <v/>
      </c>
      <c r="X232">
        <f>HYPERLINK("https://klasma.github.io/Logging_0480/tillsyn/A 42501-2019 tillsynsbegäran.docx", "A 42501-2019")</f>
        <v/>
      </c>
      <c r="Y232">
        <f>HYPERLINK("https://klasma.github.io/Logging_0480/tillsynsmail/A 42501-2019 tillsynsbegäran mail.docx", "A 42501-2019")</f>
        <v/>
      </c>
      <c r="Z232">
        <f>HYPERLINK("https://klasma.github.io/Logging_0480/fåglar/A 42501-2019 prioriterade fågelarter.docx", "A 42501-2019")</f>
        <v/>
      </c>
    </row>
    <row r="233" ht="15" customHeight="1">
      <c r="A233" t="inlineStr">
        <is>
          <t>A 43401-2019</t>
        </is>
      </c>
      <c r="B233" s="1" t="n">
        <v>43706</v>
      </c>
      <c r="C233" s="1" t="n">
        <v>45736</v>
      </c>
      <c r="D233" t="inlineStr">
        <is>
          <t>SÖDERMANLANDS LÄN</t>
        </is>
      </c>
      <c r="E233" t="inlineStr">
        <is>
          <t>ESKILSTUNA</t>
        </is>
      </c>
      <c r="G233" t="n">
        <v>22.9</v>
      </c>
      <c r="H233" t="n">
        <v>1</v>
      </c>
      <c r="I233" t="n">
        <v>2</v>
      </c>
      <c r="J233" t="n">
        <v>0</v>
      </c>
      <c r="K233" t="n">
        <v>0</v>
      </c>
      <c r="L233" t="n">
        <v>0</v>
      </c>
      <c r="M233" t="n">
        <v>0</v>
      </c>
      <c r="N233" t="n">
        <v>0</v>
      </c>
      <c r="O233" t="n">
        <v>0</v>
      </c>
      <c r="P233" t="n">
        <v>0</v>
      </c>
      <c r="Q233" t="n">
        <v>2</v>
      </c>
      <c r="R233" s="2" t="inlineStr">
        <is>
          <t>Grön sköldmossa
Stubbspretmossa</t>
        </is>
      </c>
      <c r="S233">
        <f>HYPERLINK("https://klasma.github.io/Logging_0484/artfynd/A 43401-2019 artfynd.xlsx", "A 43401-2019")</f>
        <v/>
      </c>
      <c r="T233">
        <f>HYPERLINK("https://klasma.github.io/Logging_0484/kartor/A 43401-2019 karta.png", "A 43401-2019")</f>
        <v/>
      </c>
      <c r="V233">
        <f>HYPERLINK("https://klasma.github.io/Logging_0484/klagomål/A 43401-2019 FSC-klagomål.docx", "A 43401-2019")</f>
        <v/>
      </c>
      <c r="W233">
        <f>HYPERLINK("https://klasma.github.io/Logging_0484/klagomålsmail/A 43401-2019 FSC-klagomål mail.docx", "A 43401-2019")</f>
        <v/>
      </c>
      <c r="X233">
        <f>HYPERLINK("https://klasma.github.io/Logging_0484/tillsyn/A 43401-2019 tillsynsbegäran.docx", "A 43401-2019")</f>
        <v/>
      </c>
      <c r="Y233">
        <f>HYPERLINK("https://klasma.github.io/Logging_0484/tillsynsmail/A 43401-2019 tillsynsbegäran mail.docx", "A 43401-2019")</f>
        <v/>
      </c>
    </row>
    <row r="234" ht="15" customHeight="1">
      <c r="A234" t="inlineStr">
        <is>
          <t>A 51654-2019</t>
        </is>
      </c>
      <c r="B234" s="1" t="n">
        <v>43740</v>
      </c>
      <c r="C234" s="1" t="n">
        <v>45736</v>
      </c>
      <c r="D234" t="inlineStr">
        <is>
          <t>SÖDERMANLANDS LÄN</t>
        </is>
      </c>
      <c r="E234" t="inlineStr">
        <is>
          <t>ESKILSTUNA</t>
        </is>
      </c>
      <c r="G234" t="n">
        <v>7.9</v>
      </c>
      <c r="H234" t="n">
        <v>2</v>
      </c>
      <c r="I234" t="n">
        <v>0</v>
      </c>
      <c r="J234" t="n">
        <v>2</v>
      </c>
      <c r="K234" t="n">
        <v>0</v>
      </c>
      <c r="L234" t="n">
        <v>0</v>
      </c>
      <c r="M234" t="n">
        <v>0</v>
      </c>
      <c r="N234" t="n">
        <v>0</v>
      </c>
      <c r="O234" t="n">
        <v>2</v>
      </c>
      <c r="P234" t="n">
        <v>0</v>
      </c>
      <c r="Q234" t="n">
        <v>2</v>
      </c>
      <c r="R234" s="2" t="inlineStr">
        <is>
          <t>Spillkråka
Svartvit flugsnappare</t>
        </is>
      </c>
      <c r="S234">
        <f>HYPERLINK("https://klasma.github.io/Logging_0484/artfynd/A 51654-2019 artfynd.xlsx", "A 51654-2019")</f>
        <v/>
      </c>
      <c r="T234">
        <f>HYPERLINK("https://klasma.github.io/Logging_0484/kartor/A 51654-2019 karta.png", "A 51654-2019")</f>
        <v/>
      </c>
      <c r="V234">
        <f>HYPERLINK("https://klasma.github.io/Logging_0484/klagomål/A 51654-2019 FSC-klagomål.docx", "A 51654-2019")</f>
        <v/>
      </c>
      <c r="W234">
        <f>HYPERLINK("https://klasma.github.io/Logging_0484/klagomålsmail/A 51654-2019 FSC-klagomål mail.docx", "A 51654-2019")</f>
        <v/>
      </c>
      <c r="X234">
        <f>HYPERLINK("https://klasma.github.io/Logging_0484/tillsyn/A 51654-2019 tillsynsbegäran.docx", "A 51654-2019")</f>
        <v/>
      </c>
      <c r="Y234">
        <f>HYPERLINK("https://klasma.github.io/Logging_0484/tillsynsmail/A 51654-2019 tillsynsbegäran mail.docx", "A 51654-2019")</f>
        <v/>
      </c>
      <c r="Z234">
        <f>HYPERLINK("https://klasma.github.io/Logging_0484/fåglar/A 51654-2019 prioriterade fågelarter.docx", "A 51654-2019")</f>
        <v/>
      </c>
    </row>
    <row r="235" ht="15" customHeight="1">
      <c r="A235" t="inlineStr">
        <is>
          <t>A 59598-2019</t>
        </is>
      </c>
      <c r="B235" s="1" t="n">
        <v>43776</v>
      </c>
      <c r="C235" s="1" t="n">
        <v>45736</v>
      </c>
      <c r="D235" t="inlineStr">
        <is>
          <t>SÖDERMANLANDS LÄN</t>
        </is>
      </c>
      <c r="E235" t="inlineStr">
        <is>
          <t>NYKÖPING</t>
        </is>
      </c>
      <c r="G235" t="n">
        <v>5.5</v>
      </c>
      <c r="H235" t="n">
        <v>0</v>
      </c>
      <c r="I235" t="n">
        <v>0</v>
      </c>
      <c r="J235" t="n">
        <v>2</v>
      </c>
      <c r="K235" t="n">
        <v>0</v>
      </c>
      <c r="L235" t="n">
        <v>0</v>
      </c>
      <c r="M235" t="n">
        <v>0</v>
      </c>
      <c r="N235" t="n">
        <v>0</v>
      </c>
      <c r="O235" t="n">
        <v>2</v>
      </c>
      <c r="P235" t="n">
        <v>0</v>
      </c>
      <c r="Q235" t="n">
        <v>2</v>
      </c>
      <c r="R235" s="2" t="inlineStr">
        <is>
          <t>Gullklöver
Mindre bastardsvärmare</t>
        </is>
      </c>
      <c r="S235">
        <f>HYPERLINK("https://klasma.github.io/Logging_0480/artfynd/A 59598-2019 artfynd.xlsx", "A 59598-2019")</f>
        <v/>
      </c>
      <c r="T235">
        <f>HYPERLINK("https://klasma.github.io/Logging_0480/kartor/A 59598-2019 karta.png", "A 59598-2019")</f>
        <v/>
      </c>
      <c r="V235">
        <f>HYPERLINK("https://klasma.github.io/Logging_0480/klagomål/A 59598-2019 FSC-klagomål.docx", "A 59598-2019")</f>
        <v/>
      </c>
      <c r="W235">
        <f>HYPERLINK("https://klasma.github.io/Logging_0480/klagomålsmail/A 59598-2019 FSC-klagomål mail.docx", "A 59598-2019")</f>
        <v/>
      </c>
      <c r="X235">
        <f>HYPERLINK("https://klasma.github.io/Logging_0480/tillsyn/A 59598-2019 tillsynsbegäran.docx", "A 59598-2019")</f>
        <v/>
      </c>
      <c r="Y235">
        <f>HYPERLINK("https://klasma.github.io/Logging_0480/tillsynsmail/A 59598-2019 tillsynsbegäran mail.docx", "A 59598-2019")</f>
        <v/>
      </c>
    </row>
    <row r="236" ht="15" customHeight="1">
      <c r="A236" t="inlineStr">
        <is>
          <t>A 60748-2019</t>
        </is>
      </c>
      <c r="B236" s="1" t="n">
        <v>43781</v>
      </c>
      <c r="C236" s="1" t="n">
        <v>45736</v>
      </c>
      <c r="D236" t="inlineStr">
        <is>
          <t>SÖDERMANLANDS LÄN</t>
        </is>
      </c>
      <c r="E236" t="inlineStr">
        <is>
          <t>TROSA</t>
        </is>
      </c>
      <c r="G236" t="n">
        <v>6.2</v>
      </c>
      <c r="H236" t="n">
        <v>0</v>
      </c>
      <c r="I236" t="n">
        <v>0</v>
      </c>
      <c r="J236" t="n">
        <v>1</v>
      </c>
      <c r="K236" t="n">
        <v>0</v>
      </c>
      <c r="L236" t="n">
        <v>1</v>
      </c>
      <c r="M236" t="n">
        <v>0</v>
      </c>
      <c r="N236" t="n">
        <v>0</v>
      </c>
      <c r="O236" t="n">
        <v>2</v>
      </c>
      <c r="P236" t="n">
        <v>1</v>
      </c>
      <c r="Q236" t="n">
        <v>2</v>
      </c>
      <c r="R236" s="2" t="inlineStr">
        <is>
          <t>Fältgentiana
Gullklöver</t>
        </is>
      </c>
      <c r="S236">
        <f>HYPERLINK("https://klasma.github.io/Logging_0488/artfynd/A 60748-2019 artfynd.xlsx", "A 60748-2019")</f>
        <v/>
      </c>
      <c r="T236">
        <f>HYPERLINK("https://klasma.github.io/Logging_0488/kartor/A 60748-2019 karta.png", "A 60748-2019")</f>
        <v/>
      </c>
      <c r="V236">
        <f>HYPERLINK("https://klasma.github.io/Logging_0488/klagomål/A 60748-2019 FSC-klagomål.docx", "A 60748-2019")</f>
        <v/>
      </c>
      <c r="W236">
        <f>HYPERLINK("https://klasma.github.io/Logging_0488/klagomålsmail/A 60748-2019 FSC-klagomål mail.docx", "A 60748-2019")</f>
        <v/>
      </c>
      <c r="X236">
        <f>HYPERLINK("https://klasma.github.io/Logging_0488/tillsyn/A 60748-2019 tillsynsbegäran.docx", "A 60748-2019")</f>
        <v/>
      </c>
      <c r="Y236">
        <f>HYPERLINK("https://klasma.github.io/Logging_0488/tillsynsmail/A 60748-2019 tillsynsbegäran mail.docx", "A 60748-2019")</f>
        <v/>
      </c>
    </row>
    <row r="237" ht="15" customHeight="1">
      <c r="A237" t="inlineStr">
        <is>
          <t>A 64948-2019</t>
        </is>
      </c>
      <c r="B237" s="1" t="n">
        <v>43801</v>
      </c>
      <c r="C237" s="1" t="n">
        <v>45736</v>
      </c>
      <c r="D237" t="inlineStr">
        <is>
          <t>SÖDERMANLANDS LÄN</t>
        </is>
      </c>
      <c r="E237" t="inlineStr">
        <is>
          <t>NYKÖPING</t>
        </is>
      </c>
      <c r="F237" t="inlineStr">
        <is>
          <t>Kommuner</t>
        </is>
      </c>
      <c r="G237" t="n">
        <v>17</v>
      </c>
      <c r="H237" t="n">
        <v>0</v>
      </c>
      <c r="I237" t="n">
        <v>0</v>
      </c>
      <c r="J237" t="n">
        <v>0</v>
      </c>
      <c r="K237" t="n">
        <v>1</v>
      </c>
      <c r="L237" t="n">
        <v>1</v>
      </c>
      <c r="M237" t="n">
        <v>0</v>
      </c>
      <c r="N237" t="n">
        <v>0</v>
      </c>
      <c r="O237" t="n">
        <v>2</v>
      </c>
      <c r="P237" t="n">
        <v>2</v>
      </c>
      <c r="Q237" t="n">
        <v>2</v>
      </c>
      <c r="R237" s="2" t="inlineStr">
        <is>
          <t>Ask
Aspfjädermossa</t>
        </is>
      </c>
      <c r="S237">
        <f>HYPERLINK("https://klasma.github.io/Logging_0480/artfynd/A 64948-2019 artfynd.xlsx", "A 64948-2019")</f>
        <v/>
      </c>
      <c r="T237">
        <f>HYPERLINK("https://klasma.github.io/Logging_0480/kartor/A 64948-2019 karta.png", "A 64948-2019")</f>
        <v/>
      </c>
      <c r="V237">
        <f>HYPERLINK("https://klasma.github.io/Logging_0480/klagomål/A 64948-2019 FSC-klagomål.docx", "A 64948-2019")</f>
        <v/>
      </c>
      <c r="W237">
        <f>HYPERLINK("https://klasma.github.io/Logging_0480/klagomålsmail/A 64948-2019 FSC-klagomål mail.docx", "A 64948-2019")</f>
        <v/>
      </c>
      <c r="X237">
        <f>HYPERLINK("https://klasma.github.io/Logging_0480/tillsyn/A 64948-2019 tillsynsbegäran.docx", "A 64948-2019")</f>
        <v/>
      </c>
      <c r="Y237">
        <f>HYPERLINK("https://klasma.github.io/Logging_0480/tillsynsmail/A 64948-2019 tillsynsbegäran mail.docx", "A 64948-2019")</f>
        <v/>
      </c>
    </row>
    <row r="238" ht="15" customHeight="1">
      <c r="A238" t="inlineStr">
        <is>
          <t>A 69146-2019</t>
        </is>
      </c>
      <c r="B238" s="1" t="n">
        <v>43815</v>
      </c>
      <c r="C238" s="1" t="n">
        <v>45736</v>
      </c>
      <c r="D238" t="inlineStr">
        <is>
          <t>SÖDERMANLANDS LÄN</t>
        </is>
      </c>
      <c r="E238" t="inlineStr">
        <is>
          <t>ESKILSTUNA</t>
        </is>
      </c>
      <c r="G238" t="n">
        <v>19.3</v>
      </c>
      <c r="H238" t="n">
        <v>2</v>
      </c>
      <c r="I238" t="n">
        <v>0</v>
      </c>
      <c r="J238" t="n">
        <v>2</v>
      </c>
      <c r="K238" t="n">
        <v>0</v>
      </c>
      <c r="L238" t="n">
        <v>0</v>
      </c>
      <c r="M238" t="n">
        <v>0</v>
      </c>
      <c r="N238" t="n">
        <v>0</v>
      </c>
      <c r="O238" t="n">
        <v>2</v>
      </c>
      <c r="P238" t="n">
        <v>0</v>
      </c>
      <c r="Q238" t="n">
        <v>2</v>
      </c>
      <c r="R238" s="2" t="inlineStr">
        <is>
          <t>Järpe
Kungsörn</t>
        </is>
      </c>
      <c r="S238">
        <f>HYPERLINK("https://klasma.github.io/Logging_0484/artfynd/A 69146-2019 artfynd.xlsx", "A 69146-2019")</f>
        <v/>
      </c>
      <c r="T238">
        <f>HYPERLINK("https://klasma.github.io/Logging_0484/kartor/A 69146-2019 karta.png", "A 69146-2019")</f>
        <v/>
      </c>
      <c r="V238">
        <f>HYPERLINK("https://klasma.github.io/Logging_0484/klagomål/A 69146-2019 FSC-klagomål.docx", "A 69146-2019")</f>
        <v/>
      </c>
      <c r="W238">
        <f>HYPERLINK("https://klasma.github.io/Logging_0484/klagomålsmail/A 69146-2019 FSC-klagomål mail.docx", "A 69146-2019")</f>
        <v/>
      </c>
      <c r="X238">
        <f>HYPERLINK("https://klasma.github.io/Logging_0484/tillsyn/A 69146-2019 tillsynsbegäran.docx", "A 69146-2019")</f>
        <v/>
      </c>
      <c r="Y238">
        <f>HYPERLINK("https://klasma.github.io/Logging_0484/tillsynsmail/A 69146-2019 tillsynsbegäran mail.docx", "A 69146-2019")</f>
        <v/>
      </c>
      <c r="Z238">
        <f>HYPERLINK("https://klasma.github.io/Logging_0484/fåglar/A 69146-2019 prioriterade fågelarter.docx", "A 69146-2019")</f>
        <v/>
      </c>
    </row>
    <row r="239" ht="15" customHeight="1">
      <c r="A239" t="inlineStr">
        <is>
          <t>A 3683-2020</t>
        </is>
      </c>
      <c r="B239" s="1" t="n">
        <v>43845</v>
      </c>
      <c r="C239" s="1" t="n">
        <v>45736</v>
      </c>
      <c r="D239" t="inlineStr">
        <is>
          <t>SÖDERMANLANDS LÄN</t>
        </is>
      </c>
      <c r="E239" t="inlineStr">
        <is>
          <t>ESKILSTUNA</t>
        </is>
      </c>
      <c r="G239" t="n">
        <v>10.3</v>
      </c>
      <c r="H239" t="n">
        <v>2</v>
      </c>
      <c r="I239" t="n">
        <v>0</v>
      </c>
      <c r="J239" t="n">
        <v>0</v>
      </c>
      <c r="K239" t="n">
        <v>1</v>
      </c>
      <c r="L239" t="n">
        <v>0</v>
      </c>
      <c r="M239" t="n">
        <v>0</v>
      </c>
      <c r="N239" t="n">
        <v>0</v>
      </c>
      <c r="O239" t="n">
        <v>1</v>
      </c>
      <c r="P239" t="n">
        <v>1</v>
      </c>
      <c r="Q239" t="n">
        <v>2</v>
      </c>
      <c r="R239" s="2" t="inlineStr">
        <is>
          <t>Knärot
Blåsippa</t>
        </is>
      </c>
      <c r="S239">
        <f>HYPERLINK("https://klasma.github.io/Logging_0484/artfynd/A 3683-2020 artfynd.xlsx", "A 3683-2020")</f>
        <v/>
      </c>
      <c r="T239">
        <f>HYPERLINK("https://klasma.github.io/Logging_0484/kartor/A 3683-2020 karta.png", "A 3683-2020")</f>
        <v/>
      </c>
      <c r="U239">
        <f>HYPERLINK("https://klasma.github.io/Logging_0484/knärot/A 3683-2020 karta knärot.png", "A 3683-2020")</f>
        <v/>
      </c>
      <c r="V239">
        <f>HYPERLINK("https://klasma.github.io/Logging_0484/klagomål/A 3683-2020 FSC-klagomål.docx", "A 3683-2020")</f>
        <v/>
      </c>
      <c r="W239">
        <f>HYPERLINK("https://klasma.github.io/Logging_0484/klagomålsmail/A 3683-2020 FSC-klagomål mail.docx", "A 3683-2020")</f>
        <v/>
      </c>
      <c r="X239">
        <f>HYPERLINK("https://klasma.github.io/Logging_0484/tillsyn/A 3683-2020 tillsynsbegäran.docx", "A 3683-2020")</f>
        <v/>
      </c>
      <c r="Y239">
        <f>HYPERLINK("https://klasma.github.io/Logging_0484/tillsynsmail/A 3683-2020 tillsynsbegäran mail.docx", "A 3683-2020")</f>
        <v/>
      </c>
    </row>
    <row r="240" ht="15" customHeight="1">
      <c r="A240" t="inlineStr">
        <is>
          <t>A 5581-2020</t>
        </is>
      </c>
      <c r="B240" s="1" t="n">
        <v>43861</v>
      </c>
      <c r="C240" s="1" t="n">
        <v>45736</v>
      </c>
      <c r="D240" t="inlineStr">
        <is>
          <t>SÖDERMANLANDS LÄN</t>
        </is>
      </c>
      <c r="E240" t="inlineStr">
        <is>
          <t>ESKILSTUNA</t>
        </is>
      </c>
      <c r="G240" t="n">
        <v>7.1</v>
      </c>
      <c r="H240" t="n">
        <v>0</v>
      </c>
      <c r="I240" t="n">
        <v>2</v>
      </c>
      <c r="J240" t="n">
        <v>0</v>
      </c>
      <c r="K240" t="n">
        <v>0</v>
      </c>
      <c r="L240" t="n">
        <v>0</v>
      </c>
      <c r="M240" t="n">
        <v>0</v>
      </c>
      <c r="N240" t="n">
        <v>0</v>
      </c>
      <c r="O240" t="n">
        <v>0</v>
      </c>
      <c r="P240" t="n">
        <v>0</v>
      </c>
      <c r="Q240" t="n">
        <v>2</v>
      </c>
      <c r="R240" s="2" t="inlineStr">
        <is>
          <t>Rävticka
Vedticka</t>
        </is>
      </c>
      <c r="S240">
        <f>HYPERLINK("https://klasma.github.io/Logging_0484/artfynd/A 5581-2020 artfynd.xlsx", "A 5581-2020")</f>
        <v/>
      </c>
      <c r="T240">
        <f>HYPERLINK("https://klasma.github.io/Logging_0484/kartor/A 5581-2020 karta.png", "A 5581-2020")</f>
        <v/>
      </c>
      <c r="V240">
        <f>HYPERLINK("https://klasma.github.io/Logging_0484/klagomål/A 5581-2020 FSC-klagomål.docx", "A 5581-2020")</f>
        <v/>
      </c>
      <c r="W240">
        <f>HYPERLINK("https://klasma.github.io/Logging_0484/klagomålsmail/A 5581-2020 FSC-klagomål mail.docx", "A 5581-2020")</f>
        <v/>
      </c>
      <c r="X240">
        <f>HYPERLINK("https://klasma.github.io/Logging_0484/tillsyn/A 5581-2020 tillsynsbegäran.docx", "A 5581-2020")</f>
        <v/>
      </c>
      <c r="Y240">
        <f>HYPERLINK("https://klasma.github.io/Logging_0484/tillsynsmail/A 5581-2020 tillsynsbegäran mail.docx", "A 5581-2020")</f>
        <v/>
      </c>
    </row>
    <row r="241" ht="15" customHeight="1">
      <c r="A241" t="inlineStr">
        <is>
          <t>A 21940-2020</t>
        </is>
      </c>
      <c r="B241" s="1" t="n">
        <v>43958</v>
      </c>
      <c r="C241" s="1" t="n">
        <v>45736</v>
      </c>
      <c r="D241" t="inlineStr">
        <is>
          <t>SÖDERMANLANDS LÄN</t>
        </is>
      </c>
      <c r="E241" t="inlineStr">
        <is>
          <t>TROSA</t>
        </is>
      </c>
      <c r="G241" t="n">
        <v>2.7</v>
      </c>
      <c r="H241" t="n">
        <v>1</v>
      </c>
      <c r="I241" t="n">
        <v>0</v>
      </c>
      <c r="J241" t="n">
        <v>1</v>
      </c>
      <c r="K241" t="n">
        <v>0</v>
      </c>
      <c r="L241" t="n">
        <v>0</v>
      </c>
      <c r="M241" t="n">
        <v>0</v>
      </c>
      <c r="N241" t="n">
        <v>0</v>
      </c>
      <c r="O241" t="n">
        <v>1</v>
      </c>
      <c r="P241" t="n">
        <v>0</v>
      </c>
      <c r="Q241" t="n">
        <v>2</v>
      </c>
      <c r="R241" s="2" t="inlineStr">
        <is>
          <t>Svinrot
Citronfläckad kärrtrollslända</t>
        </is>
      </c>
      <c r="S241">
        <f>HYPERLINK("https://klasma.github.io/Logging_0488/artfynd/A 21940-2020 artfynd.xlsx", "A 21940-2020")</f>
        <v/>
      </c>
      <c r="T241">
        <f>HYPERLINK("https://klasma.github.io/Logging_0488/kartor/A 21940-2020 karta.png", "A 21940-2020")</f>
        <v/>
      </c>
      <c r="V241">
        <f>HYPERLINK("https://klasma.github.io/Logging_0488/klagomål/A 21940-2020 FSC-klagomål.docx", "A 21940-2020")</f>
        <v/>
      </c>
      <c r="W241">
        <f>HYPERLINK("https://klasma.github.io/Logging_0488/klagomålsmail/A 21940-2020 FSC-klagomål mail.docx", "A 21940-2020")</f>
        <v/>
      </c>
      <c r="X241">
        <f>HYPERLINK("https://klasma.github.io/Logging_0488/tillsyn/A 21940-2020 tillsynsbegäran.docx", "A 21940-2020")</f>
        <v/>
      </c>
      <c r="Y241">
        <f>HYPERLINK("https://klasma.github.io/Logging_0488/tillsynsmail/A 21940-2020 tillsynsbegäran mail.docx", "A 21940-2020")</f>
        <v/>
      </c>
    </row>
    <row r="242" ht="15" customHeight="1">
      <c r="A242" t="inlineStr">
        <is>
          <t>A 40257-2020</t>
        </is>
      </c>
      <c r="B242" s="1" t="n">
        <v>44068</v>
      </c>
      <c r="C242" s="1" t="n">
        <v>45736</v>
      </c>
      <c r="D242" t="inlineStr">
        <is>
          <t>SÖDERMANLANDS LÄN</t>
        </is>
      </c>
      <c r="E242" t="inlineStr">
        <is>
          <t>KATRINEHOLM</t>
        </is>
      </c>
      <c r="F242" t="inlineStr">
        <is>
          <t>Kommuner</t>
        </is>
      </c>
      <c r="G242" t="n">
        <v>3.6</v>
      </c>
      <c r="H242" t="n">
        <v>0</v>
      </c>
      <c r="I242" t="n">
        <v>2</v>
      </c>
      <c r="J242" t="n">
        <v>0</v>
      </c>
      <c r="K242" t="n">
        <v>0</v>
      </c>
      <c r="L242" t="n">
        <v>0</v>
      </c>
      <c r="M242" t="n">
        <v>0</v>
      </c>
      <c r="N242" t="n">
        <v>0</v>
      </c>
      <c r="O242" t="n">
        <v>0</v>
      </c>
      <c r="P242" t="n">
        <v>0</v>
      </c>
      <c r="Q242" t="n">
        <v>2</v>
      </c>
      <c r="R242" s="2" t="inlineStr">
        <is>
          <t>Mindre märgborre
Smal svampklubba</t>
        </is>
      </c>
      <c r="S242">
        <f>HYPERLINK("https://klasma.github.io/Logging_0483/artfynd/A 40257-2020 artfynd.xlsx", "A 40257-2020")</f>
        <v/>
      </c>
      <c r="T242">
        <f>HYPERLINK("https://klasma.github.io/Logging_0483/kartor/A 40257-2020 karta.png", "A 40257-2020")</f>
        <v/>
      </c>
      <c r="U242">
        <f>HYPERLINK("https://klasma.github.io/Logging_0483/knärot/A 40257-2020 karta knärot.png", "A 40257-2020")</f>
        <v/>
      </c>
      <c r="V242">
        <f>HYPERLINK("https://klasma.github.io/Logging_0483/klagomål/A 40257-2020 FSC-klagomål.docx", "A 40257-2020")</f>
        <v/>
      </c>
      <c r="W242">
        <f>HYPERLINK("https://klasma.github.io/Logging_0483/klagomålsmail/A 40257-2020 FSC-klagomål mail.docx", "A 40257-2020")</f>
        <v/>
      </c>
      <c r="X242">
        <f>HYPERLINK("https://klasma.github.io/Logging_0483/tillsyn/A 40257-2020 tillsynsbegäran.docx", "A 40257-2020")</f>
        <v/>
      </c>
      <c r="Y242">
        <f>HYPERLINK("https://klasma.github.io/Logging_0483/tillsynsmail/A 40257-2020 tillsynsbegäran mail.docx", "A 40257-2020")</f>
        <v/>
      </c>
    </row>
    <row r="243" ht="15" customHeight="1">
      <c r="A243" t="inlineStr">
        <is>
          <t>A 45347-2020</t>
        </is>
      </c>
      <c r="B243" s="1" t="n">
        <v>44085</v>
      </c>
      <c r="C243" s="1" t="n">
        <v>45736</v>
      </c>
      <c r="D243" t="inlineStr">
        <is>
          <t>SÖDERMANLANDS LÄN</t>
        </is>
      </c>
      <c r="E243" t="inlineStr">
        <is>
          <t>FLEN</t>
        </is>
      </c>
      <c r="G243" t="n">
        <v>3.6</v>
      </c>
      <c r="H243" t="n">
        <v>1</v>
      </c>
      <c r="I243" t="n">
        <v>0</v>
      </c>
      <c r="J243" t="n">
        <v>0</v>
      </c>
      <c r="K243" t="n">
        <v>0</v>
      </c>
      <c r="L243" t="n">
        <v>1</v>
      </c>
      <c r="M243" t="n">
        <v>0</v>
      </c>
      <c r="N243" t="n">
        <v>0</v>
      </c>
      <c r="O243" t="n">
        <v>1</v>
      </c>
      <c r="P243" t="n">
        <v>1</v>
      </c>
      <c r="Q243" t="n">
        <v>2</v>
      </c>
      <c r="R243" s="2" t="inlineStr">
        <is>
          <t>Ask
Grönvit nattviol</t>
        </is>
      </c>
      <c r="S243">
        <f>HYPERLINK("https://klasma.github.io/Logging_0482/artfynd/A 45347-2020 artfynd.xlsx", "A 45347-2020")</f>
        <v/>
      </c>
      <c r="T243">
        <f>HYPERLINK("https://klasma.github.io/Logging_0482/kartor/A 45347-2020 karta.png", "A 45347-2020")</f>
        <v/>
      </c>
      <c r="V243">
        <f>HYPERLINK("https://klasma.github.io/Logging_0482/klagomål/A 45347-2020 FSC-klagomål.docx", "A 45347-2020")</f>
        <v/>
      </c>
      <c r="W243">
        <f>HYPERLINK("https://klasma.github.io/Logging_0482/klagomålsmail/A 45347-2020 FSC-klagomål mail.docx", "A 45347-2020")</f>
        <v/>
      </c>
      <c r="X243">
        <f>HYPERLINK("https://klasma.github.io/Logging_0482/tillsyn/A 45347-2020 tillsynsbegäran.docx", "A 45347-2020")</f>
        <v/>
      </c>
      <c r="Y243">
        <f>HYPERLINK("https://klasma.github.io/Logging_0482/tillsynsmail/A 45347-2020 tillsynsbegäran mail.docx", "A 45347-2020")</f>
        <v/>
      </c>
    </row>
    <row r="244" ht="15" customHeight="1">
      <c r="A244" t="inlineStr">
        <is>
          <t>A 46353-2020</t>
        </is>
      </c>
      <c r="B244" s="1" t="n">
        <v>44092</v>
      </c>
      <c r="C244" s="1" t="n">
        <v>45736</v>
      </c>
      <c r="D244" t="inlineStr">
        <is>
          <t>SÖDERMANLANDS LÄN</t>
        </is>
      </c>
      <c r="E244" t="inlineStr">
        <is>
          <t>ESKILSTUNA</t>
        </is>
      </c>
      <c r="F244" t="inlineStr">
        <is>
          <t>Sveaskog</t>
        </is>
      </c>
      <c r="G244" t="n">
        <v>1.5</v>
      </c>
      <c r="H244" t="n">
        <v>1</v>
      </c>
      <c r="I244" t="n">
        <v>0</v>
      </c>
      <c r="J244" t="n">
        <v>1</v>
      </c>
      <c r="K244" t="n">
        <v>0</v>
      </c>
      <c r="L244" t="n">
        <v>0</v>
      </c>
      <c r="M244" t="n">
        <v>0</v>
      </c>
      <c r="N244" t="n">
        <v>0</v>
      </c>
      <c r="O244" t="n">
        <v>1</v>
      </c>
      <c r="P244" t="n">
        <v>0</v>
      </c>
      <c r="Q244" t="n">
        <v>2</v>
      </c>
      <c r="R244" s="2" t="inlineStr">
        <is>
          <t>Sandviol
Revlummer</t>
        </is>
      </c>
      <c r="S244">
        <f>HYPERLINK("https://klasma.github.io/Logging_0484/artfynd/A 46353-2020 artfynd.xlsx", "A 46353-2020")</f>
        <v/>
      </c>
      <c r="T244">
        <f>HYPERLINK("https://klasma.github.io/Logging_0484/kartor/A 46353-2020 karta.png", "A 46353-2020")</f>
        <v/>
      </c>
      <c r="V244">
        <f>HYPERLINK("https://klasma.github.io/Logging_0484/klagomål/A 46353-2020 FSC-klagomål.docx", "A 46353-2020")</f>
        <v/>
      </c>
      <c r="W244">
        <f>HYPERLINK("https://klasma.github.io/Logging_0484/klagomålsmail/A 46353-2020 FSC-klagomål mail.docx", "A 46353-2020")</f>
        <v/>
      </c>
      <c r="X244">
        <f>HYPERLINK("https://klasma.github.io/Logging_0484/tillsyn/A 46353-2020 tillsynsbegäran.docx", "A 46353-2020")</f>
        <v/>
      </c>
      <c r="Y244">
        <f>HYPERLINK("https://klasma.github.io/Logging_0484/tillsynsmail/A 46353-2020 tillsynsbegäran mail.docx", "A 46353-2020")</f>
        <v/>
      </c>
    </row>
    <row r="245" ht="15" customHeight="1">
      <c r="A245" t="inlineStr">
        <is>
          <t>A 56191-2020</t>
        </is>
      </c>
      <c r="B245" s="1" t="n">
        <v>44133</v>
      </c>
      <c r="C245" s="1" t="n">
        <v>45736</v>
      </c>
      <c r="D245" t="inlineStr">
        <is>
          <t>SÖDERMANLANDS LÄN</t>
        </is>
      </c>
      <c r="E245" t="inlineStr">
        <is>
          <t>ESKILSTUNA</t>
        </is>
      </c>
      <c r="F245" t="inlineStr">
        <is>
          <t>Kommuner</t>
        </is>
      </c>
      <c r="G245" t="n">
        <v>4.9</v>
      </c>
      <c r="H245" t="n">
        <v>1</v>
      </c>
      <c r="I245" t="n">
        <v>1</v>
      </c>
      <c r="J245" t="n">
        <v>0</v>
      </c>
      <c r="K245" t="n">
        <v>0</v>
      </c>
      <c r="L245" t="n">
        <v>0</v>
      </c>
      <c r="M245" t="n">
        <v>0</v>
      </c>
      <c r="N245" t="n">
        <v>0</v>
      </c>
      <c r="O245" t="n">
        <v>0</v>
      </c>
      <c r="P245" t="n">
        <v>0</v>
      </c>
      <c r="Q245" t="n">
        <v>2</v>
      </c>
      <c r="R245" s="2" t="inlineStr">
        <is>
          <t>Svart trolldruva
Blåsippa</t>
        </is>
      </c>
      <c r="S245">
        <f>HYPERLINK("https://klasma.github.io/Logging_0484/artfynd/A 56191-2020 artfynd.xlsx", "A 56191-2020")</f>
        <v/>
      </c>
      <c r="T245">
        <f>HYPERLINK("https://klasma.github.io/Logging_0484/kartor/A 56191-2020 karta.png", "A 56191-2020")</f>
        <v/>
      </c>
      <c r="V245">
        <f>HYPERLINK("https://klasma.github.io/Logging_0484/klagomål/A 56191-2020 FSC-klagomål.docx", "A 56191-2020")</f>
        <v/>
      </c>
      <c r="W245">
        <f>HYPERLINK("https://klasma.github.io/Logging_0484/klagomålsmail/A 56191-2020 FSC-klagomål mail.docx", "A 56191-2020")</f>
        <v/>
      </c>
      <c r="X245">
        <f>HYPERLINK("https://klasma.github.io/Logging_0484/tillsyn/A 56191-2020 tillsynsbegäran.docx", "A 56191-2020")</f>
        <v/>
      </c>
      <c r="Y245">
        <f>HYPERLINK("https://klasma.github.io/Logging_0484/tillsynsmail/A 56191-2020 tillsynsbegäran mail.docx", "A 56191-2020")</f>
        <v/>
      </c>
    </row>
    <row r="246" ht="15" customHeight="1">
      <c r="A246" t="inlineStr">
        <is>
          <t>A 65111-2020</t>
        </is>
      </c>
      <c r="B246" s="1" t="n">
        <v>44168</v>
      </c>
      <c r="C246" s="1" t="n">
        <v>45736</v>
      </c>
      <c r="D246" t="inlineStr">
        <is>
          <t>SÖDERMANLANDS LÄN</t>
        </is>
      </c>
      <c r="E246" t="inlineStr">
        <is>
          <t>KATRINEHOLM</t>
        </is>
      </c>
      <c r="G246" t="n">
        <v>2</v>
      </c>
      <c r="H246" t="n">
        <v>2</v>
      </c>
      <c r="I246" t="n">
        <v>0</v>
      </c>
      <c r="J246" t="n">
        <v>1</v>
      </c>
      <c r="K246" t="n">
        <v>0</v>
      </c>
      <c r="L246" t="n">
        <v>0</v>
      </c>
      <c r="M246" t="n">
        <v>0</v>
      </c>
      <c r="N246" t="n">
        <v>0</v>
      </c>
      <c r="O246" t="n">
        <v>1</v>
      </c>
      <c r="P246" t="n">
        <v>0</v>
      </c>
      <c r="Q246" t="n">
        <v>2</v>
      </c>
      <c r="R246" s="2" t="inlineStr">
        <is>
          <t>Spillkråka
Blåsippa</t>
        </is>
      </c>
      <c r="S246">
        <f>HYPERLINK("https://klasma.github.io/Logging_0483/artfynd/A 65111-2020 artfynd.xlsx", "A 65111-2020")</f>
        <v/>
      </c>
      <c r="T246">
        <f>HYPERLINK("https://klasma.github.io/Logging_0483/kartor/A 65111-2020 karta.png", "A 65111-2020")</f>
        <v/>
      </c>
      <c r="V246">
        <f>HYPERLINK("https://klasma.github.io/Logging_0483/klagomål/A 65111-2020 FSC-klagomål.docx", "A 65111-2020")</f>
        <v/>
      </c>
      <c r="W246">
        <f>HYPERLINK("https://klasma.github.io/Logging_0483/klagomålsmail/A 65111-2020 FSC-klagomål mail.docx", "A 65111-2020")</f>
        <v/>
      </c>
      <c r="X246">
        <f>HYPERLINK("https://klasma.github.io/Logging_0483/tillsyn/A 65111-2020 tillsynsbegäran.docx", "A 65111-2020")</f>
        <v/>
      </c>
      <c r="Y246">
        <f>HYPERLINK("https://klasma.github.io/Logging_0483/tillsynsmail/A 65111-2020 tillsynsbegäran mail.docx", "A 65111-2020")</f>
        <v/>
      </c>
      <c r="Z246">
        <f>HYPERLINK("https://klasma.github.io/Logging_0483/fåglar/A 65111-2020 prioriterade fågelarter.docx", "A 65111-2020")</f>
        <v/>
      </c>
    </row>
    <row r="247" ht="15" customHeight="1">
      <c r="A247" t="inlineStr">
        <is>
          <t>A 68920-2020</t>
        </is>
      </c>
      <c r="B247" s="1" t="n">
        <v>44187</v>
      </c>
      <c r="C247" s="1" t="n">
        <v>45736</v>
      </c>
      <c r="D247" t="inlineStr">
        <is>
          <t>SÖDERMANLANDS LÄN</t>
        </is>
      </c>
      <c r="E247" t="inlineStr">
        <is>
          <t>NYKÖPING</t>
        </is>
      </c>
      <c r="F247" t="inlineStr">
        <is>
          <t>Kommuner</t>
        </is>
      </c>
      <c r="G247" t="n">
        <v>3.1</v>
      </c>
      <c r="H247" t="n">
        <v>0</v>
      </c>
      <c r="I247" t="n">
        <v>0</v>
      </c>
      <c r="J247" t="n">
        <v>1</v>
      </c>
      <c r="K247" t="n">
        <v>0</v>
      </c>
      <c r="L247" t="n">
        <v>1</v>
      </c>
      <c r="M247" t="n">
        <v>0</v>
      </c>
      <c r="N247" t="n">
        <v>0</v>
      </c>
      <c r="O247" t="n">
        <v>2</v>
      </c>
      <c r="P247" t="n">
        <v>1</v>
      </c>
      <c r="Q247" t="n">
        <v>2</v>
      </c>
      <c r="R247" s="2" t="inlineStr">
        <is>
          <t>Ask
Ängsskära</t>
        </is>
      </c>
      <c r="S247">
        <f>HYPERLINK("https://klasma.github.io/Logging_0480/artfynd/A 68920-2020 artfynd.xlsx", "A 68920-2020")</f>
        <v/>
      </c>
      <c r="T247">
        <f>HYPERLINK("https://klasma.github.io/Logging_0480/kartor/A 68920-2020 karta.png", "A 68920-2020")</f>
        <v/>
      </c>
      <c r="V247">
        <f>HYPERLINK("https://klasma.github.io/Logging_0480/klagomål/A 68920-2020 FSC-klagomål.docx", "A 68920-2020")</f>
        <v/>
      </c>
      <c r="W247">
        <f>HYPERLINK("https://klasma.github.io/Logging_0480/klagomålsmail/A 68920-2020 FSC-klagomål mail.docx", "A 68920-2020")</f>
        <v/>
      </c>
      <c r="X247">
        <f>HYPERLINK("https://klasma.github.io/Logging_0480/tillsyn/A 68920-2020 tillsynsbegäran.docx", "A 68920-2020")</f>
        <v/>
      </c>
      <c r="Y247">
        <f>HYPERLINK("https://klasma.github.io/Logging_0480/tillsynsmail/A 68920-2020 tillsynsbegäran mail.docx", "A 68920-2020")</f>
        <v/>
      </c>
    </row>
    <row r="248" ht="15" customHeight="1">
      <c r="A248" t="inlineStr">
        <is>
          <t>A 9101-2021</t>
        </is>
      </c>
      <c r="B248" s="1" t="n">
        <v>44249</v>
      </c>
      <c r="C248" s="1" t="n">
        <v>45736</v>
      </c>
      <c r="D248" t="inlineStr">
        <is>
          <t>SÖDERMANLANDS LÄN</t>
        </is>
      </c>
      <c r="E248" t="inlineStr">
        <is>
          <t>NYKÖPING</t>
        </is>
      </c>
      <c r="F248" t="inlineStr">
        <is>
          <t>Holmen skog AB</t>
        </is>
      </c>
      <c r="G248" t="n">
        <v>4</v>
      </c>
      <c r="H248" t="n">
        <v>0</v>
      </c>
      <c r="I248" t="n">
        <v>2</v>
      </c>
      <c r="J248" t="n">
        <v>0</v>
      </c>
      <c r="K248" t="n">
        <v>0</v>
      </c>
      <c r="L248" t="n">
        <v>0</v>
      </c>
      <c r="M248" t="n">
        <v>0</v>
      </c>
      <c r="N248" t="n">
        <v>0</v>
      </c>
      <c r="O248" t="n">
        <v>0</v>
      </c>
      <c r="P248" t="n">
        <v>0</v>
      </c>
      <c r="Q248" t="n">
        <v>2</v>
      </c>
      <c r="R248" s="2" t="inlineStr">
        <is>
          <t>Aspvedgnagare
Barkticka</t>
        </is>
      </c>
      <c r="S248">
        <f>HYPERLINK("https://klasma.github.io/Logging_0480/artfynd/A 9101-2021 artfynd.xlsx", "A 9101-2021")</f>
        <v/>
      </c>
      <c r="T248">
        <f>HYPERLINK("https://klasma.github.io/Logging_0480/kartor/A 9101-2021 karta.png", "A 9101-2021")</f>
        <v/>
      </c>
      <c r="V248">
        <f>HYPERLINK("https://klasma.github.io/Logging_0480/klagomål/A 9101-2021 FSC-klagomål.docx", "A 9101-2021")</f>
        <v/>
      </c>
      <c r="W248">
        <f>HYPERLINK("https://klasma.github.io/Logging_0480/klagomålsmail/A 9101-2021 FSC-klagomål mail.docx", "A 9101-2021")</f>
        <v/>
      </c>
      <c r="X248">
        <f>HYPERLINK("https://klasma.github.io/Logging_0480/tillsyn/A 9101-2021 tillsynsbegäran.docx", "A 9101-2021")</f>
        <v/>
      </c>
      <c r="Y248">
        <f>HYPERLINK("https://klasma.github.io/Logging_0480/tillsynsmail/A 9101-2021 tillsynsbegäran mail.docx", "A 9101-2021")</f>
        <v/>
      </c>
    </row>
    <row r="249" ht="15" customHeight="1">
      <c r="A249" t="inlineStr">
        <is>
          <t>A 11354-2021</t>
        </is>
      </c>
      <c r="B249" s="1" t="n">
        <v>44263</v>
      </c>
      <c r="C249" s="1" t="n">
        <v>45736</v>
      </c>
      <c r="D249" t="inlineStr">
        <is>
          <t>SÖDERMANLANDS LÄN</t>
        </is>
      </c>
      <c r="E249" t="inlineStr">
        <is>
          <t>NYKÖPING</t>
        </is>
      </c>
      <c r="G249" t="n">
        <v>4.2</v>
      </c>
      <c r="H249" t="n">
        <v>2</v>
      </c>
      <c r="I249" t="n">
        <v>0</v>
      </c>
      <c r="J249" t="n">
        <v>0</v>
      </c>
      <c r="K249" t="n">
        <v>1</v>
      </c>
      <c r="L249" t="n">
        <v>0</v>
      </c>
      <c r="M249" t="n">
        <v>0</v>
      </c>
      <c r="N249" t="n">
        <v>0</v>
      </c>
      <c r="O249" t="n">
        <v>1</v>
      </c>
      <c r="P249" t="n">
        <v>1</v>
      </c>
      <c r="Q249" t="n">
        <v>2</v>
      </c>
      <c r="R249" s="2" t="inlineStr">
        <is>
          <t>Mellanlummer
Revlummer</t>
        </is>
      </c>
      <c r="S249">
        <f>HYPERLINK("https://klasma.github.io/Logging_0480/artfynd/A 11354-2021 artfynd.xlsx", "A 11354-2021")</f>
        <v/>
      </c>
      <c r="T249">
        <f>HYPERLINK("https://klasma.github.io/Logging_0480/kartor/A 11354-2021 karta.png", "A 11354-2021")</f>
        <v/>
      </c>
      <c r="V249">
        <f>HYPERLINK("https://klasma.github.io/Logging_0480/klagomål/A 11354-2021 FSC-klagomål.docx", "A 11354-2021")</f>
        <v/>
      </c>
      <c r="W249">
        <f>HYPERLINK("https://klasma.github.io/Logging_0480/klagomålsmail/A 11354-2021 FSC-klagomål mail.docx", "A 11354-2021")</f>
        <v/>
      </c>
      <c r="X249">
        <f>HYPERLINK("https://klasma.github.io/Logging_0480/tillsyn/A 11354-2021 tillsynsbegäran.docx", "A 11354-2021")</f>
        <v/>
      </c>
      <c r="Y249">
        <f>HYPERLINK("https://klasma.github.io/Logging_0480/tillsynsmail/A 11354-2021 tillsynsbegäran mail.docx", "A 11354-2021")</f>
        <v/>
      </c>
    </row>
    <row r="250" ht="15" customHeight="1">
      <c r="A250" t="inlineStr">
        <is>
          <t>A 12952-2021</t>
        </is>
      </c>
      <c r="B250" s="1" t="n">
        <v>44271</v>
      </c>
      <c r="C250" s="1" t="n">
        <v>45736</v>
      </c>
      <c r="D250" t="inlineStr">
        <is>
          <t>SÖDERMANLANDS LÄN</t>
        </is>
      </c>
      <c r="E250" t="inlineStr">
        <is>
          <t>NYKÖPING</t>
        </is>
      </c>
      <c r="G250" t="n">
        <v>3.6</v>
      </c>
      <c r="H250" t="n">
        <v>0</v>
      </c>
      <c r="I250" t="n">
        <v>1</v>
      </c>
      <c r="J250" t="n">
        <v>0</v>
      </c>
      <c r="K250" t="n">
        <v>1</v>
      </c>
      <c r="L250" t="n">
        <v>0</v>
      </c>
      <c r="M250" t="n">
        <v>0</v>
      </c>
      <c r="N250" t="n">
        <v>0</v>
      </c>
      <c r="O250" t="n">
        <v>1</v>
      </c>
      <c r="P250" t="n">
        <v>1</v>
      </c>
      <c r="Q250" t="n">
        <v>2</v>
      </c>
      <c r="R250" s="2" t="inlineStr">
        <is>
          <t>Trubbdaggkåpa
Strutbräken</t>
        </is>
      </c>
      <c r="S250">
        <f>HYPERLINK("https://klasma.github.io/Logging_0480/artfynd/A 12952-2021 artfynd.xlsx", "A 12952-2021")</f>
        <v/>
      </c>
      <c r="T250">
        <f>HYPERLINK("https://klasma.github.io/Logging_0480/kartor/A 12952-2021 karta.png", "A 12952-2021")</f>
        <v/>
      </c>
      <c r="V250">
        <f>HYPERLINK("https://klasma.github.io/Logging_0480/klagomål/A 12952-2021 FSC-klagomål.docx", "A 12952-2021")</f>
        <v/>
      </c>
      <c r="W250">
        <f>HYPERLINK("https://klasma.github.io/Logging_0480/klagomålsmail/A 12952-2021 FSC-klagomål mail.docx", "A 12952-2021")</f>
        <v/>
      </c>
      <c r="X250">
        <f>HYPERLINK("https://klasma.github.io/Logging_0480/tillsyn/A 12952-2021 tillsynsbegäran.docx", "A 12952-2021")</f>
        <v/>
      </c>
      <c r="Y250">
        <f>HYPERLINK("https://klasma.github.io/Logging_0480/tillsynsmail/A 12952-2021 tillsynsbegäran mail.docx", "A 12952-2021")</f>
        <v/>
      </c>
    </row>
    <row r="251" ht="15" customHeight="1">
      <c r="A251" t="inlineStr">
        <is>
          <t>A 26647-2021</t>
        </is>
      </c>
      <c r="B251" s="1" t="n">
        <v>44348</v>
      </c>
      <c r="C251" s="1" t="n">
        <v>45736</v>
      </c>
      <c r="D251" t="inlineStr">
        <is>
          <t>SÖDERMANLANDS LÄN</t>
        </is>
      </c>
      <c r="E251" t="inlineStr">
        <is>
          <t>NYKÖPING</t>
        </is>
      </c>
      <c r="G251" t="n">
        <v>2.2</v>
      </c>
      <c r="H251" t="n">
        <v>2</v>
      </c>
      <c r="I251" t="n">
        <v>0</v>
      </c>
      <c r="J251" t="n">
        <v>2</v>
      </c>
      <c r="K251" t="n">
        <v>0</v>
      </c>
      <c r="L251" t="n">
        <v>0</v>
      </c>
      <c r="M251" t="n">
        <v>0</v>
      </c>
      <c r="N251" t="n">
        <v>0</v>
      </c>
      <c r="O251" t="n">
        <v>2</v>
      </c>
      <c r="P251" t="n">
        <v>0</v>
      </c>
      <c r="Q251" t="n">
        <v>2</v>
      </c>
      <c r="R251" s="2" t="inlineStr">
        <is>
          <t>Hornuggla
Stenfalk</t>
        </is>
      </c>
      <c r="S251">
        <f>HYPERLINK("https://klasma.github.io/Logging_0480/artfynd/A 26647-2021 artfynd.xlsx", "A 26647-2021")</f>
        <v/>
      </c>
      <c r="T251">
        <f>HYPERLINK("https://klasma.github.io/Logging_0480/kartor/A 26647-2021 karta.png", "A 26647-2021")</f>
        <v/>
      </c>
      <c r="V251">
        <f>HYPERLINK("https://klasma.github.io/Logging_0480/klagomål/A 26647-2021 FSC-klagomål.docx", "A 26647-2021")</f>
        <v/>
      </c>
      <c r="W251">
        <f>HYPERLINK("https://klasma.github.io/Logging_0480/klagomålsmail/A 26647-2021 FSC-klagomål mail.docx", "A 26647-2021")</f>
        <v/>
      </c>
      <c r="X251">
        <f>HYPERLINK("https://klasma.github.io/Logging_0480/tillsyn/A 26647-2021 tillsynsbegäran.docx", "A 26647-2021")</f>
        <v/>
      </c>
      <c r="Y251">
        <f>HYPERLINK("https://klasma.github.io/Logging_0480/tillsynsmail/A 26647-2021 tillsynsbegäran mail.docx", "A 26647-2021")</f>
        <v/>
      </c>
      <c r="Z251">
        <f>HYPERLINK("https://klasma.github.io/Logging_0480/fåglar/A 26647-2021 prioriterade fågelarter.docx", "A 26647-2021")</f>
        <v/>
      </c>
    </row>
    <row r="252" ht="15" customHeight="1">
      <c r="A252" t="inlineStr">
        <is>
          <t>A 30155-2021</t>
        </is>
      </c>
      <c r="B252" s="1" t="n">
        <v>44363</v>
      </c>
      <c r="C252" s="1" t="n">
        <v>45736</v>
      </c>
      <c r="D252" t="inlineStr">
        <is>
          <t>SÖDERMANLANDS LÄN</t>
        </is>
      </c>
      <c r="E252" t="inlineStr">
        <is>
          <t>NYKÖPING</t>
        </is>
      </c>
      <c r="G252" t="n">
        <v>8.5</v>
      </c>
      <c r="H252" t="n">
        <v>2</v>
      </c>
      <c r="I252" t="n">
        <v>0</v>
      </c>
      <c r="J252" t="n">
        <v>2</v>
      </c>
      <c r="K252" t="n">
        <v>0</v>
      </c>
      <c r="L252" t="n">
        <v>0</v>
      </c>
      <c r="M252" t="n">
        <v>0</v>
      </c>
      <c r="N252" t="n">
        <v>0</v>
      </c>
      <c r="O252" t="n">
        <v>2</v>
      </c>
      <c r="P252" t="n">
        <v>0</v>
      </c>
      <c r="Q252" t="n">
        <v>2</v>
      </c>
      <c r="R252" s="2" t="inlineStr">
        <is>
          <t>Havsörn
Spillkråka</t>
        </is>
      </c>
      <c r="S252">
        <f>HYPERLINK("https://klasma.github.io/Logging_0480/artfynd/A 30155-2021 artfynd.xlsx", "A 30155-2021")</f>
        <v/>
      </c>
      <c r="T252">
        <f>HYPERLINK("https://klasma.github.io/Logging_0480/kartor/A 30155-2021 karta.png", "A 30155-2021")</f>
        <v/>
      </c>
      <c r="V252">
        <f>HYPERLINK("https://klasma.github.io/Logging_0480/klagomål/A 30155-2021 FSC-klagomål.docx", "A 30155-2021")</f>
        <v/>
      </c>
      <c r="W252">
        <f>HYPERLINK("https://klasma.github.io/Logging_0480/klagomålsmail/A 30155-2021 FSC-klagomål mail.docx", "A 30155-2021")</f>
        <v/>
      </c>
      <c r="X252">
        <f>HYPERLINK("https://klasma.github.io/Logging_0480/tillsyn/A 30155-2021 tillsynsbegäran.docx", "A 30155-2021")</f>
        <v/>
      </c>
      <c r="Y252">
        <f>HYPERLINK("https://klasma.github.io/Logging_0480/tillsynsmail/A 30155-2021 tillsynsbegäran mail.docx", "A 30155-2021")</f>
        <v/>
      </c>
      <c r="Z252">
        <f>HYPERLINK("https://klasma.github.io/Logging_0480/fåglar/A 30155-2021 prioriterade fågelarter.docx", "A 30155-2021")</f>
        <v/>
      </c>
    </row>
    <row r="253" ht="15" customHeight="1">
      <c r="A253" t="inlineStr">
        <is>
          <t>A 38366-2021</t>
        </is>
      </c>
      <c r="B253" s="1" t="n">
        <v>44406</v>
      </c>
      <c r="C253" s="1" t="n">
        <v>45736</v>
      </c>
      <c r="D253" t="inlineStr">
        <is>
          <t>SÖDERMANLANDS LÄN</t>
        </is>
      </c>
      <c r="E253" t="inlineStr">
        <is>
          <t>NYKÖPING</t>
        </is>
      </c>
      <c r="F253" t="inlineStr">
        <is>
          <t>Holmen skog AB</t>
        </is>
      </c>
      <c r="G253" t="n">
        <v>2.6</v>
      </c>
      <c r="H253" t="n">
        <v>1</v>
      </c>
      <c r="I253" t="n">
        <v>0</v>
      </c>
      <c r="J253" t="n">
        <v>1</v>
      </c>
      <c r="K253" t="n">
        <v>1</v>
      </c>
      <c r="L253" t="n">
        <v>0</v>
      </c>
      <c r="M253" t="n">
        <v>0</v>
      </c>
      <c r="N253" t="n">
        <v>0</v>
      </c>
      <c r="O253" t="n">
        <v>2</v>
      </c>
      <c r="P253" t="n">
        <v>1</v>
      </c>
      <c r="Q253" t="n">
        <v>2</v>
      </c>
      <c r="R253" s="2" t="inlineStr">
        <is>
          <t>Berguv
Skogsklocka</t>
        </is>
      </c>
      <c r="S253">
        <f>HYPERLINK("https://klasma.github.io/Logging_0480/artfynd/A 38366-2021 artfynd.xlsx", "A 38366-2021")</f>
        <v/>
      </c>
      <c r="T253">
        <f>HYPERLINK("https://klasma.github.io/Logging_0480/kartor/A 38366-2021 karta.png", "A 38366-2021")</f>
        <v/>
      </c>
      <c r="V253">
        <f>HYPERLINK("https://klasma.github.io/Logging_0480/klagomål/A 38366-2021 FSC-klagomål.docx", "A 38366-2021")</f>
        <v/>
      </c>
      <c r="W253">
        <f>HYPERLINK("https://klasma.github.io/Logging_0480/klagomålsmail/A 38366-2021 FSC-klagomål mail.docx", "A 38366-2021")</f>
        <v/>
      </c>
      <c r="X253">
        <f>HYPERLINK("https://klasma.github.io/Logging_0480/tillsyn/A 38366-2021 tillsynsbegäran.docx", "A 38366-2021")</f>
        <v/>
      </c>
      <c r="Y253">
        <f>HYPERLINK("https://klasma.github.io/Logging_0480/tillsynsmail/A 38366-2021 tillsynsbegäran mail.docx", "A 38366-2021")</f>
        <v/>
      </c>
      <c r="Z253">
        <f>HYPERLINK("https://klasma.github.io/Logging_0480/fåglar/A 38366-2021 prioriterade fågelarter.docx", "A 38366-2021")</f>
        <v/>
      </c>
    </row>
    <row r="254" ht="15" customHeight="1">
      <c r="A254" t="inlineStr">
        <is>
          <t>A 38418-2021</t>
        </is>
      </c>
      <c r="B254" s="1" t="n">
        <v>44406</v>
      </c>
      <c r="C254" s="1" t="n">
        <v>45736</v>
      </c>
      <c r="D254" t="inlineStr">
        <is>
          <t>SÖDERMANLANDS LÄN</t>
        </is>
      </c>
      <c r="E254" t="inlineStr">
        <is>
          <t>NYKÖPING</t>
        </is>
      </c>
      <c r="G254" t="n">
        <v>2.7</v>
      </c>
      <c r="H254" t="n">
        <v>1</v>
      </c>
      <c r="I254" t="n">
        <v>1</v>
      </c>
      <c r="J254" t="n">
        <v>0</v>
      </c>
      <c r="K254" t="n">
        <v>0</v>
      </c>
      <c r="L254" t="n">
        <v>0</v>
      </c>
      <c r="M254" t="n">
        <v>0</v>
      </c>
      <c r="N254" t="n">
        <v>0</v>
      </c>
      <c r="O254" t="n">
        <v>0</v>
      </c>
      <c r="P254" t="n">
        <v>0</v>
      </c>
      <c r="Q254" t="n">
        <v>2</v>
      </c>
      <c r="R254" s="2" t="inlineStr">
        <is>
          <t>Tibast
Blåsippa</t>
        </is>
      </c>
      <c r="S254">
        <f>HYPERLINK("https://klasma.github.io/Logging_0480/artfynd/A 38418-2021 artfynd.xlsx", "A 38418-2021")</f>
        <v/>
      </c>
      <c r="T254">
        <f>HYPERLINK("https://klasma.github.io/Logging_0480/kartor/A 38418-2021 karta.png", "A 38418-2021")</f>
        <v/>
      </c>
      <c r="V254">
        <f>HYPERLINK("https://klasma.github.io/Logging_0480/klagomål/A 38418-2021 FSC-klagomål.docx", "A 38418-2021")</f>
        <v/>
      </c>
      <c r="W254">
        <f>HYPERLINK("https://klasma.github.io/Logging_0480/klagomålsmail/A 38418-2021 FSC-klagomål mail.docx", "A 38418-2021")</f>
        <v/>
      </c>
      <c r="X254">
        <f>HYPERLINK("https://klasma.github.io/Logging_0480/tillsyn/A 38418-2021 tillsynsbegäran.docx", "A 38418-2021")</f>
        <v/>
      </c>
      <c r="Y254">
        <f>HYPERLINK("https://klasma.github.io/Logging_0480/tillsynsmail/A 38418-2021 tillsynsbegäran mail.docx", "A 38418-2021")</f>
        <v/>
      </c>
    </row>
    <row r="255" ht="15" customHeight="1">
      <c r="A255" t="inlineStr">
        <is>
          <t>A 38882-2021</t>
        </is>
      </c>
      <c r="B255" s="1" t="n">
        <v>44411</v>
      </c>
      <c r="C255" s="1" t="n">
        <v>45736</v>
      </c>
      <c r="D255" t="inlineStr">
        <is>
          <t>SÖDERMANLANDS LÄN</t>
        </is>
      </c>
      <c r="E255" t="inlineStr">
        <is>
          <t>FLEN</t>
        </is>
      </c>
      <c r="G255" t="n">
        <v>3.4</v>
      </c>
      <c r="H255" t="n">
        <v>1</v>
      </c>
      <c r="I255" t="n">
        <v>1</v>
      </c>
      <c r="J255" t="n">
        <v>0</v>
      </c>
      <c r="K255" t="n">
        <v>1</v>
      </c>
      <c r="L255" t="n">
        <v>0</v>
      </c>
      <c r="M255" t="n">
        <v>0</v>
      </c>
      <c r="N255" t="n">
        <v>0</v>
      </c>
      <c r="O255" t="n">
        <v>1</v>
      </c>
      <c r="P255" t="n">
        <v>1</v>
      </c>
      <c r="Q255" t="n">
        <v>2</v>
      </c>
      <c r="R255" s="2" t="inlineStr">
        <is>
          <t>Knärot
Grönpyrola</t>
        </is>
      </c>
      <c r="S255">
        <f>HYPERLINK("https://klasma.github.io/Logging_0482/artfynd/A 38882-2021 artfynd.xlsx", "A 38882-2021")</f>
        <v/>
      </c>
      <c r="T255">
        <f>HYPERLINK("https://klasma.github.io/Logging_0482/kartor/A 38882-2021 karta.png", "A 38882-2021")</f>
        <v/>
      </c>
      <c r="U255">
        <f>HYPERLINK("https://klasma.github.io/Logging_0482/knärot/A 38882-2021 karta knärot.png", "A 38882-2021")</f>
        <v/>
      </c>
      <c r="V255">
        <f>HYPERLINK("https://klasma.github.io/Logging_0482/klagomål/A 38882-2021 FSC-klagomål.docx", "A 38882-2021")</f>
        <v/>
      </c>
      <c r="W255">
        <f>HYPERLINK("https://klasma.github.io/Logging_0482/klagomålsmail/A 38882-2021 FSC-klagomål mail.docx", "A 38882-2021")</f>
        <v/>
      </c>
      <c r="X255">
        <f>HYPERLINK("https://klasma.github.io/Logging_0482/tillsyn/A 38882-2021 tillsynsbegäran.docx", "A 38882-2021")</f>
        <v/>
      </c>
      <c r="Y255">
        <f>HYPERLINK("https://klasma.github.io/Logging_0482/tillsynsmail/A 38882-2021 tillsynsbegäran mail.docx", "A 38882-2021")</f>
        <v/>
      </c>
    </row>
    <row r="256" ht="15" customHeight="1">
      <c r="A256" t="inlineStr">
        <is>
          <t>A 51697-2021</t>
        </is>
      </c>
      <c r="B256" s="1" t="n">
        <v>44462</v>
      </c>
      <c r="C256" s="1" t="n">
        <v>45736</v>
      </c>
      <c r="D256" t="inlineStr">
        <is>
          <t>SÖDERMANLANDS LÄN</t>
        </is>
      </c>
      <c r="E256" t="inlineStr">
        <is>
          <t>NYKÖPING</t>
        </is>
      </c>
      <c r="F256" t="inlineStr">
        <is>
          <t>Sveaskog</t>
        </is>
      </c>
      <c r="G256" t="n">
        <v>2.6</v>
      </c>
      <c r="H256" t="n">
        <v>2</v>
      </c>
      <c r="I256" t="n">
        <v>0</v>
      </c>
      <c r="J256" t="n">
        <v>0</v>
      </c>
      <c r="K256" t="n">
        <v>0</v>
      </c>
      <c r="L256" t="n">
        <v>0</v>
      </c>
      <c r="M256" t="n">
        <v>0</v>
      </c>
      <c r="N256" t="n">
        <v>0</v>
      </c>
      <c r="O256" t="n">
        <v>0</v>
      </c>
      <c r="P256" t="n">
        <v>0</v>
      </c>
      <c r="Q256" t="n">
        <v>2</v>
      </c>
      <c r="R256" s="2" t="inlineStr">
        <is>
          <t>Mindre vattensalamander
Fläcknycklar</t>
        </is>
      </c>
      <c r="S256">
        <f>HYPERLINK("https://klasma.github.io/Logging_0480/artfynd/A 51697-2021 artfynd.xlsx", "A 51697-2021")</f>
        <v/>
      </c>
      <c r="T256">
        <f>HYPERLINK("https://klasma.github.io/Logging_0480/kartor/A 51697-2021 karta.png", "A 51697-2021")</f>
        <v/>
      </c>
      <c r="V256">
        <f>HYPERLINK("https://klasma.github.io/Logging_0480/klagomål/A 51697-2021 FSC-klagomål.docx", "A 51697-2021")</f>
        <v/>
      </c>
      <c r="W256">
        <f>HYPERLINK("https://klasma.github.io/Logging_0480/klagomålsmail/A 51697-2021 FSC-klagomål mail.docx", "A 51697-2021")</f>
        <v/>
      </c>
      <c r="X256">
        <f>HYPERLINK("https://klasma.github.io/Logging_0480/tillsyn/A 51697-2021 tillsynsbegäran.docx", "A 51697-2021")</f>
        <v/>
      </c>
      <c r="Y256">
        <f>HYPERLINK("https://klasma.github.io/Logging_0480/tillsynsmail/A 51697-2021 tillsynsbegäran mail.docx", "A 51697-2021")</f>
        <v/>
      </c>
    </row>
    <row r="257" ht="15" customHeight="1">
      <c r="A257" t="inlineStr">
        <is>
          <t>A 51705-2021</t>
        </is>
      </c>
      <c r="B257" s="1" t="n">
        <v>44462</v>
      </c>
      <c r="C257" s="1" t="n">
        <v>45736</v>
      </c>
      <c r="D257" t="inlineStr">
        <is>
          <t>SÖDERMANLANDS LÄN</t>
        </is>
      </c>
      <c r="E257" t="inlineStr">
        <is>
          <t>NYKÖPING</t>
        </is>
      </c>
      <c r="F257" t="inlineStr">
        <is>
          <t>Sveaskog</t>
        </is>
      </c>
      <c r="G257" t="n">
        <v>10.7</v>
      </c>
      <c r="H257" t="n">
        <v>2</v>
      </c>
      <c r="I257" t="n">
        <v>0</v>
      </c>
      <c r="J257" t="n">
        <v>0</v>
      </c>
      <c r="K257" t="n">
        <v>0</v>
      </c>
      <c r="L257" t="n">
        <v>0</v>
      </c>
      <c r="M257" t="n">
        <v>0</v>
      </c>
      <c r="N257" t="n">
        <v>0</v>
      </c>
      <c r="O257" t="n">
        <v>0</v>
      </c>
      <c r="P257" t="n">
        <v>0</v>
      </c>
      <c r="Q257" t="n">
        <v>2</v>
      </c>
      <c r="R257" s="2" t="inlineStr">
        <is>
          <t>Fläcknycklar
Blåsippa</t>
        </is>
      </c>
      <c r="S257">
        <f>HYPERLINK("https://klasma.github.io/Logging_0480/artfynd/A 51705-2021 artfynd.xlsx", "A 51705-2021")</f>
        <v/>
      </c>
      <c r="T257">
        <f>HYPERLINK("https://klasma.github.io/Logging_0480/kartor/A 51705-2021 karta.png", "A 51705-2021")</f>
        <v/>
      </c>
      <c r="V257">
        <f>HYPERLINK("https://klasma.github.io/Logging_0480/klagomål/A 51705-2021 FSC-klagomål.docx", "A 51705-2021")</f>
        <v/>
      </c>
      <c r="W257">
        <f>HYPERLINK("https://klasma.github.io/Logging_0480/klagomålsmail/A 51705-2021 FSC-klagomål mail.docx", "A 51705-2021")</f>
        <v/>
      </c>
      <c r="X257">
        <f>HYPERLINK("https://klasma.github.io/Logging_0480/tillsyn/A 51705-2021 tillsynsbegäran.docx", "A 51705-2021")</f>
        <v/>
      </c>
      <c r="Y257">
        <f>HYPERLINK("https://klasma.github.io/Logging_0480/tillsynsmail/A 51705-2021 tillsynsbegäran mail.docx", "A 51705-2021")</f>
        <v/>
      </c>
    </row>
    <row r="258" ht="15" customHeight="1">
      <c r="A258" t="inlineStr">
        <is>
          <t>A 54930-2021</t>
        </is>
      </c>
      <c r="B258" s="1" t="n">
        <v>44474</v>
      </c>
      <c r="C258" s="1" t="n">
        <v>45736</v>
      </c>
      <c r="D258" t="inlineStr">
        <is>
          <t>SÖDERMANLANDS LÄN</t>
        </is>
      </c>
      <c r="E258" t="inlineStr">
        <is>
          <t>NYKÖPING</t>
        </is>
      </c>
      <c r="G258" t="n">
        <v>3.4</v>
      </c>
      <c r="H258" t="n">
        <v>2</v>
      </c>
      <c r="I258" t="n">
        <v>0</v>
      </c>
      <c r="J258" t="n">
        <v>0</v>
      </c>
      <c r="K258" t="n">
        <v>2</v>
      </c>
      <c r="L258" t="n">
        <v>0</v>
      </c>
      <c r="M258" t="n">
        <v>0</v>
      </c>
      <c r="N258" t="n">
        <v>0</v>
      </c>
      <c r="O258" t="n">
        <v>2</v>
      </c>
      <c r="P258" t="n">
        <v>2</v>
      </c>
      <c r="Q258" t="n">
        <v>2</v>
      </c>
      <c r="R258" s="2" t="inlineStr">
        <is>
          <t>Bombmurkla
Knärot</t>
        </is>
      </c>
      <c r="S258">
        <f>HYPERLINK("https://klasma.github.io/Logging_0480/artfynd/A 54930-2021 artfynd.xlsx", "A 54930-2021")</f>
        <v/>
      </c>
      <c r="T258">
        <f>HYPERLINK("https://klasma.github.io/Logging_0480/kartor/A 54930-2021 karta.png", "A 54930-2021")</f>
        <v/>
      </c>
      <c r="U258">
        <f>HYPERLINK("https://klasma.github.io/Logging_0480/knärot/A 54930-2021 karta knärot.png", "A 54930-2021")</f>
        <v/>
      </c>
      <c r="V258">
        <f>HYPERLINK("https://klasma.github.io/Logging_0480/klagomål/A 54930-2021 FSC-klagomål.docx", "A 54930-2021")</f>
        <v/>
      </c>
      <c r="W258">
        <f>HYPERLINK("https://klasma.github.io/Logging_0480/klagomålsmail/A 54930-2021 FSC-klagomål mail.docx", "A 54930-2021")</f>
        <v/>
      </c>
      <c r="X258">
        <f>HYPERLINK("https://klasma.github.io/Logging_0480/tillsyn/A 54930-2021 tillsynsbegäran.docx", "A 54930-2021")</f>
        <v/>
      </c>
      <c r="Y258">
        <f>HYPERLINK("https://klasma.github.io/Logging_0480/tillsynsmail/A 54930-2021 tillsynsbegäran mail.docx", "A 54930-2021")</f>
        <v/>
      </c>
    </row>
    <row r="259" ht="15" customHeight="1">
      <c r="A259" t="inlineStr">
        <is>
          <t>A 56420-2021</t>
        </is>
      </c>
      <c r="B259" s="1" t="n">
        <v>44480</v>
      </c>
      <c r="C259" s="1" t="n">
        <v>45736</v>
      </c>
      <c r="D259" t="inlineStr">
        <is>
          <t>SÖDERMANLANDS LÄN</t>
        </is>
      </c>
      <c r="E259" t="inlineStr">
        <is>
          <t>NYKÖPING</t>
        </is>
      </c>
      <c r="F259" t="inlineStr">
        <is>
          <t>Holmen skog AB</t>
        </is>
      </c>
      <c r="G259" t="n">
        <v>2.8</v>
      </c>
      <c r="H259" t="n">
        <v>2</v>
      </c>
      <c r="I259" t="n">
        <v>0</v>
      </c>
      <c r="J259" t="n">
        <v>2</v>
      </c>
      <c r="K259" t="n">
        <v>0</v>
      </c>
      <c r="L259" t="n">
        <v>0</v>
      </c>
      <c r="M259" t="n">
        <v>0</v>
      </c>
      <c r="N259" t="n">
        <v>0</v>
      </c>
      <c r="O259" t="n">
        <v>2</v>
      </c>
      <c r="P259" t="n">
        <v>0</v>
      </c>
      <c r="Q259" t="n">
        <v>2</v>
      </c>
      <c r="R259" s="2" t="inlineStr">
        <is>
          <t>Björktrast
Kungsörn</t>
        </is>
      </c>
      <c r="S259">
        <f>HYPERLINK("https://klasma.github.io/Logging_0480/artfynd/A 56420-2021 artfynd.xlsx", "A 56420-2021")</f>
        <v/>
      </c>
      <c r="T259">
        <f>HYPERLINK("https://klasma.github.io/Logging_0480/kartor/A 56420-2021 karta.png", "A 56420-2021")</f>
        <v/>
      </c>
      <c r="V259">
        <f>HYPERLINK("https://klasma.github.io/Logging_0480/klagomål/A 56420-2021 FSC-klagomål.docx", "A 56420-2021")</f>
        <v/>
      </c>
      <c r="W259">
        <f>HYPERLINK("https://klasma.github.io/Logging_0480/klagomålsmail/A 56420-2021 FSC-klagomål mail.docx", "A 56420-2021")</f>
        <v/>
      </c>
      <c r="X259">
        <f>HYPERLINK("https://klasma.github.io/Logging_0480/tillsyn/A 56420-2021 tillsynsbegäran.docx", "A 56420-2021")</f>
        <v/>
      </c>
      <c r="Y259">
        <f>HYPERLINK("https://klasma.github.io/Logging_0480/tillsynsmail/A 56420-2021 tillsynsbegäran mail.docx", "A 56420-2021")</f>
        <v/>
      </c>
      <c r="Z259">
        <f>HYPERLINK("https://klasma.github.io/Logging_0480/fåglar/A 56420-2021 prioriterade fågelarter.docx", "A 56420-2021")</f>
        <v/>
      </c>
    </row>
    <row r="260" ht="15" customHeight="1">
      <c r="A260" t="inlineStr">
        <is>
          <t>A 56897-2021</t>
        </is>
      </c>
      <c r="B260" s="1" t="n">
        <v>44481</v>
      </c>
      <c r="C260" s="1" t="n">
        <v>45736</v>
      </c>
      <c r="D260" t="inlineStr">
        <is>
          <t>SÖDERMANLANDS LÄN</t>
        </is>
      </c>
      <c r="E260" t="inlineStr">
        <is>
          <t>KATRINEHOLM</t>
        </is>
      </c>
      <c r="F260" t="inlineStr">
        <is>
          <t>Kommuner</t>
        </is>
      </c>
      <c r="G260" t="n">
        <v>9.4</v>
      </c>
      <c r="H260" t="n">
        <v>2</v>
      </c>
      <c r="I260" t="n">
        <v>0</v>
      </c>
      <c r="J260" t="n">
        <v>0</v>
      </c>
      <c r="K260" t="n">
        <v>0</v>
      </c>
      <c r="L260" t="n">
        <v>0</v>
      </c>
      <c r="M260" t="n">
        <v>0</v>
      </c>
      <c r="N260" t="n">
        <v>0</v>
      </c>
      <c r="O260" t="n">
        <v>0</v>
      </c>
      <c r="P260" t="n">
        <v>0</v>
      </c>
      <c r="Q260" t="n">
        <v>2</v>
      </c>
      <c r="R260" s="2" t="inlineStr">
        <is>
          <t>Hökuggla
Blåsippa</t>
        </is>
      </c>
      <c r="S260">
        <f>HYPERLINK("https://klasma.github.io/Logging_0483/artfynd/A 56897-2021 artfynd.xlsx", "A 56897-2021")</f>
        <v/>
      </c>
      <c r="T260">
        <f>HYPERLINK("https://klasma.github.io/Logging_0483/kartor/A 56897-2021 karta.png", "A 56897-2021")</f>
        <v/>
      </c>
      <c r="V260">
        <f>HYPERLINK("https://klasma.github.io/Logging_0483/klagomål/A 56897-2021 FSC-klagomål.docx", "A 56897-2021")</f>
        <v/>
      </c>
      <c r="W260">
        <f>HYPERLINK("https://klasma.github.io/Logging_0483/klagomålsmail/A 56897-2021 FSC-klagomål mail.docx", "A 56897-2021")</f>
        <v/>
      </c>
      <c r="X260">
        <f>HYPERLINK("https://klasma.github.io/Logging_0483/tillsyn/A 56897-2021 tillsynsbegäran.docx", "A 56897-2021")</f>
        <v/>
      </c>
      <c r="Y260">
        <f>HYPERLINK("https://klasma.github.io/Logging_0483/tillsynsmail/A 56897-2021 tillsynsbegäran mail.docx", "A 56897-2021")</f>
        <v/>
      </c>
      <c r="Z260">
        <f>HYPERLINK("https://klasma.github.io/Logging_0483/fåglar/A 56897-2021 prioriterade fågelarter.docx", "A 56897-2021")</f>
        <v/>
      </c>
    </row>
    <row r="261" ht="15" customHeight="1">
      <c r="A261" t="inlineStr">
        <is>
          <t>A 60251-2021</t>
        </is>
      </c>
      <c r="B261" s="1" t="n">
        <v>44495</v>
      </c>
      <c r="C261" s="1" t="n">
        <v>45736</v>
      </c>
      <c r="D261" t="inlineStr">
        <is>
          <t>SÖDERMANLANDS LÄN</t>
        </is>
      </c>
      <c r="E261" t="inlineStr">
        <is>
          <t>FLEN</t>
        </is>
      </c>
      <c r="G261" t="n">
        <v>2.7</v>
      </c>
      <c r="H261" t="n">
        <v>0</v>
      </c>
      <c r="I261" t="n">
        <v>0</v>
      </c>
      <c r="J261" t="n">
        <v>1</v>
      </c>
      <c r="K261" t="n">
        <v>1</v>
      </c>
      <c r="L261" t="n">
        <v>0</v>
      </c>
      <c r="M261" t="n">
        <v>0</v>
      </c>
      <c r="N261" t="n">
        <v>0</v>
      </c>
      <c r="O261" t="n">
        <v>2</v>
      </c>
      <c r="P261" t="n">
        <v>1</v>
      </c>
      <c r="Q261" t="n">
        <v>2</v>
      </c>
      <c r="R261" s="2" t="inlineStr">
        <is>
          <t>Slåttergubbe
Klasefibbla</t>
        </is>
      </c>
      <c r="S261">
        <f>HYPERLINK("https://klasma.github.io/Logging_0482/artfynd/A 60251-2021 artfynd.xlsx", "A 60251-2021")</f>
        <v/>
      </c>
      <c r="T261">
        <f>HYPERLINK("https://klasma.github.io/Logging_0482/kartor/A 60251-2021 karta.png", "A 60251-2021")</f>
        <v/>
      </c>
      <c r="U261">
        <f>HYPERLINK("https://klasma.github.io/Logging_0482/knärot/A 60251-2021 karta knärot.png", "A 60251-2021")</f>
        <v/>
      </c>
      <c r="V261">
        <f>HYPERLINK("https://klasma.github.io/Logging_0482/klagomål/A 60251-2021 FSC-klagomål.docx", "A 60251-2021")</f>
        <v/>
      </c>
      <c r="W261">
        <f>HYPERLINK("https://klasma.github.io/Logging_0482/klagomålsmail/A 60251-2021 FSC-klagomål mail.docx", "A 60251-2021")</f>
        <v/>
      </c>
      <c r="X261">
        <f>HYPERLINK("https://klasma.github.io/Logging_0482/tillsyn/A 60251-2021 tillsynsbegäran.docx", "A 60251-2021")</f>
        <v/>
      </c>
      <c r="Y261">
        <f>HYPERLINK("https://klasma.github.io/Logging_0482/tillsynsmail/A 60251-2021 tillsynsbegäran mail.docx", "A 60251-2021")</f>
        <v/>
      </c>
    </row>
    <row r="262" ht="15" customHeight="1">
      <c r="A262" t="inlineStr">
        <is>
          <t>A 61384-2021</t>
        </is>
      </c>
      <c r="B262" s="1" t="n">
        <v>44500</v>
      </c>
      <c r="C262" s="1" t="n">
        <v>45736</v>
      </c>
      <c r="D262" t="inlineStr">
        <is>
          <t>SÖDERMANLANDS LÄN</t>
        </is>
      </c>
      <c r="E262" t="inlineStr">
        <is>
          <t>KATRINEHOLM</t>
        </is>
      </c>
      <c r="G262" t="n">
        <v>5</v>
      </c>
      <c r="H262" t="n">
        <v>1</v>
      </c>
      <c r="I262" t="n">
        <v>0</v>
      </c>
      <c r="J262" t="n">
        <v>1</v>
      </c>
      <c r="K262" t="n">
        <v>1</v>
      </c>
      <c r="L262" t="n">
        <v>0</v>
      </c>
      <c r="M262" t="n">
        <v>0</v>
      </c>
      <c r="N262" t="n">
        <v>0</v>
      </c>
      <c r="O262" t="n">
        <v>2</v>
      </c>
      <c r="P262" t="n">
        <v>1</v>
      </c>
      <c r="Q262" t="n">
        <v>2</v>
      </c>
      <c r="R262" s="2" t="inlineStr">
        <is>
          <t>Knärot
Kungsspindling</t>
        </is>
      </c>
      <c r="S262">
        <f>HYPERLINK("https://klasma.github.io/Logging_0483/artfynd/A 61384-2021 artfynd.xlsx", "A 61384-2021")</f>
        <v/>
      </c>
      <c r="T262">
        <f>HYPERLINK("https://klasma.github.io/Logging_0483/kartor/A 61384-2021 karta.png", "A 61384-2021")</f>
        <v/>
      </c>
      <c r="U262">
        <f>HYPERLINK("https://klasma.github.io/Logging_0483/knärot/A 61384-2021 karta knärot.png", "A 61384-2021")</f>
        <v/>
      </c>
      <c r="V262">
        <f>HYPERLINK("https://klasma.github.io/Logging_0483/klagomål/A 61384-2021 FSC-klagomål.docx", "A 61384-2021")</f>
        <v/>
      </c>
      <c r="W262">
        <f>HYPERLINK("https://klasma.github.io/Logging_0483/klagomålsmail/A 61384-2021 FSC-klagomål mail.docx", "A 61384-2021")</f>
        <v/>
      </c>
      <c r="X262">
        <f>HYPERLINK("https://klasma.github.io/Logging_0483/tillsyn/A 61384-2021 tillsynsbegäran.docx", "A 61384-2021")</f>
        <v/>
      </c>
      <c r="Y262">
        <f>HYPERLINK("https://klasma.github.io/Logging_0483/tillsynsmail/A 61384-2021 tillsynsbegäran mail.docx", "A 61384-2021")</f>
        <v/>
      </c>
    </row>
    <row r="263" ht="15" customHeight="1">
      <c r="A263" t="inlineStr">
        <is>
          <t>A 69068-2021</t>
        </is>
      </c>
      <c r="B263" s="1" t="n">
        <v>44530</v>
      </c>
      <c r="C263" s="1" t="n">
        <v>45736</v>
      </c>
      <c r="D263" t="inlineStr">
        <is>
          <t>SÖDERMANLANDS LÄN</t>
        </is>
      </c>
      <c r="E263" t="inlineStr">
        <is>
          <t>ESKILSTUNA</t>
        </is>
      </c>
      <c r="G263" t="n">
        <v>3.9</v>
      </c>
      <c r="H263" t="n">
        <v>0</v>
      </c>
      <c r="I263" t="n">
        <v>1</v>
      </c>
      <c r="J263" t="n">
        <v>1</v>
      </c>
      <c r="K263" t="n">
        <v>0</v>
      </c>
      <c r="L263" t="n">
        <v>0</v>
      </c>
      <c r="M263" t="n">
        <v>0</v>
      </c>
      <c r="N263" t="n">
        <v>0</v>
      </c>
      <c r="O263" t="n">
        <v>1</v>
      </c>
      <c r="P263" t="n">
        <v>0</v>
      </c>
      <c r="Q263" t="n">
        <v>2</v>
      </c>
      <c r="R263" s="2" t="inlineStr">
        <is>
          <t>Tallticka
Mindre märgborre</t>
        </is>
      </c>
      <c r="S263">
        <f>HYPERLINK("https://klasma.github.io/Logging_0484/artfynd/A 69068-2021 artfynd.xlsx", "A 69068-2021")</f>
        <v/>
      </c>
      <c r="T263">
        <f>HYPERLINK("https://klasma.github.io/Logging_0484/kartor/A 69068-2021 karta.png", "A 69068-2021")</f>
        <v/>
      </c>
      <c r="V263">
        <f>HYPERLINK("https://klasma.github.io/Logging_0484/klagomål/A 69068-2021 FSC-klagomål.docx", "A 69068-2021")</f>
        <v/>
      </c>
      <c r="W263">
        <f>HYPERLINK("https://klasma.github.io/Logging_0484/klagomålsmail/A 69068-2021 FSC-klagomål mail.docx", "A 69068-2021")</f>
        <v/>
      </c>
      <c r="X263">
        <f>HYPERLINK("https://klasma.github.io/Logging_0484/tillsyn/A 69068-2021 tillsynsbegäran.docx", "A 69068-2021")</f>
        <v/>
      </c>
      <c r="Y263">
        <f>HYPERLINK("https://klasma.github.io/Logging_0484/tillsynsmail/A 69068-2021 tillsynsbegäran mail.docx", "A 69068-2021")</f>
        <v/>
      </c>
    </row>
    <row r="264" ht="15" customHeight="1">
      <c r="A264" t="inlineStr">
        <is>
          <t>A 70501-2021</t>
        </is>
      </c>
      <c r="B264" s="1" t="n">
        <v>44536</v>
      </c>
      <c r="C264" s="1" t="n">
        <v>45736</v>
      </c>
      <c r="D264" t="inlineStr">
        <is>
          <t>SÖDERMANLANDS LÄN</t>
        </is>
      </c>
      <c r="E264" t="inlineStr">
        <is>
          <t>KATRINEHOLM</t>
        </is>
      </c>
      <c r="G264" t="n">
        <v>5.8</v>
      </c>
      <c r="H264" t="n">
        <v>0</v>
      </c>
      <c r="I264" t="n">
        <v>1</v>
      </c>
      <c r="J264" t="n">
        <v>1</v>
      </c>
      <c r="K264" t="n">
        <v>0</v>
      </c>
      <c r="L264" t="n">
        <v>0</v>
      </c>
      <c r="M264" t="n">
        <v>0</v>
      </c>
      <c r="N264" t="n">
        <v>0</v>
      </c>
      <c r="O264" t="n">
        <v>1</v>
      </c>
      <c r="P264" t="n">
        <v>0</v>
      </c>
      <c r="Q264" t="n">
        <v>2</v>
      </c>
      <c r="R264" s="2" t="inlineStr">
        <is>
          <t>Tallticka
Grovticka</t>
        </is>
      </c>
      <c r="S264">
        <f>HYPERLINK("https://klasma.github.io/Logging_0483/artfynd/A 70501-2021 artfynd.xlsx", "A 70501-2021")</f>
        <v/>
      </c>
      <c r="T264">
        <f>HYPERLINK("https://klasma.github.io/Logging_0483/kartor/A 70501-2021 karta.png", "A 70501-2021")</f>
        <v/>
      </c>
      <c r="V264">
        <f>HYPERLINK("https://klasma.github.io/Logging_0483/klagomål/A 70501-2021 FSC-klagomål.docx", "A 70501-2021")</f>
        <v/>
      </c>
      <c r="W264">
        <f>HYPERLINK("https://klasma.github.io/Logging_0483/klagomålsmail/A 70501-2021 FSC-klagomål mail.docx", "A 70501-2021")</f>
        <v/>
      </c>
      <c r="X264">
        <f>HYPERLINK("https://klasma.github.io/Logging_0483/tillsyn/A 70501-2021 tillsynsbegäran.docx", "A 70501-2021")</f>
        <v/>
      </c>
      <c r="Y264">
        <f>HYPERLINK("https://klasma.github.io/Logging_0483/tillsynsmail/A 70501-2021 tillsynsbegäran mail.docx", "A 70501-2021")</f>
        <v/>
      </c>
    </row>
    <row r="265" ht="15" customHeight="1">
      <c r="A265" t="inlineStr">
        <is>
          <t>A 71969-2021</t>
        </is>
      </c>
      <c r="B265" s="1" t="n">
        <v>44544</v>
      </c>
      <c r="C265" s="1" t="n">
        <v>45736</v>
      </c>
      <c r="D265" t="inlineStr">
        <is>
          <t>SÖDERMANLANDS LÄN</t>
        </is>
      </c>
      <c r="E265" t="inlineStr">
        <is>
          <t>ESKILSTUNA</t>
        </is>
      </c>
      <c r="G265" t="n">
        <v>6</v>
      </c>
      <c r="H265" t="n">
        <v>1</v>
      </c>
      <c r="I265" t="n">
        <v>1</v>
      </c>
      <c r="J265" t="n">
        <v>0</v>
      </c>
      <c r="K265" t="n">
        <v>0</v>
      </c>
      <c r="L265" t="n">
        <v>0</v>
      </c>
      <c r="M265" t="n">
        <v>0</v>
      </c>
      <c r="N265" t="n">
        <v>0</v>
      </c>
      <c r="O265" t="n">
        <v>0</v>
      </c>
      <c r="P265" t="n">
        <v>0</v>
      </c>
      <c r="Q265" t="n">
        <v>2</v>
      </c>
      <c r="R265" s="2" t="inlineStr">
        <is>
          <t>Fjällig taggsvamp s.str.
Blåsippa</t>
        </is>
      </c>
      <c r="S265">
        <f>HYPERLINK("https://klasma.github.io/Logging_0484/artfynd/A 71969-2021 artfynd.xlsx", "A 71969-2021")</f>
        <v/>
      </c>
      <c r="T265">
        <f>HYPERLINK("https://klasma.github.io/Logging_0484/kartor/A 71969-2021 karta.png", "A 71969-2021")</f>
        <v/>
      </c>
      <c r="V265">
        <f>HYPERLINK("https://klasma.github.io/Logging_0484/klagomål/A 71969-2021 FSC-klagomål.docx", "A 71969-2021")</f>
        <v/>
      </c>
      <c r="W265">
        <f>HYPERLINK("https://klasma.github.io/Logging_0484/klagomålsmail/A 71969-2021 FSC-klagomål mail.docx", "A 71969-2021")</f>
        <v/>
      </c>
      <c r="X265">
        <f>HYPERLINK("https://klasma.github.io/Logging_0484/tillsyn/A 71969-2021 tillsynsbegäran.docx", "A 71969-2021")</f>
        <v/>
      </c>
      <c r="Y265">
        <f>HYPERLINK("https://klasma.github.io/Logging_0484/tillsynsmail/A 71969-2021 tillsynsbegäran mail.docx", "A 71969-2021")</f>
        <v/>
      </c>
    </row>
    <row r="266" ht="15" customHeight="1">
      <c r="A266" t="inlineStr">
        <is>
          <t>A 10825-2022</t>
        </is>
      </c>
      <c r="B266" s="1" t="n">
        <v>44624</v>
      </c>
      <c r="C266" s="1" t="n">
        <v>45736</v>
      </c>
      <c r="D266" t="inlineStr">
        <is>
          <t>SÖDERMANLANDS LÄN</t>
        </is>
      </c>
      <c r="E266" t="inlineStr">
        <is>
          <t>FLEN</t>
        </is>
      </c>
      <c r="G266" t="n">
        <v>4.7</v>
      </c>
      <c r="H266" t="n">
        <v>0</v>
      </c>
      <c r="I266" t="n">
        <v>0</v>
      </c>
      <c r="J266" t="n">
        <v>2</v>
      </c>
      <c r="K266" t="n">
        <v>0</v>
      </c>
      <c r="L266" t="n">
        <v>0</v>
      </c>
      <c r="M266" t="n">
        <v>0</v>
      </c>
      <c r="N266" t="n">
        <v>0</v>
      </c>
      <c r="O266" t="n">
        <v>2</v>
      </c>
      <c r="P266" t="n">
        <v>0</v>
      </c>
      <c r="Q266" t="n">
        <v>2</v>
      </c>
      <c r="R266" s="2" t="inlineStr">
        <is>
          <t>Svinrot
Vanlig backsmörblomma</t>
        </is>
      </c>
      <c r="S266">
        <f>HYPERLINK("https://klasma.github.io/Logging_0482/artfynd/A 10825-2022 artfynd.xlsx", "A 10825-2022")</f>
        <v/>
      </c>
      <c r="T266">
        <f>HYPERLINK("https://klasma.github.io/Logging_0482/kartor/A 10825-2022 karta.png", "A 10825-2022")</f>
        <v/>
      </c>
      <c r="V266">
        <f>HYPERLINK("https://klasma.github.io/Logging_0482/klagomål/A 10825-2022 FSC-klagomål.docx", "A 10825-2022")</f>
        <v/>
      </c>
      <c r="W266">
        <f>HYPERLINK("https://klasma.github.io/Logging_0482/klagomålsmail/A 10825-2022 FSC-klagomål mail.docx", "A 10825-2022")</f>
        <v/>
      </c>
      <c r="X266">
        <f>HYPERLINK("https://klasma.github.io/Logging_0482/tillsyn/A 10825-2022 tillsynsbegäran.docx", "A 10825-2022")</f>
        <v/>
      </c>
      <c r="Y266">
        <f>HYPERLINK("https://klasma.github.io/Logging_0482/tillsynsmail/A 10825-2022 tillsynsbegäran mail.docx", "A 10825-2022")</f>
        <v/>
      </c>
    </row>
    <row r="267" ht="15" customHeight="1">
      <c r="A267" t="inlineStr">
        <is>
          <t>A 11640-2022</t>
        </is>
      </c>
      <c r="B267" s="1" t="n">
        <v>44631</v>
      </c>
      <c r="C267" s="1" t="n">
        <v>45736</v>
      </c>
      <c r="D267" t="inlineStr">
        <is>
          <t>SÖDERMANLANDS LÄN</t>
        </is>
      </c>
      <c r="E267" t="inlineStr">
        <is>
          <t>NYKÖPING</t>
        </is>
      </c>
      <c r="F267" t="inlineStr">
        <is>
          <t>Kyrkan</t>
        </is>
      </c>
      <c r="G267" t="n">
        <v>7.6</v>
      </c>
      <c r="H267" t="n">
        <v>0</v>
      </c>
      <c r="I267" t="n">
        <v>2</v>
      </c>
      <c r="J267" t="n">
        <v>0</v>
      </c>
      <c r="K267" t="n">
        <v>0</v>
      </c>
      <c r="L267" t="n">
        <v>0</v>
      </c>
      <c r="M267" t="n">
        <v>0</v>
      </c>
      <c r="N267" t="n">
        <v>0</v>
      </c>
      <c r="O267" t="n">
        <v>0</v>
      </c>
      <c r="P267" t="n">
        <v>0</v>
      </c>
      <c r="Q267" t="n">
        <v>2</v>
      </c>
      <c r="R267" s="2" t="inlineStr">
        <is>
          <t>Fjällig taggsvamp s.str.
Granbarkgnagare</t>
        </is>
      </c>
      <c r="S267">
        <f>HYPERLINK("https://klasma.github.io/Logging_0480/artfynd/A 11640-2022 artfynd.xlsx", "A 11640-2022")</f>
        <v/>
      </c>
      <c r="T267">
        <f>HYPERLINK("https://klasma.github.io/Logging_0480/kartor/A 11640-2022 karta.png", "A 11640-2022")</f>
        <v/>
      </c>
      <c r="V267">
        <f>HYPERLINK("https://klasma.github.io/Logging_0480/klagomål/A 11640-2022 FSC-klagomål.docx", "A 11640-2022")</f>
        <v/>
      </c>
      <c r="W267">
        <f>HYPERLINK("https://klasma.github.io/Logging_0480/klagomålsmail/A 11640-2022 FSC-klagomål mail.docx", "A 11640-2022")</f>
        <v/>
      </c>
      <c r="X267">
        <f>HYPERLINK("https://klasma.github.io/Logging_0480/tillsyn/A 11640-2022 tillsynsbegäran.docx", "A 11640-2022")</f>
        <v/>
      </c>
      <c r="Y267">
        <f>HYPERLINK("https://klasma.github.io/Logging_0480/tillsynsmail/A 11640-2022 tillsynsbegäran mail.docx", "A 11640-2022")</f>
        <v/>
      </c>
    </row>
    <row r="268" ht="15" customHeight="1">
      <c r="A268" t="inlineStr">
        <is>
          <t>A 12369-2022</t>
        </is>
      </c>
      <c r="B268" s="1" t="n">
        <v>44637</v>
      </c>
      <c r="C268" s="1" t="n">
        <v>45736</v>
      </c>
      <c r="D268" t="inlineStr">
        <is>
          <t>SÖDERMANLANDS LÄN</t>
        </is>
      </c>
      <c r="E268" t="inlineStr">
        <is>
          <t>NYKÖPING</t>
        </is>
      </c>
      <c r="G268" t="n">
        <v>1.1</v>
      </c>
      <c r="H268" t="n">
        <v>0</v>
      </c>
      <c r="I268" t="n">
        <v>1</v>
      </c>
      <c r="J268" t="n">
        <v>1</v>
      </c>
      <c r="K268" t="n">
        <v>0</v>
      </c>
      <c r="L268" t="n">
        <v>0</v>
      </c>
      <c r="M268" t="n">
        <v>0</v>
      </c>
      <c r="N268" t="n">
        <v>0</v>
      </c>
      <c r="O268" t="n">
        <v>1</v>
      </c>
      <c r="P268" t="n">
        <v>0</v>
      </c>
      <c r="Q268" t="n">
        <v>2</v>
      </c>
      <c r="R268" s="2" t="inlineStr">
        <is>
          <t>Tallticka
Granbarkgnagare</t>
        </is>
      </c>
      <c r="S268">
        <f>HYPERLINK("https://klasma.github.io/Logging_0480/artfynd/A 12369-2022 artfynd.xlsx", "A 12369-2022")</f>
        <v/>
      </c>
      <c r="T268">
        <f>HYPERLINK("https://klasma.github.io/Logging_0480/kartor/A 12369-2022 karta.png", "A 12369-2022")</f>
        <v/>
      </c>
      <c r="V268">
        <f>HYPERLINK("https://klasma.github.io/Logging_0480/klagomål/A 12369-2022 FSC-klagomål.docx", "A 12369-2022")</f>
        <v/>
      </c>
      <c r="W268">
        <f>HYPERLINK("https://klasma.github.io/Logging_0480/klagomålsmail/A 12369-2022 FSC-klagomål mail.docx", "A 12369-2022")</f>
        <v/>
      </c>
      <c r="X268">
        <f>HYPERLINK("https://klasma.github.io/Logging_0480/tillsyn/A 12369-2022 tillsynsbegäran.docx", "A 12369-2022")</f>
        <v/>
      </c>
      <c r="Y268">
        <f>HYPERLINK("https://klasma.github.io/Logging_0480/tillsynsmail/A 12369-2022 tillsynsbegäran mail.docx", "A 12369-2022")</f>
        <v/>
      </c>
    </row>
    <row r="269" ht="15" customHeight="1">
      <c r="A269" t="inlineStr">
        <is>
          <t>A 12671-2022</t>
        </is>
      </c>
      <c r="B269" s="1" t="n">
        <v>44641</v>
      </c>
      <c r="C269" s="1" t="n">
        <v>45736</v>
      </c>
      <c r="D269" t="inlineStr">
        <is>
          <t>SÖDERMANLANDS LÄN</t>
        </is>
      </c>
      <c r="E269" t="inlineStr">
        <is>
          <t>STRÄNGNÄS</t>
        </is>
      </c>
      <c r="G269" t="n">
        <v>6</v>
      </c>
      <c r="H269" t="n">
        <v>2</v>
      </c>
      <c r="I269" t="n">
        <v>0</v>
      </c>
      <c r="J269" t="n">
        <v>2</v>
      </c>
      <c r="K269" t="n">
        <v>0</v>
      </c>
      <c r="L269" t="n">
        <v>0</v>
      </c>
      <c r="M269" t="n">
        <v>0</v>
      </c>
      <c r="N269" t="n">
        <v>0</v>
      </c>
      <c r="O269" t="n">
        <v>2</v>
      </c>
      <c r="P269" t="n">
        <v>0</v>
      </c>
      <c r="Q269" t="n">
        <v>2</v>
      </c>
      <c r="R269" s="2" t="inlineStr">
        <is>
          <t>Fiskmås
Svartvit flugsnappare</t>
        </is>
      </c>
      <c r="S269">
        <f>HYPERLINK("https://klasma.github.io/Logging_0486/artfynd/A 12671-2022 artfynd.xlsx", "A 12671-2022")</f>
        <v/>
      </c>
      <c r="T269">
        <f>HYPERLINK("https://klasma.github.io/Logging_0486/kartor/A 12671-2022 karta.png", "A 12671-2022")</f>
        <v/>
      </c>
      <c r="V269">
        <f>HYPERLINK("https://klasma.github.io/Logging_0486/klagomål/A 12671-2022 FSC-klagomål.docx", "A 12671-2022")</f>
        <v/>
      </c>
      <c r="W269">
        <f>HYPERLINK("https://klasma.github.io/Logging_0486/klagomålsmail/A 12671-2022 FSC-klagomål mail.docx", "A 12671-2022")</f>
        <v/>
      </c>
      <c r="X269">
        <f>HYPERLINK("https://klasma.github.io/Logging_0486/tillsyn/A 12671-2022 tillsynsbegäran.docx", "A 12671-2022")</f>
        <v/>
      </c>
      <c r="Y269">
        <f>HYPERLINK("https://klasma.github.io/Logging_0486/tillsynsmail/A 12671-2022 tillsynsbegäran mail.docx", "A 12671-2022")</f>
        <v/>
      </c>
      <c r="Z269">
        <f>HYPERLINK("https://klasma.github.io/Logging_0486/fåglar/A 12671-2022 prioriterade fågelarter.docx", "A 12671-2022")</f>
        <v/>
      </c>
    </row>
    <row r="270" ht="15" customHeight="1">
      <c r="A270" t="inlineStr">
        <is>
          <t>A 13760-2022</t>
        </is>
      </c>
      <c r="B270" s="1" t="n">
        <v>44649</v>
      </c>
      <c r="C270" s="1" t="n">
        <v>45736</v>
      </c>
      <c r="D270" t="inlineStr">
        <is>
          <t>SÖDERMANLANDS LÄN</t>
        </is>
      </c>
      <c r="E270" t="inlineStr">
        <is>
          <t>TROSA</t>
        </is>
      </c>
      <c r="F270" t="inlineStr">
        <is>
          <t>Övriga statliga verk och myndigheter</t>
        </is>
      </c>
      <c r="G270" t="n">
        <v>2</v>
      </c>
      <c r="H270" t="n">
        <v>0</v>
      </c>
      <c r="I270" t="n">
        <v>1</v>
      </c>
      <c r="J270" t="n">
        <v>0</v>
      </c>
      <c r="K270" t="n">
        <v>0</v>
      </c>
      <c r="L270" t="n">
        <v>1</v>
      </c>
      <c r="M270" t="n">
        <v>0</v>
      </c>
      <c r="N270" t="n">
        <v>0</v>
      </c>
      <c r="O270" t="n">
        <v>1</v>
      </c>
      <c r="P270" t="n">
        <v>1</v>
      </c>
      <c r="Q270" t="n">
        <v>2</v>
      </c>
      <c r="R270" s="2" t="inlineStr">
        <is>
          <t>Ask
Strutbräken</t>
        </is>
      </c>
      <c r="S270">
        <f>HYPERLINK("https://klasma.github.io/Logging_0488/artfynd/A 13760-2022 artfynd.xlsx", "A 13760-2022")</f>
        <v/>
      </c>
      <c r="T270">
        <f>HYPERLINK("https://klasma.github.io/Logging_0488/kartor/A 13760-2022 karta.png", "A 13760-2022")</f>
        <v/>
      </c>
      <c r="V270">
        <f>HYPERLINK("https://klasma.github.io/Logging_0488/klagomål/A 13760-2022 FSC-klagomål.docx", "A 13760-2022")</f>
        <v/>
      </c>
      <c r="W270">
        <f>HYPERLINK("https://klasma.github.io/Logging_0488/klagomålsmail/A 13760-2022 FSC-klagomål mail.docx", "A 13760-2022")</f>
        <v/>
      </c>
      <c r="X270">
        <f>HYPERLINK("https://klasma.github.io/Logging_0488/tillsyn/A 13760-2022 tillsynsbegäran.docx", "A 13760-2022")</f>
        <v/>
      </c>
      <c r="Y270">
        <f>HYPERLINK("https://klasma.github.io/Logging_0488/tillsynsmail/A 13760-2022 tillsynsbegäran mail.docx", "A 13760-2022")</f>
        <v/>
      </c>
    </row>
    <row r="271" ht="15" customHeight="1">
      <c r="A271" t="inlineStr">
        <is>
          <t>A 22743-2022</t>
        </is>
      </c>
      <c r="B271" s="1" t="n">
        <v>44714</v>
      </c>
      <c r="C271" s="1" t="n">
        <v>45736</v>
      </c>
      <c r="D271" t="inlineStr">
        <is>
          <t>SÖDERMANLANDS LÄN</t>
        </is>
      </c>
      <c r="E271" t="inlineStr">
        <is>
          <t>FLEN</t>
        </is>
      </c>
      <c r="G271" t="n">
        <v>0.8</v>
      </c>
      <c r="H271" t="n">
        <v>2</v>
      </c>
      <c r="I271" t="n">
        <v>1</v>
      </c>
      <c r="J271" t="n">
        <v>1</v>
      </c>
      <c r="K271" t="n">
        <v>0</v>
      </c>
      <c r="L271" t="n">
        <v>0</v>
      </c>
      <c r="M271" t="n">
        <v>0</v>
      </c>
      <c r="N271" t="n">
        <v>0</v>
      </c>
      <c r="O271" t="n">
        <v>1</v>
      </c>
      <c r="P271" t="n">
        <v>0</v>
      </c>
      <c r="Q271" t="n">
        <v>2</v>
      </c>
      <c r="R271" s="2" t="inlineStr">
        <is>
          <t>Tretåig hackspett
Grön sköldmossa</t>
        </is>
      </c>
      <c r="S271">
        <f>HYPERLINK("https://klasma.github.io/Logging_0482/artfynd/A 22743-2022 artfynd.xlsx", "A 22743-2022")</f>
        <v/>
      </c>
      <c r="T271">
        <f>HYPERLINK("https://klasma.github.io/Logging_0482/kartor/A 22743-2022 karta.png", "A 22743-2022")</f>
        <v/>
      </c>
      <c r="V271">
        <f>HYPERLINK("https://klasma.github.io/Logging_0482/klagomål/A 22743-2022 FSC-klagomål.docx", "A 22743-2022")</f>
        <v/>
      </c>
      <c r="W271">
        <f>HYPERLINK("https://klasma.github.io/Logging_0482/klagomålsmail/A 22743-2022 FSC-klagomål mail.docx", "A 22743-2022")</f>
        <v/>
      </c>
      <c r="X271">
        <f>HYPERLINK("https://klasma.github.io/Logging_0482/tillsyn/A 22743-2022 tillsynsbegäran.docx", "A 22743-2022")</f>
        <v/>
      </c>
      <c r="Y271">
        <f>HYPERLINK("https://klasma.github.io/Logging_0482/tillsynsmail/A 22743-2022 tillsynsbegäran mail.docx", "A 22743-2022")</f>
        <v/>
      </c>
      <c r="Z271">
        <f>HYPERLINK("https://klasma.github.io/Logging_0482/fåglar/A 22743-2022 prioriterade fågelarter.docx", "A 22743-2022")</f>
        <v/>
      </c>
    </row>
    <row r="272" ht="15" customHeight="1">
      <c r="A272" t="inlineStr">
        <is>
          <t>A 25183-2022</t>
        </is>
      </c>
      <c r="B272" s="1" t="n">
        <v>44729</v>
      </c>
      <c r="C272" s="1" t="n">
        <v>45736</v>
      </c>
      <c r="D272" t="inlineStr">
        <is>
          <t>SÖDERMANLANDS LÄN</t>
        </is>
      </c>
      <c r="E272" t="inlineStr">
        <is>
          <t>NYKÖPING</t>
        </is>
      </c>
      <c r="G272" t="n">
        <v>3</v>
      </c>
      <c r="H272" t="n">
        <v>0</v>
      </c>
      <c r="I272" t="n">
        <v>2</v>
      </c>
      <c r="J272" t="n">
        <v>0</v>
      </c>
      <c r="K272" t="n">
        <v>0</v>
      </c>
      <c r="L272" t="n">
        <v>0</v>
      </c>
      <c r="M272" t="n">
        <v>0</v>
      </c>
      <c r="N272" t="n">
        <v>0</v>
      </c>
      <c r="O272" t="n">
        <v>0</v>
      </c>
      <c r="P272" t="n">
        <v>0</v>
      </c>
      <c r="Q272" t="n">
        <v>2</v>
      </c>
      <c r="R272" s="2" t="inlineStr">
        <is>
          <t>Gul vaxskivling
Ängsvaxskivling</t>
        </is>
      </c>
      <c r="S272">
        <f>HYPERLINK("https://klasma.github.io/Logging_0480/artfynd/A 25183-2022 artfynd.xlsx", "A 25183-2022")</f>
        <v/>
      </c>
      <c r="T272">
        <f>HYPERLINK("https://klasma.github.io/Logging_0480/kartor/A 25183-2022 karta.png", "A 25183-2022")</f>
        <v/>
      </c>
      <c r="V272">
        <f>HYPERLINK("https://klasma.github.io/Logging_0480/klagomål/A 25183-2022 FSC-klagomål.docx", "A 25183-2022")</f>
        <v/>
      </c>
      <c r="W272">
        <f>HYPERLINK("https://klasma.github.io/Logging_0480/klagomålsmail/A 25183-2022 FSC-klagomål mail.docx", "A 25183-2022")</f>
        <v/>
      </c>
      <c r="X272">
        <f>HYPERLINK("https://klasma.github.io/Logging_0480/tillsyn/A 25183-2022 tillsynsbegäran.docx", "A 25183-2022")</f>
        <v/>
      </c>
      <c r="Y272">
        <f>HYPERLINK("https://klasma.github.io/Logging_0480/tillsynsmail/A 25183-2022 tillsynsbegäran mail.docx", "A 25183-2022")</f>
        <v/>
      </c>
    </row>
    <row r="273" ht="15" customHeight="1">
      <c r="A273" t="inlineStr">
        <is>
          <t>A 34310-2022</t>
        </is>
      </c>
      <c r="B273" s="1" t="n">
        <v>44792</v>
      </c>
      <c r="C273" s="1" t="n">
        <v>45736</v>
      </c>
      <c r="D273" t="inlineStr">
        <is>
          <t>SÖDERMANLANDS LÄN</t>
        </is>
      </c>
      <c r="E273" t="inlineStr">
        <is>
          <t>NYKÖPING</t>
        </is>
      </c>
      <c r="G273" t="n">
        <v>1</v>
      </c>
      <c r="H273" t="n">
        <v>1</v>
      </c>
      <c r="I273" t="n">
        <v>1</v>
      </c>
      <c r="J273" t="n">
        <v>0</v>
      </c>
      <c r="K273" t="n">
        <v>1</v>
      </c>
      <c r="L273" t="n">
        <v>0</v>
      </c>
      <c r="M273" t="n">
        <v>0</v>
      </c>
      <c r="N273" t="n">
        <v>0</v>
      </c>
      <c r="O273" t="n">
        <v>1</v>
      </c>
      <c r="P273" t="n">
        <v>1</v>
      </c>
      <c r="Q273" t="n">
        <v>2</v>
      </c>
      <c r="R273" s="2" t="inlineStr">
        <is>
          <t>Bombmurkla
Grönpyrola</t>
        </is>
      </c>
      <c r="S273">
        <f>HYPERLINK("https://klasma.github.io/Logging_0480/artfynd/A 34310-2022 artfynd.xlsx", "A 34310-2022")</f>
        <v/>
      </c>
      <c r="T273">
        <f>HYPERLINK("https://klasma.github.io/Logging_0480/kartor/A 34310-2022 karta.png", "A 34310-2022")</f>
        <v/>
      </c>
      <c r="V273">
        <f>HYPERLINK("https://klasma.github.io/Logging_0480/klagomål/A 34310-2022 FSC-klagomål.docx", "A 34310-2022")</f>
        <v/>
      </c>
      <c r="W273">
        <f>HYPERLINK("https://klasma.github.io/Logging_0480/klagomålsmail/A 34310-2022 FSC-klagomål mail.docx", "A 34310-2022")</f>
        <v/>
      </c>
      <c r="X273">
        <f>HYPERLINK("https://klasma.github.io/Logging_0480/tillsyn/A 34310-2022 tillsynsbegäran.docx", "A 34310-2022")</f>
        <v/>
      </c>
      <c r="Y273">
        <f>HYPERLINK("https://klasma.github.io/Logging_0480/tillsynsmail/A 34310-2022 tillsynsbegäran mail.docx", "A 34310-2022")</f>
        <v/>
      </c>
    </row>
    <row r="274" ht="15" customHeight="1">
      <c r="A274" t="inlineStr">
        <is>
          <t>A 37537-2022</t>
        </is>
      </c>
      <c r="B274" s="1" t="n">
        <v>44809</v>
      </c>
      <c r="C274" s="1" t="n">
        <v>45736</v>
      </c>
      <c r="D274" t="inlineStr">
        <is>
          <t>SÖDERMANLANDS LÄN</t>
        </is>
      </c>
      <c r="E274" t="inlineStr">
        <is>
          <t>KATRINEHOLM</t>
        </is>
      </c>
      <c r="G274" t="n">
        <v>1.4</v>
      </c>
      <c r="H274" t="n">
        <v>0</v>
      </c>
      <c r="I274" t="n">
        <v>2</v>
      </c>
      <c r="J274" t="n">
        <v>0</v>
      </c>
      <c r="K274" t="n">
        <v>0</v>
      </c>
      <c r="L274" t="n">
        <v>0</v>
      </c>
      <c r="M274" t="n">
        <v>0</v>
      </c>
      <c r="N274" t="n">
        <v>0</v>
      </c>
      <c r="O274" t="n">
        <v>0</v>
      </c>
      <c r="P274" t="n">
        <v>0</v>
      </c>
      <c r="Q274" t="n">
        <v>2</v>
      </c>
      <c r="R274" s="2" t="inlineStr">
        <is>
          <t>Myskmadra
Svart trolldruva</t>
        </is>
      </c>
      <c r="S274">
        <f>HYPERLINK("https://klasma.github.io/Logging_0483/artfynd/A 37537-2022 artfynd.xlsx", "A 37537-2022")</f>
        <v/>
      </c>
      <c r="T274">
        <f>HYPERLINK("https://klasma.github.io/Logging_0483/kartor/A 37537-2022 karta.png", "A 37537-2022")</f>
        <v/>
      </c>
      <c r="V274">
        <f>HYPERLINK("https://klasma.github.io/Logging_0483/klagomål/A 37537-2022 FSC-klagomål.docx", "A 37537-2022")</f>
        <v/>
      </c>
      <c r="W274">
        <f>HYPERLINK("https://klasma.github.io/Logging_0483/klagomålsmail/A 37537-2022 FSC-klagomål mail.docx", "A 37537-2022")</f>
        <v/>
      </c>
      <c r="X274">
        <f>HYPERLINK("https://klasma.github.io/Logging_0483/tillsyn/A 37537-2022 tillsynsbegäran.docx", "A 37537-2022")</f>
        <v/>
      </c>
      <c r="Y274">
        <f>HYPERLINK("https://klasma.github.io/Logging_0483/tillsynsmail/A 37537-2022 tillsynsbegäran mail.docx", "A 37537-2022")</f>
        <v/>
      </c>
    </row>
    <row r="275" ht="15" customHeight="1">
      <c r="A275" t="inlineStr">
        <is>
          <t>A 38203-2022</t>
        </is>
      </c>
      <c r="B275" s="1" t="n">
        <v>44812</v>
      </c>
      <c r="C275" s="1" t="n">
        <v>45736</v>
      </c>
      <c r="D275" t="inlineStr">
        <is>
          <t>SÖDERMANLANDS LÄN</t>
        </is>
      </c>
      <c r="E275" t="inlineStr">
        <is>
          <t>NYKÖPING</t>
        </is>
      </c>
      <c r="G275" t="n">
        <v>1.9</v>
      </c>
      <c r="H275" t="n">
        <v>0</v>
      </c>
      <c r="I275" t="n">
        <v>0</v>
      </c>
      <c r="J275" t="n">
        <v>2</v>
      </c>
      <c r="K275" t="n">
        <v>0</v>
      </c>
      <c r="L275" t="n">
        <v>0</v>
      </c>
      <c r="M275" t="n">
        <v>0</v>
      </c>
      <c r="N275" t="n">
        <v>0</v>
      </c>
      <c r="O275" t="n">
        <v>2</v>
      </c>
      <c r="P275" t="n">
        <v>0</v>
      </c>
      <c r="Q275" t="n">
        <v>2</v>
      </c>
      <c r="R275" s="2" t="inlineStr">
        <is>
          <t>Kösa
Linmåra/småsnärjmåra</t>
        </is>
      </c>
      <c r="S275">
        <f>HYPERLINK("https://klasma.github.io/Logging_0480/artfynd/A 38203-2022 artfynd.xlsx", "A 38203-2022")</f>
        <v/>
      </c>
      <c r="T275">
        <f>HYPERLINK("https://klasma.github.io/Logging_0480/kartor/A 38203-2022 karta.png", "A 38203-2022")</f>
        <v/>
      </c>
      <c r="V275">
        <f>HYPERLINK("https://klasma.github.io/Logging_0480/klagomål/A 38203-2022 FSC-klagomål.docx", "A 38203-2022")</f>
        <v/>
      </c>
      <c r="W275">
        <f>HYPERLINK("https://klasma.github.io/Logging_0480/klagomålsmail/A 38203-2022 FSC-klagomål mail.docx", "A 38203-2022")</f>
        <v/>
      </c>
      <c r="X275">
        <f>HYPERLINK("https://klasma.github.io/Logging_0480/tillsyn/A 38203-2022 tillsynsbegäran.docx", "A 38203-2022")</f>
        <v/>
      </c>
      <c r="Y275">
        <f>HYPERLINK("https://klasma.github.io/Logging_0480/tillsynsmail/A 38203-2022 tillsynsbegäran mail.docx", "A 38203-2022")</f>
        <v/>
      </c>
    </row>
    <row r="276" ht="15" customHeight="1">
      <c r="A276" t="inlineStr">
        <is>
          <t>A 44717-2022</t>
        </is>
      </c>
      <c r="B276" s="1" t="n">
        <v>44840</v>
      </c>
      <c r="C276" s="1" t="n">
        <v>45736</v>
      </c>
      <c r="D276" t="inlineStr">
        <is>
          <t>SÖDERMANLANDS LÄN</t>
        </is>
      </c>
      <c r="E276" t="inlineStr">
        <is>
          <t>STRÄNGNÄS</t>
        </is>
      </c>
      <c r="G276" t="n">
        <v>9.5</v>
      </c>
      <c r="H276" t="n">
        <v>2</v>
      </c>
      <c r="I276" t="n">
        <v>0</v>
      </c>
      <c r="J276" t="n">
        <v>1</v>
      </c>
      <c r="K276" t="n">
        <v>1</v>
      </c>
      <c r="L276" t="n">
        <v>0</v>
      </c>
      <c r="M276" t="n">
        <v>0</v>
      </c>
      <c r="N276" t="n">
        <v>0</v>
      </c>
      <c r="O276" t="n">
        <v>2</v>
      </c>
      <c r="P276" t="n">
        <v>1</v>
      </c>
      <c r="Q276" t="n">
        <v>2</v>
      </c>
      <c r="R276" s="2" t="inlineStr">
        <is>
          <t>Stare
Grönsångare</t>
        </is>
      </c>
      <c r="S276">
        <f>HYPERLINK("https://klasma.github.io/Logging_0486/artfynd/A 44717-2022 artfynd.xlsx", "A 44717-2022")</f>
        <v/>
      </c>
      <c r="T276">
        <f>HYPERLINK("https://klasma.github.io/Logging_0486/kartor/A 44717-2022 karta.png", "A 44717-2022")</f>
        <v/>
      </c>
      <c r="V276">
        <f>HYPERLINK("https://klasma.github.io/Logging_0486/klagomål/A 44717-2022 FSC-klagomål.docx", "A 44717-2022")</f>
        <v/>
      </c>
      <c r="W276">
        <f>HYPERLINK("https://klasma.github.io/Logging_0486/klagomålsmail/A 44717-2022 FSC-klagomål mail.docx", "A 44717-2022")</f>
        <v/>
      </c>
      <c r="X276">
        <f>HYPERLINK("https://klasma.github.io/Logging_0486/tillsyn/A 44717-2022 tillsynsbegäran.docx", "A 44717-2022")</f>
        <v/>
      </c>
      <c r="Y276">
        <f>HYPERLINK("https://klasma.github.io/Logging_0486/tillsynsmail/A 44717-2022 tillsynsbegäran mail.docx", "A 44717-2022")</f>
        <v/>
      </c>
      <c r="Z276">
        <f>HYPERLINK("https://klasma.github.io/Logging_0486/fåglar/A 44717-2022 prioriterade fågelarter.docx", "A 44717-2022")</f>
        <v/>
      </c>
    </row>
    <row r="277" ht="15" customHeight="1">
      <c r="A277" t="inlineStr">
        <is>
          <t>A 47194-2022</t>
        </is>
      </c>
      <c r="B277" s="1" t="n">
        <v>44848</v>
      </c>
      <c r="C277" s="1" t="n">
        <v>45736</v>
      </c>
      <c r="D277" t="inlineStr">
        <is>
          <t>SÖDERMANLANDS LÄN</t>
        </is>
      </c>
      <c r="E277" t="inlineStr">
        <is>
          <t>FLEN</t>
        </is>
      </c>
      <c r="F277" t="inlineStr">
        <is>
          <t>Övriga statliga verk och myndigheter</t>
        </is>
      </c>
      <c r="G277" t="n">
        <v>2.3</v>
      </c>
      <c r="H277" t="n">
        <v>0</v>
      </c>
      <c r="I277" t="n">
        <v>0</v>
      </c>
      <c r="J277" t="n">
        <v>2</v>
      </c>
      <c r="K277" t="n">
        <v>0</v>
      </c>
      <c r="L277" t="n">
        <v>0</v>
      </c>
      <c r="M277" t="n">
        <v>0</v>
      </c>
      <c r="N277" t="n">
        <v>0</v>
      </c>
      <c r="O277" t="n">
        <v>2</v>
      </c>
      <c r="P277" t="n">
        <v>0</v>
      </c>
      <c r="Q277" t="n">
        <v>2</v>
      </c>
      <c r="R277" s="2" t="inlineStr">
        <is>
          <t>Gullklöver
Svinrot</t>
        </is>
      </c>
      <c r="S277">
        <f>HYPERLINK("https://klasma.github.io/Logging_0482/artfynd/A 47194-2022 artfynd.xlsx", "A 47194-2022")</f>
        <v/>
      </c>
      <c r="T277">
        <f>HYPERLINK("https://klasma.github.io/Logging_0482/kartor/A 47194-2022 karta.png", "A 47194-2022")</f>
        <v/>
      </c>
      <c r="V277">
        <f>HYPERLINK("https://klasma.github.io/Logging_0482/klagomål/A 47194-2022 FSC-klagomål.docx", "A 47194-2022")</f>
        <v/>
      </c>
      <c r="W277">
        <f>HYPERLINK("https://klasma.github.io/Logging_0482/klagomålsmail/A 47194-2022 FSC-klagomål mail.docx", "A 47194-2022")</f>
        <v/>
      </c>
      <c r="X277">
        <f>HYPERLINK("https://klasma.github.io/Logging_0482/tillsyn/A 47194-2022 tillsynsbegäran.docx", "A 47194-2022")</f>
        <v/>
      </c>
      <c r="Y277">
        <f>HYPERLINK("https://klasma.github.io/Logging_0482/tillsynsmail/A 47194-2022 tillsynsbegäran mail.docx", "A 47194-2022")</f>
        <v/>
      </c>
    </row>
    <row r="278" ht="15" customHeight="1">
      <c r="A278" t="inlineStr">
        <is>
          <t>A 50215-2022</t>
        </is>
      </c>
      <c r="B278" s="1" t="n">
        <v>44865</v>
      </c>
      <c r="C278" s="1" t="n">
        <v>45736</v>
      </c>
      <c r="D278" t="inlineStr">
        <is>
          <t>SÖDERMANLANDS LÄN</t>
        </is>
      </c>
      <c r="E278" t="inlineStr">
        <is>
          <t>FLEN</t>
        </is>
      </c>
      <c r="F278" t="inlineStr">
        <is>
          <t>Kyrkan</t>
        </is>
      </c>
      <c r="G278" t="n">
        <v>2.2</v>
      </c>
      <c r="H278" t="n">
        <v>2</v>
      </c>
      <c r="I278" t="n">
        <v>0</v>
      </c>
      <c r="J278" t="n">
        <v>0</v>
      </c>
      <c r="K278" t="n">
        <v>1</v>
      </c>
      <c r="L278" t="n">
        <v>0</v>
      </c>
      <c r="M278" t="n">
        <v>0</v>
      </c>
      <c r="N278" t="n">
        <v>0</v>
      </c>
      <c r="O278" t="n">
        <v>1</v>
      </c>
      <c r="P278" t="n">
        <v>1</v>
      </c>
      <c r="Q278" t="n">
        <v>2</v>
      </c>
      <c r="R278" s="2" t="inlineStr">
        <is>
          <t>Knärot
Äkta lopplummer</t>
        </is>
      </c>
      <c r="S278">
        <f>HYPERLINK("https://klasma.github.io/Logging_0482/artfynd/A 50215-2022 artfynd.xlsx", "A 50215-2022")</f>
        <v/>
      </c>
      <c r="T278">
        <f>HYPERLINK("https://klasma.github.io/Logging_0482/kartor/A 50215-2022 karta.png", "A 50215-2022")</f>
        <v/>
      </c>
      <c r="U278">
        <f>HYPERLINK("https://klasma.github.io/Logging_0482/knärot/A 50215-2022 karta knärot.png", "A 50215-2022")</f>
        <v/>
      </c>
      <c r="V278">
        <f>HYPERLINK("https://klasma.github.io/Logging_0482/klagomål/A 50215-2022 FSC-klagomål.docx", "A 50215-2022")</f>
        <v/>
      </c>
      <c r="W278">
        <f>HYPERLINK("https://klasma.github.io/Logging_0482/klagomålsmail/A 50215-2022 FSC-klagomål mail.docx", "A 50215-2022")</f>
        <v/>
      </c>
      <c r="X278">
        <f>HYPERLINK("https://klasma.github.io/Logging_0482/tillsyn/A 50215-2022 tillsynsbegäran.docx", "A 50215-2022")</f>
        <v/>
      </c>
      <c r="Y278">
        <f>HYPERLINK("https://klasma.github.io/Logging_0482/tillsynsmail/A 50215-2022 tillsynsbegäran mail.docx", "A 50215-2022")</f>
        <v/>
      </c>
    </row>
    <row r="279" ht="15" customHeight="1">
      <c r="A279" t="inlineStr">
        <is>
          <t>A 52792-2022</t>
        </is>
      </c>
      <c r="B279" s="1" t="n">
        <v>44875</v>
      </c>
      <c r="C279" s="1" t="n">
        <v>45736</v>
      </c>
      <c r="D279" t="inlineStr">
        <is>
          <t>SÖDERMANLANDS LÄN</t>
        </is>
      </c>
      <c r="E279" t="inlineStr">
        <is>
          <t>NYKÖPING</t>
        </is>
      </c>
      <c r="F279" t="inlineStr">
        <is>
          <t>Sveaskog</t>
        </is>
      </c>
      <c r="G279" t="n">
        <v>17.5</v>
      </c>
      <c r="H279" t="n">
        <v>2</v>
      </c>
      <c r="I279" t="n">
        <v>0</v>
      </c>
      <c r="J279" t="n">
        <v>1</v>
      </c>
      <c r="K279" t="n">
        <v>0</v>
      </c>
      <c r="L279" t="n">
        <v>0</v>
      </c>
      <c r="M279" t="n">
        <v>0</v>
      </c>
      <c r="N279" t="n">
        <v>0</v>
      </c>
      <c r="O279" t="n">
        <v>1</v>
      </c>
      <c r="P279" t="n">
        <v>0</v>
      </c>
      <c r="Q279" t="n">
        <v>2</v>
      </c>
      <c r="R279" s="2" t="inlineStr">
        <is>
          <t>Ärtsångare
Fläcknycklar</t>
        </is>
      </c>
      <c r="S279">
        <f>HYPERLINK("https://klasma.github.io/Logging_0480/artfynd/A 52792-2022 artfynd.xlsx", "A 52792-2022")</f>
        <v/>
      </c>
      <c r="T279">
        <f>HYPERLINK("https://klasma.github.io/Logging_0480/kartor/A 52792-2022 karta.png", "A 52792-2022")</f>
        <v/>
      </c>
      <c r="V279">
        <f>HYPERLINK("https://klasma.github.io/Logging_0480/klagomål/A 52792-2022 FSC-klagomål.docx", "A 52792-2022")</f>
        <v/>
      </c>
      <c r="W279">
        <f>HYPERLINK("https://klasma.github.io/Logging_0480/klagomålsmail/A 52792-2022 FSC-klagomål mail.docx", "A 52792-2022")</f>
        <v/>
      </c>
      <c r="X279">
        <f>HYPERLINK("https://klasma.github.io/Logging_0480/tillsyn/A 52792-2022 tillsynsbegäran.docx", "A 52792-2022")</f>
        <v/>
      </c>
      <c r="Y279">
        <f>HYPERLINK("https://klasma.github.io/Logging_0480/tillsynsmail/A 52792-2022 tillsynsbegäran mail.docx", "A 52792-2022")</f>
        <v/>
      </c>
      <c r="Z279">
        <f>HYPERLINK("https://klasma.github.io/Logging_0480/fåglar/A 52792-2022 prioriterade fågelarter.docx", "A 52792-2022")</f>
        <v/>
      </c>
    </row>
    <row r="280" ht="15" customHeight="1">
      <c r="A280" t="inlineStr">
        <is>
          <t>A 54724-2022</t>
        </is>
      </c>
      <c r="B280" s="1" t="n">
        <v>44881</v>
      </c>
      <c r="C280" s="1" t="n">
        <v>45736</v>
      </c>
      <c r="D280" t="inlineStr">
        <is>
          <t>SÖDERMANLANDS LÄN</t>
        </is>
      </c>
      <c r="E280" t="inlineStr">
        <is>
          <t>FLEN</t>
        </is>
      </c>
      <c r="G280" t="n">
        <v>11.6</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54724-2022 artfynd.xlsx", "A 54724-2022")</f>
        <v/>
      </c>
      <c r="T280">
        <f>HYPERLINK("https://klasma.github.io/Logging_0482/kartor/A 54724-2022 karta.png", "A 54724-2022")</f>
        <v/>
      </c>
      <c r="V280">
        <f>HYPERLINK("https://klasma.github.io/Logging_0482/klagomål/A 54724-2022 FSC-klagomål.docx", "A 54724-2022")</f>
        <v/>
      </c>
      <c r="W280">
        <f>HYPERLINK("https://klasma.github.io/Logging_0482/klagomålsmail/A 54724-2022 FSC-klagomål mail.docx", "A 54724-2022")</f>
        <v/>
      </c>
      <c r="X280">
        <f>HYPERLINK("https://klasma.github.io/Logging_0482/tillsyn/A 54724-2022 tillsynsbegäran.docx", "A 54724-2022")</f>
        <v/>
      </c>
      <c r="Y280">
        <f>HYPERLINK("https://klasma.github.io/Logging_0482/tillsynsmail/A 54724-2022 tillsynsbegäran mail.docx", "A 54724-2022")</f>
        <v/>
      </c>
    </row>
    <row r="281" ht="15" customHeight="1">
      <c r="A281" t="inlineStr">
        <is>
          <t>A 60460-2022</t>
        </is>
      </c>
      <c r="B281" s="1" t="n">
        <v>44911</v>
      </c>
      <c r="C281" s="1" t="n">
        <v>45736</v>
      </c>
      <c r="D281" t="inlineStr">
        <is>
          <t>SÖDERMANLANDS LÄN</t>
        </is>
      </c>
      <c r="E281" t="inlineStr">
        <is>
          <t>NYKÖPING</t>
        </is>
      </c>
      <c r="F281" t="inlineStr">
        <is>
          <t>Holmen skog AB</t>
        </is>
      </c>
      <c r="G281" t="n">
        <v>1.7</v>
      </c>
      <c r="H281" t="n">
        <v>1</v>
      </c>
      <c r="I281" t="n">
        <v>1</v>
      </c>
      <c r="J281" t="n">
        <v>0</v>
      </c>
      <c r="K281" t="n">
        <v>0</v>
      </c>
      <c r="L281" t="n">
        <v>0</v>
      </c>
      <c r="M281" t="n">
        <v>0</v>
      </c>
      <c r="N281" t="n">
        <v>0</v>
      </c>
      <c r="O281" t="n">
        <v>0</v>
      </c>
      <c r="P281" t="n">
        <v>0</v>
      </c>
      <c r="Q281" t="n">
        <v>2</v>
      </c>
      <c r="R281" s="2" t="inlineStr">
        <is>
          <t>Barkticka
Blåsippa</t>
        </is>
      </c>
      <c r="S281">
        <f>HYPERLINK("https://klasma.github.io/Logging_0480/artfynd/A 60460-2022 artfynd.xlsx", "A 60460-2022")</f>
        <v/>
      </c>
      <c r="T281">
        <f>HYPERLINK("https://klasma.github.io/Logging_0480/kartor/A 60460-2022 karta.png", "A 60460-2022")</f>
        <v/>
      </c>
      <c r="V281">
        <f>HYPERLINK("https://klasma.github.io/Logging_0480/klagomål/A 60460-2022 FSC-klagomål.docx", "A 60460-2022")</f>
        <v/>
      </c>
      <c r="W281">
        <f>HYPERLINK("https://klasma.github.io/Logging_0480/klagomålsmail/A 60460-2022 FSC-klagomål mail.docx", "A 60460-2022")</f>
        <v/>
      </c>
      <c r="X281">
        <f>HYPERLINK("https://klasma.github.io/Logging_0480/tillsyn/A 60460-2022 tillsynsbegäran.docx", "A 60460-2022")</f>
        <v/>
      </c>
      <c r="Y281">
        <f>HYPERLINK("https://klasma.github.io/Logging_0480/tillsynsmail/A 60460-2022 tillsynsbegäran mail.docx", "A 60460-2022")</f>
        <v/>
      </c>
    </row>
    <row r="282" ht="15" customHeight="1">
      <c r="A282" t="inlineStr">
        <is>
          <t>A 571-2023</t>
        </is>
      </c>
      <c r="B282" s="1" t="n">
        <v>44930</v>
      </c>
      <c r="C282" s="1" t="n">
        <v>45736</v>
      </c>
      <c r="D282" t="inlineStr">
        <is>
          <t>SÖDERMANLANDS LÄN</t>
        </is>
      </c>
      <c r="E282" t="inlineStr">
        <is>
          <t>ESKILSTUNA</t>
        </is>
      </c>
      <c r="F282" t="inlineStr">
        <is>
          <t>Kyrkan</t>
        </is>
      </c>
      <c r="G282" t="n">
        <v>2.6</v>
      </c>
      <c r="H282" t="n">
        <v>2</v>
      </c>
      <c r="I282" t="n">
        <v>0</v>
      </c>
      <c r="J282" t="n">
        <v>1</v>
      </c>
      <c r="K282" t="n">
        <v>0</v>
      </c>
      <c r="L282" t="n">
        <v>0</v>
      </c>
      <c r="M282" t="n">
        <v>0</v>
      </c>
      <c r="N282" t="n">
        <v>0</v>
      </c>
      <c r="O282" t="n">
        <v>1</v>
      </c>
      <c r="P282" t="n">
        <v>0</v>
      </c>
      <c r="Q282" t="n">
        <v>2</v>
      </c>
      <c r="R282" s="2" t="inlineStr">
        <is>
          <t>Spillkråka
Revlummer</t>
        </is>
      </c>
      <c r="S282">
        <f>HYPERLINK("https://klasma.github.io/Logging_0484/artfynd/A 571-2023 artfynd.xlsx", "A 571-2023")</f>
        <v/>
      </c>
      <c r="T282">
        <f>HYPERLINK("https://klasma.github.io/Logging_0484/kartor/A 571-2023 karta.png", "A 571-2023")</f>
        <v/>
      </c>
      <c r="V282">
        <f>HYPERLINK("https://klasma.github.io/Logging_0484/klagomål/A 571-2023 FSC-klagomål.docx", "A 571-2023")</f>
        <v/>
      </c>
      <c r="W282">
        <f>HYPERLINK("https://klasma.github.io/Logging_0484/klagomålsmail/A 571-2023 FSC-klagomål mail.docx", "A 571-2023")</f>
        <v/>
      </c>
      <c r="X282">
        <f>HYPERLINK("https://klasma.github.io/Logging_0484/tillsyn/A 571-2023 tillsynsbegäran.docx", "A 571-2023")</f>
        <v/>
      </c>
      <c r="Y282">
        <f>HYPERLINK("https://klasma.github.io/Logging_0484/tillsynsmail/A 571-2023 tillsynsbegäran mail.docx", "A 571-2023")</f>
        <v/>
      </c>
      <c r="Z282">
        <f>HYPERLINK("https://klasma.github.io/Logging_0484/fåglar/A 571-2023 prioriterade fågelarter.docx", "A 571-2023")</f>
        <v/>
      </c>
    </row>
    <row r="283" ht="15" customHeight="1">
      <c r="A283" t="inlineStr">
        <is>
          <t>A 853-2023</t>
        </is>
      </c>
      <c r="B283" s="1" t="n">
        <v>44931</v>
      </c>
      <c r="C283" s="1" t="n">
        <v>45736</v>
      </c>
      <c r="D283" t="inlineStr">
        <is>
          <t>SÖDERMANLANDS LÄN</t>
        </is>
      </c>
      <c r="E283" t="inlineStr">
        <is>
          <t>NYKÖPING</t>
        </is>
      </c>
      <c r="G283" t="n">
        <v>10.9</v>
      </c>
      <c r="H283" t="n">
        <v>1</v>
      </c>
      <c r="I283" t="n">
        <v>0</v>
      </c>
      <c r="J283" t="n">
        <v>1</v>
      </c>
      <c r="K283" t="n">
        <v>0</v>
      </c>
      <c r="L283" t="n">
        <v>0</v>
      </c>
      <c r="M283" t="n">
        <v>0</v>
      </c>
      <c r="N283" t="n">
        <v>0</v>
      </c>
      <c r="O283" t="n">
        <v>1</v>
      </c>
      <c r="P283" t="n">
        <v>0</v>
      </c>
      <c r="Q283" t="n">
        <v>2</v>
      </c>
      <c r="R283" s="2" t="inlineStr">
        <is>
          <t>Granticka
Revlummer</t>
        </is>
      </c>
      <c r="S283">
        <f>HYPERLINK("https://klasma.github.io/Logging_0480/artfynd/A 853-2023 artfynd.xlsx", "A 853-2023")</f>
        <v/>
      </c>
      <c r="T283">
        <f>HYPERLINK("https://klasma.github.io/Logging_0480/kartor/A 853-2023 karta.png", "A 853-2023")</f>
        <v/>
      </c>
      <c r="V283">
        <f>HYPERLINK("https://klasma.github.io/Logging_0480/klagomål/A 853-2023 FSC-klagomål.docx", "A 853-2023")</f>
        <v/>
      </c>
      <c r="W283">
        <f>HYPERLINK("https://klasma.github.io/Logging_0480/klagomålsmail/A 853-2023 FSC-klagomål mail.docx", "A 853-2023")</f>
        <v/>
      </c>
      <c r="X283">
        <f>HYPERLINK("https://klasma.github.io/Logging_0480/tillsyn/A 853-2023 tillsynsbegäran.docx", "A 853-2023")</f>
        <v/>
      </c>
      <c r="Y283">
        <f>HYPERLINK("https://klasma.github.io/Logging_0480/tillsynsmail/A 853-2023 tillsynsbegäran mail.docx", "A 853-2023")</f>
        <v/>
      </c>
    </row>
    <row r="284" ht="15" customHeight="1">
      <c r="A284" t="inlineStr">
        <is>
          <t>A 1270-2023</t>
        </is>
      </c>
      <c r="B284" s="1" t="n">
        <v>44936</v>
      </c>
      <c r="C284" s="1" t="n">
        <v>45736</v>
      </c>
      <c r="D284" t="inlineStr">
        <is>
          <t>SÖDERMANLANDS LÄN</t>
        </is>
      </c>
      <c r="E284" t="inlineStr">
        <is>
          <t>KATRINEHOLM</t>
        </is>
      </c>
      <c r="G284" t="n">
        <v>5.9</v>
      </c>
      <c r="H284" t="n">
        <v>2</v>
      </c>
      <c r="I284" t="n">
        <v>0</v>
      </c>
      <c r="J284" t="n">
        <v>0</v>
      </c>
      <c r="K284" t="n">
        <v>0</v>
      </c>
      <c r="L284" t="n">
        <v>1</v>
      </c>
      <c r="M284" t="n">
        <v>0</v>
      </c>
      <c r="N284" t="n">
        <v>0</v>
      </c>
      <c r="O284" t="n">
        <v>1</v>
      </c>
      <c r="P284" t="n">
        <v>1</v>
      </c>
      <c r="Q284" t="n">
        <v>2</v>
      </c>
      <c r="R284" s="2" t="inlineStr">
        <is>
          <t>Grönfink
Mattlummer</t>
        </is>
      </c>
      <c r="S284">
        <f>HYPERLINK("https://klasma.github.io/Logging_0483/artfynd/A 1270-2023 artfynd.xlsx", "A 1270-2023")</f>
        <v/>
      </c>
      <c r="T284">
        <f>HYPERLINK("https://klasma.github.io/Logging_0483/kartor/A 1270-2023 karta.png", "A 1270-2023")</f>
        <v/>
      </c>
      <c r="V284">
        <f>HYPERLINK("https://klasma.github.io/Logging_0483/klagomål/A 1270-2023 FSC-klagomål.docx", "A 1270-2023")</f>
        <v/>
      </c>
      <c r="W284">
        <f>HYPERLINK("https://klasma.github.io/Logging_0483/klagomålsmail/A 1270-2023 FSC-klagomål mail.docx", "A 1270-2023")</f>
        <v/>
      </c>
      <c r="X284">
        <f>HYPERLINK("https://klasma.github.io/Logging_0483/tillsyn/A 1270-2023 tillsynsbegäran.docx", "A 1270-2023")</f>
        <v/>
      </c>
      <c r="Y284">
        <f>HYPERLINK("https://klasma.github.io/Logging_0483/tillsynsmail/A 1270-2023 tillsynsbegäran mail.docx", "A 1270-2023")</f>
        <v/>
      </c>
      <c r="Z284">
        <f>HYPERLINK("https://klasma.github.io/Logging_0483/fåglar/A 1270-2023 prioriterade fågelarter.docx", "A 1270-2023")</f>
        <v/>
      </c>
    </row>
    <row r="285" ht="15" customHeight="1">
      <c r="A285" t="inlineStr">
        <is>
          <t>A 3070-2023</t>
        </is>
      </c>
      <c r="B285" s="1" t="n">
        <v>44946</v>
      </c>
      <c r="C285" s="1" t="n">
        <v>45736</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45736</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45736</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45736</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45736</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45736</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45736</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45736</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45736</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45736</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45736</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45736</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45736</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45736</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45736</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45736</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45736</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45736</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45736</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45736</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45736</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45736</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45736</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45736</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45736</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45736</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45736</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45736</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45736</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45736</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45736</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45736</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45736</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45736</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45736</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45736</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45736</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45736</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45736</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45736</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45736</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45736</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45736</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45736</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45736</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45736</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45736</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45736</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45736</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45736</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45736</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45736</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45736</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45736</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45736</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45736</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45736</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45736</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45736</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45736</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45736</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45736</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45736</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45736</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45736</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45736</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45736</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45736</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45736</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45736</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45736</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45736</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45736</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45736</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45736</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45736</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45736</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45736</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45736</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45736</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45736</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45736</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45736</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45736</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45736</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45736</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45736</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45736</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45736</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45736</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45736</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45736</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45736</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45736</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45736</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45736</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45736</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45736</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45736</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45736</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45736</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45736</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45736</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45736</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45736</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45736</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45736</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45736</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45736</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45736</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45736</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45736</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45736</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45736</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45736</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45736</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45736</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45736</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45736</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45736</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45736</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45736</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45736</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45736</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45736</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45736</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45736</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45736</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45736</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45736</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45736</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45736</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45736</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45736</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45736</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45736</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45736</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45736</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45736</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45736</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45736</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45736</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45736</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45736</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45736</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45736</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45736</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45736</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45736</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45736</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45736</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45736</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45736</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45736</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45736</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45736</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45736</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45736</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45736</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45736</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45736</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45736</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45736</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45736</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45736</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45736</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45736</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45736</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45736</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45736</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45736</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45736</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45736</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45736</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45736</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45736</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45736</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45736</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45736</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45736</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45736</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45736</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45736</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45736</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45736</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45736</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45736</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45736</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45736</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45736</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45736</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45736</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45736</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45736</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45736</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45736</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45736</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45736</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45736</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45736</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45736</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45736</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45736</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45736</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45736</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45736</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45736</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45736</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45736</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45736</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45736</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45736</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45736</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45736</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45736</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45736</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45736</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45736</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45736</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45736</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45736</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45736</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45736</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45736</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45736</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45736</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45736</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45736</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45736</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45736</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45736</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45736</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45736</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45736</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45736</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45736</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45736</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45736</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45736</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45736</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45736</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45736</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45736</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45736</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45736</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45736</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45736</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45736</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45736</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45736</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45736</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45736</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45736</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45736</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45736</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45736</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45736</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45736</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45736</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45736</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45736</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45736</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45736</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45736</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45736</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45736</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45736</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45736</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45736</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45736</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45736</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45736</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45736</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45736</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45736</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45736</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45736</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45736</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45736</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45736</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45736</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45736</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45736</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45736</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45736</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45736</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45736</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45736</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45736</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45736</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45736</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45736</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45736</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45736</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45736</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45736</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45736</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45736</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45736</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45736</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45736</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45736</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45736</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45736</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45736</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45736</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45736</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45736</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45736</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45736</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45736</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45736</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45736</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45736</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45736</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45736</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45736</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45736</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45736</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45736</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45736</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45736</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45736</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45736</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45736</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45736</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45736</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45736</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45736</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45736</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45736</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45736</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45736</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45736</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45736</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45736</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45736</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45736</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45736</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45736</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45736</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45736</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45736</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45736</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45736</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45736</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45736</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45736</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45736</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45736</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45736</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45736</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45736</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45736</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45736</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45736</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45736</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45736</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45736</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45736</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45736</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45736</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45736</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45736</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45736</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45736</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45736</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45736</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45736</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45736</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45736</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45736</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45736</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45736</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45736</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45736</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45736</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45736</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45736</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45736</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45736</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45736</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45736</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45736</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45736</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45736</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45736</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45736</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45736</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45736</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45736</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45736</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45736</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45736</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45736</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45736</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45736</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45736</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45736</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45736</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45736</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45736</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45736</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45736</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45736</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45736</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45736</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45736</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45736</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45736</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45736</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45736</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45736</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45736</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45736</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45736</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45736</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45736</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45736</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45736</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45736</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45736</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45736</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45736</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45736</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45736</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45736</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45736</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45736</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45736</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45736</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45736</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45736</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45736</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45736</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45736</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45736</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45736</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45736</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45736</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45736</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45736</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45736</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45736</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45736</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45736</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45736</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45736</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45736</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45736</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45736</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45736</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45736</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45736</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45736</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45736</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45736</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45736</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45736</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45736</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45736</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45736</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45736</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45736</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45736</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45736</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45736</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45736</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45736</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45736</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45736</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45736</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45736</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45736</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45736</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45736</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45736</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45736</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45736</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45736</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45736</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45736</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45736</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45736</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45736</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45736</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45736</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45736</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45736</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45736</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45736</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45736</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45736</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45736</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45736</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45736</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45736</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45736</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45736</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45736</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45736</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45736</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45736</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45736</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45736</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45736</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45736</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45736</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45736</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45736</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45736</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45736</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45736</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45736</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45736</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45736</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45736</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45736</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45736</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45736</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45736</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45736</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45736</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45736</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45736</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45736</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45736</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45736</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45736</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45736</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45736</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45736</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45736</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45736</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45736</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45736</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45736</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45736</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45736</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45736</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45736</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45736</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45736</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45736</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45736</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45736</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45736</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45736</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45736</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45736</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45736</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45736</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45736</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45736</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45736</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45736</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45736</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45736</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45736</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45736</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45736</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45736</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45736</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45736</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45736</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45736</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45736</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45736</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45736</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45736</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45736</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45736</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45736</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45736</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45736</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45736</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45736</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45736</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45736</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45736</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45736</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45736</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45736</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45736</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45736</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45736</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45736</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45736</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45736</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45736</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45736</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45736</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45736</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45736</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45736</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45736</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45736</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45736</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45736</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45736</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45736</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45736</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45736</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45736</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45736</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45736</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45736</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45736</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45736</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45736</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45736</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45736</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45736</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45736</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45736</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45736</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45736</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45736</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45736</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45736</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45736</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45736</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45736</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45736</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45736</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45736</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45736</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45736</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45736</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45736</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45736</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45736</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45736</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45736</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45736</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45736</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45736</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45736</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45736</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45736</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45736</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45736</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45736</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45736</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45736</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45736</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45736</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45736</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45736</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45736</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45736</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45736</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45736</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45736</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45736</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45736</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45736</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45736</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45736</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45736</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45736</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45736</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45736</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45736</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45736</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45736</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45736</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45736</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45736</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45736</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45736</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45736</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45736</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45736</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45736</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45736</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45736</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45736</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45736</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45736</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45736</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45736</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45736</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45736</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45736</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45736</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45736</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45736</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45736</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45736</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45736</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45736</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45736</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45736</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45736</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45736</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45736</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45736</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45736</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45736</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45736</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45736</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45736</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45736</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45736</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45736</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45736</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45736</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45736</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45736</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45736</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45736</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45736</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45736</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45736</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45736</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45736</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45736</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45736</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45736</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45736</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45736</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45736</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45736</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45736</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45736</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45736</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45736</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45736</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45736</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45736</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45736</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45736</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45736</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45736</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45736</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45736</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45736</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45736</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45736</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45736</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45736</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45736</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45736</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45736</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45736</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45736</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45736</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45736</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45736</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45736</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45736</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45736</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45736</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45736</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45736</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45736</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45736</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45736</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45736</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45736</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45736</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45736</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45736</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45736</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45736</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45736</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45736</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45736</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45736</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45736</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45736</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45736</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45736</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45736</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45736</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45736</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45736</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45736</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45736</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45736</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45736</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45736</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45736</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45736</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45736</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45736</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45736</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45736</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45736</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45736</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45736</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45736</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45736</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45736</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45736</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45736</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45736</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45736</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45736</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45736</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45736</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45736</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45736</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45736</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45736</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45736</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45736</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45736</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45736</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45736</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45736</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45736</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45736</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45736</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45736</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45736</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45736</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45736</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45736</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45736</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45736</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45736</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45736</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45736</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45736</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45736</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45736</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45736</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45736</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45736</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45736</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45736</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45736</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45736</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45736</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45736</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45736</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45736</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45736</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45736</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45736</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45736</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45736</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45736</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45736</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45736</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45736</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45736</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45736</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45736</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45736</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45736</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45736</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45736</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45736</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45736</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45736</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45736</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45736</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45736</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45736</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45736</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45736</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45736</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45736</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45736</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45736</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45736</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45736</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45736</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45736</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45736</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45736</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45736</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45736</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45736</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45736</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45736</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45736</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45736</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45736</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45736</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45736</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45736</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45736</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45736</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45736</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45736</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45736</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45736</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45736</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45736</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45736</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45736</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45736</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45736</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45736</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45736</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45736</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45736</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45736</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45736</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45736</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45736</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45736</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45736</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45736</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45736</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45736</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45736</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45736</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45736</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45736</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45736</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45736</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45736</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45736</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45736</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45736</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45736</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45736</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45736</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45736</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45736</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45736</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45736</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45736</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45736</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45736</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45736</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45736</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45736</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45736</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45736</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45736</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45736</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45736</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45736</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45736</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45736</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45736</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45736</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45736</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45736</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45736</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45736</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45736</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45736</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45736</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45736</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45736</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45736</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45736</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45736</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45736</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45736</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45736</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45736</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45736</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45736</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45736</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45736</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45736</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45736</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45736</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45736</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45736</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45736</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45736</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45736</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45736</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45736</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45736</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45736</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45736</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45736</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45736</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45736</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45736</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45736</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45736</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45736</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45736</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45736</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45736</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45736</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45736</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45736</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45736</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45736</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45736</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45736</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45736</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45736</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45736</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45736</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45736</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45736</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45736</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45736</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45736</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45736</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45736</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45736</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45736</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45736</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45736</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45736</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45736</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45736</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45736</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45736</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45736</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45736</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45736</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45736</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45736</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45736</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45736</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45736</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45736</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45736</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45736</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45736</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45736</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45736</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45736</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45736</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45736</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45736</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45736</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45736</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45736</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45736</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45736</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45736</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45736</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45736</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45736</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45736</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45736</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45736</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45736</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45736</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45736</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45736</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45736</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45736</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45736</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45736</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45736</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45736</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45736</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45736</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45736</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45736</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45736</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45736</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45736</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45736</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45736</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45736</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45736</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45736</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45736</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45736</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45736</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45736</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45736</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45736</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45736</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45736</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45736</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45736</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45736</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45736</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45736</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45736</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45736</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45736</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45736</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45736</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45736</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45736</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45736</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45736</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45736</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45736</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45736</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45736</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45736</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45736</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45736</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45736</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45736</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45736</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45736</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45736</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45736</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45736</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45736</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45736</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45736</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45736</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45736</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45736</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45736</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45736</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45736</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45736</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45736</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45736</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45736</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45736</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45736</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45736</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45736</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45736</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45736</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45736</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45736</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45736</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45736</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45736</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45736</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45736</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45736</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45736</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45736</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45736</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45736</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45736</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45736</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45736</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45736</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45736</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45736</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45736</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45736</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45736</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45736</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45736</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45736</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45736</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45736</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45736</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45736</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45736</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45736</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45736</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45736</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45736</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45736</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45736</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45736</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45736</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45736</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45736</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45736</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45736</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45736</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45736</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45736</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45736</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45736</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45736</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45736</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45736</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45736</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45736</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45736</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45736</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45736</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45736</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45736</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45736</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45736</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45736</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45736</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45736</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45736</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45736</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45736</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45736</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45736</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45736</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45736</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45736</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45736</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45736</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45736</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45736</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45736</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45736</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45736</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45736</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45736</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45736</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45736</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45736</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45736</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45736</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45736</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45736</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45736</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45736</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45736</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45736</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45736</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45736</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45736</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45736</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45736</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45736</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45736</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45736</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45736</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45736</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45736</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45736</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45736</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45736</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45736</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45736</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45736</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45736</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45736</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45736</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45736</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45736</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45736</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45736</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45736</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45736</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45736</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45736</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45736</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45736</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45736</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45736</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45736</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45736</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45736</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45736</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45736</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45736</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45736</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45736</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45736</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45736</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45736</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45736</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45736</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45736</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45736</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45736</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45736</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45736</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45736</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45736</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45736</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45736</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45736</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45736</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45736</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45736</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45736</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45736</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45736</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45736</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45736</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45736</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45736</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45736</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45736</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45736</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45736</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45736</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45736</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45736</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45736</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45736</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45736</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45736</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45736</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45736</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45736</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45736</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45736</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45736</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45736</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45736</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45736</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45736</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45736</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45736</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45736</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45736</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45736</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45736</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45736</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45736</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45736</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45736</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45736</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45736</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45736</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45736</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45736</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45736</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45736</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45736</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45736</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45736</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45736</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45736</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45736</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45736</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45736</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45736</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45736</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45736</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45736</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45736</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45736</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45736</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45736</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45736</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45736</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45736</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45736</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45736</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45736</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45736</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45736</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45736</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45736</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45736</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45736</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45736</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45736</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45736</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45736</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45736</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45736</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45736</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45736</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45736</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45736</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45736</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45736</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45736</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45736</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45736</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45736</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45736</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45736</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45736</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45736</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45736</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45736</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45736</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45736</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45736</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45736</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45736</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45736</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45736</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45736</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45736</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45736</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45736</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45736</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45736</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45736</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45736</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45736</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45736</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45736</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45736</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45736</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45736</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45736</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45736</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45736</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45736</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45736</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45736</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45736</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45736</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45736</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45736</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45736</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45736</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45736</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45736</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45736</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45736</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45736</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45736</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45736</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45736</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45736</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45736</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45736</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45736</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45736</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45736</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45736</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45736</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45736</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45736</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45736</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45736</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45736</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45736</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45736</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45736</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45736</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45736</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45736</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45736</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45736</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45736</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45736</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45736</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45736</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45736</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45736</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45736</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45736</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45736</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45736</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45736</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45736</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45736</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45736</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45736</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45736</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45736</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45736</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45736</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45736</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45736</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45736</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45736</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45736</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45736</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45736</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45736</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45736</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45736</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45736</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45736</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45736</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45736</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45736</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45736</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45736</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45736</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45736</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45736</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45736</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45736</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45736</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45736</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45736</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45736</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45736</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45736</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45736</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45736</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45736</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45736</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45736</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45736</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45736</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45736</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45736</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45736</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45736</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45736</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45736</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45736</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45736</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45736</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45736</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45736</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45736</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45736</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45736</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45736</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45736</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45736</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45736</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45736</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45736</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45736</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45736</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45736</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45736</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45736</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45736</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45736</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45736</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45736</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45736</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45736</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45736</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45736</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45736</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45736</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45736</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45736</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45736</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45736</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45736</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45736</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45736</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45736</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45736</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45736</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45736</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45736</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45736</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45736</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45736</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45736</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45736</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45736</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45736</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45736</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45736</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45736</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45736</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45736</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45736</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45736</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45736</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45736</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45736</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45736</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45736</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45736</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45736</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45736</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45736</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45736</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45736</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45736</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45736</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45736</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45736</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45736</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45736</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45736</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45736</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45736</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45736</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45736</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45736</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45736</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45736</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45736</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45736</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45736</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45736</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45736</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45736</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45736</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45736</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45736</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45736</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45736</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45736</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45736</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45736</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45736</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45736</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45736</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45736</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45736</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45736</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45736</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45736</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45736</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45736</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45736</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45736</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45736</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45736</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45736</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45736</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45736</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45736</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45736</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45736</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45736</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45736</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45736</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45736</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45736</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45736</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45736</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45736</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45736</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45736</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45736</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45736</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45736</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45736</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45736</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45736</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45736</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45736</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45736</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45736</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45736</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45736</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45736</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45736</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45736</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45736</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45736</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45736</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45736</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45736</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45736</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45736</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45736</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45736</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45736</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45736</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45736</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45736</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45736</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45736</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45736</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45736</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45736</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45736</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45736</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45736</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45736</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45736</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45736</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45736</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45736</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45736</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45736</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45736</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45736</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45736</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45736</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45736</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45736</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45736</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45736</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45736</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45736</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45736</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45736</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45736</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45736</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45736</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45736</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45736</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45736</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45736</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45736</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45736</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45736</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45736</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45736</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45736</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45736</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45736</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45736</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45736</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45736</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45736</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45736</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45736</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45736</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45736</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45736</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45736</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45736</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45736</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45736</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45736</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45736</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45736</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45736</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45736</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45736</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45736</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45736</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45736</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45736</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45736</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45736</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45736</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45736</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45736</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45736</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45736</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45736</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45736</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45736</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45736</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45736</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45736</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45736</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45736</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45736</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45736</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45736</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45736</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45736</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45736</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45736</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45736</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45736</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45736</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45736</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45736</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45736</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45736</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45736</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45736</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45736</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45736</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45736</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45736</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45736</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45736</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45736</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45736</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45736</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45736</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45736</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45736</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45736</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45736</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45736</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45736</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45736</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45736</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45736</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45736</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45736</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45736</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45736</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45736</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45736</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45736</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45736</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45736</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45736</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45736</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45736</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45736</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45736</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45736</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45736</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45736</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45736</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45736</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45736</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45736</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45736</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45736</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45736</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45736</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45736</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45736</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45736</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45736</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45736</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45736</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45736</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45736</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45736</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45736</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45736</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45736</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45736</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45736</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45736</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45736</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45736</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45736</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45736</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45736</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45736</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45736</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45736</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45736</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45736</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45736</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45736</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45736</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45736</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45736</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45736</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45736</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45736</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45736</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45736</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45736</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45736</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45736</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45736</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45736</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45736</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45736</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45736</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45736</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45736</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45736</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45736</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45736</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45736</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45736</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45736</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45736</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45736</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45736</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45736</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45736</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45736</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45736</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45736</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45736</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45736</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45736</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45736</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45736</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45736</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45736</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45736</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45736</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45736</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45736</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45736</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45736</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45736</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45736</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45736</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45736</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45736</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45736</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45736</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45736</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45736</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45736</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45736</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45736</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45736</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45736</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45736</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45736</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45736</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45736</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45736</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45736</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45736</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45736</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45736</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45736</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45736</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45736</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45736</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45736</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45736</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45736</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45736</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45736</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45736</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45736</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45736</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45736</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45736</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45736</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45736</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45736</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45736</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45736</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45736</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45736</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45736</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45736</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45736</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45736</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45736</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45736</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45736</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45736</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45736</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45736</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45736</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45736</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45736</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45736</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45736</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45736</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45736</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45736</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45736</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45736</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45736</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45736</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45736</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45736</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45736</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45736</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45736</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45736</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45736</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45736</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45736</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45736</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45736</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45736</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45736</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45736</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45736</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45736</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45736</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45736</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45736</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45736</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45736</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45736</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45736</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45736</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45736</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45736</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45736</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45736</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45736</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45736</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45736</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45736</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45736</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45736</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45736</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45736</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45736</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45736</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45736</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45736</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45736</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45736</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45736</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45736</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45736</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45736</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45736</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45736</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45736</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45736</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45736</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45736</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45736</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45736</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45736</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45736</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45736</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45736</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45736</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45736</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45736</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45736</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45736</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45736</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45736</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45736</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45736</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45736</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45736</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45736</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45736</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45736</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45736</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45736</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45736</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45736</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45736</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45736</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45736</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45736</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45736</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45736</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45736</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45736</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45736</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45736</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45736</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45736</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45736</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45736</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45736</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45736</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45736</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45736</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45736</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45736</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45736</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45736</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45736</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45736</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45736</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45736</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45736</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45736</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45736</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45736</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45736</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45736</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45736</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45736</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45736</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45736</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45736</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45736</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45736</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45736</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45736</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45736</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45736</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45736</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45736</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45736</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45736</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45736</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45736</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45736</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45736</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45736</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45736</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45736</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45736</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45736</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45736</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45736</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45736</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45736</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45736</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45736</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45736</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45736</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45736</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45736</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45736</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45736</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45736</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45736</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45736</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45736</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45736</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45736</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45736</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45736</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45736</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45736</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45736</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45736</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45736</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45736</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45736</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45736</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45736</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45736</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45736</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45736</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45736</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45736</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45736</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45736</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45736</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45736</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45736</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45736</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45736</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45736</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45736</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45736</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45736</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45736</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45736</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45736</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45736</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45736</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45736</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45736</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45736</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45736</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45736</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45736</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45736</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45736</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45736</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45736</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45736</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45736</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45736</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45736</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45736</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45736</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45736</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45736</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45736</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45736</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45736</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45736</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45736</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45736</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45736</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45736</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45736</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45736</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45736</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45736</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45736</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45736</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45736</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45736</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45736</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45736</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45736</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45736</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45736</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45736</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45736</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45736</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45736</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45736</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45736</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45736</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45736</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45736</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45736</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45736</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45736</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45736</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45736</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45736</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45736</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45736</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45736</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45736</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45736</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45736</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45736</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45736</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45736</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45736</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45736</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45736</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45736</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45736</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45736</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45736</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45736</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45736</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45736</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45736</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45736</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45736</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45736</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45736</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45736</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45736</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45736</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45736</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45736</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45736</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45736</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45736</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45736</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45736</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45736</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45736</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45736</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45736</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45736</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45736</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45736</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45736</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45736</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45736</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45736</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45736</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45736</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45736</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45736</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45736</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45736</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45736</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45736</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45736</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45736</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45736</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45736</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45736</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45736</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45736</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45736</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45736</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45736</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45736</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45736</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45736</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45736</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45736</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45736</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45736</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45736</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45736</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45736</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45736</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45736</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45736</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45736</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45736</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45736</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45736</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45736</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45736</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45736</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45736</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45736</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45736</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45736</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45736</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45736</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45736</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45736</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45736</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45736</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45736</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45736</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45736</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45736</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45736</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45736</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45736</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45736</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45736</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45736</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45736</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45736</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45736</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45736</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45736</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45736</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45736</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45736</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45736</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45736</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45736</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45736</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45736</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45736</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45736</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45736</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45736</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45736</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45736</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45736</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45736</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45736</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45736</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45736</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45736</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45736</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45736</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45736</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45736</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45736</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45736</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45736</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45736</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45736</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45736</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45736</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45736</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45736</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45736</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45736</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45736</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45736</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45736</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45736</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45736</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45736</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45736</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45736</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45736</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45736</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45736</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45736</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45736</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45736</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45736</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45736</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45736</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45736</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45736</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45736</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45736</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45736</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45736</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45736</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45736</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45736</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45736</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45736</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45736</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45736</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45736</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45736</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45736</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45736</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45736</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45736</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45736</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45736</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45736</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45736</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45736</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45736</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45736</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45736</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45736</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45736</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45736</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45736</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45736</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45736</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45736</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45736</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45736</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45736</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45736</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45736</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45736</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45736</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45736</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45736</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45736</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45736</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45736</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45736</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45736</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45736</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45736</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45736</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45736</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45736</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45736</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45736</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45736</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45736</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45736</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45736</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45736</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45736</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45736</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45736</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45736</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45736</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45736</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45736</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45736</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45736</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45736</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45736</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45736</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45736</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45736</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45736</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45736</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45736</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45736</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45736</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45736</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45736</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45736</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45736</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45736</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45736</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45736</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45736</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45736</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45736</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45736</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45736</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45736</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45736</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45736</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45736</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45736</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45736</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45736</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45736</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45736</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45736</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45736</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45736</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45736</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45736</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45736</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45736</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45736</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45736</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45736</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45736</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45736</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45736</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45736</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45736</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45736</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45736</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45736</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45736</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45736</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45736</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45736</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45736</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45736</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45736</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45736</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45736</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45736</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45736</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45736</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45736</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45736</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45736</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45736</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45736</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45736</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45736</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45736</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45736</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45736</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45736</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45736</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45736</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45736</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45736</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45736</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45736</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45736</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45736</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45736</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45736</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45736</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45736</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45736</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45736</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45736</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45736</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45736</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45736</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45736</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45736</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45736</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45736</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45736</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45736</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45736</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45736</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45736</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45736</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45736</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45736</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45736</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45736</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45736</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45736</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45736</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45736</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45736</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45736</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45736</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45736</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45736</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45736</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45736</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45736</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45736</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45736</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45736</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45736</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45736</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45736</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45736</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45736</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45736</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45736</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45736</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45736</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45736</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45736</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45736</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45736</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45736</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45736</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45736</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45736</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45736</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45736</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45736</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45736</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45736</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45736</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45736</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45736</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45736</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45736</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45736</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45736</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45736</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45736</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45736</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45736</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45736</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45736</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45736</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45736</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45736</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45736</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45736</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45736</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45736</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45736</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45736</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45736</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45736</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45736</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45736</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45736</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45736</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45736</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45736</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45736</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45736</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45736</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45736</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45736</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45736</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45736</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45736</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45736</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45736</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45736</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45736</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45736</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45736</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45736</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45736</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45736</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45736</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45736</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45736</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45736</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45736</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45736</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45736</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45736</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45736</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45736</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45736</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45736</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45736</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45736</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45736</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45736</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45736</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45736</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45736</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45736</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45736</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45736</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45736</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45736</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45736</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45736</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45736</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45736</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45736</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45736</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45736</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45736</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45736</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45736</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45736</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45736</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45736</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45736</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45736</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45736</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45736</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45736</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45736</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45736</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45736</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45736</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45736</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45736</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45736</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45736</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45736</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45736</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45736</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45736</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45736</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45736</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45736</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45736</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45736</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45736</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45736</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45736</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45736</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45736</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45736</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45736</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45736</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45736</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45736</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45736</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45736</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45736</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45736</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45736</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45736</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45736</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45736</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45736</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45736</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45736</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45736</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45736</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45736</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45736</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45736</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45736</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45736</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45736</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45736</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45736</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45736</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45736</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45736</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45736</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45736</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45736</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45736</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45736</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45736</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45736</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45736</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45736</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45736</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45736</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45736</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45736</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45736</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45736</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45736</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45736</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45736</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45736</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45736</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45736</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45736</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45736</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45736</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45736</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45736</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45736</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45736</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45736</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45736</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45736</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45736</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45736</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45736</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45736</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45736</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45736</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45736</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45736</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45736</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45736</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45736</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45736</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45736</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45736</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45736</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45736</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45736</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45736</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45736</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45736</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45736</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45736</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45736</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45736</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45736</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45736</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45736</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45736</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45736</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45736</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45736</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45736</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45736</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45736</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45736</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45736</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45736</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45736</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45736</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45736</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45736</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45736</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45736</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45736</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45736</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45736</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45736</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45736</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45736</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45736</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45736</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45736</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45736</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45736</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45736</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45736</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45736</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45736</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45736</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45736</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45736</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45736</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45736</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45736</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45736</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45736</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45736</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45736</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45736</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45736</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45736</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45736</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45736</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45736</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45736</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45736</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45736</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45736</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45736</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45736</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45736</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45736</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45736</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45736</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45736</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45736</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45736</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45736</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45736</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45736</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45736</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45736</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45736</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45736</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45736</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45736</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45736</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45736</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45736</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45736</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45736</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45736</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45736</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45736</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45736</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45736</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45736</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45736</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45736</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45736</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45736</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45736</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45736</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45736</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45736</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45736</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45736</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45736</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45736</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45736</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45736</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45736</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45736</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45736</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45736</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45736</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45736</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45736</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45736</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45736</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45736</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45736</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45736</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45736</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45736</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45736</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45736</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45736</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45736</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45736</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45736</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45736</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45736</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45736</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45736</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45736</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45736</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45736</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45736</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45736</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45736</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45736</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45736</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45736</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45736</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45736</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45736</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45736</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45736</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45736</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45736</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45736</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45736</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45736</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45736</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45736</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45736</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45736</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45736</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45736</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45736</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45736</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45736</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45736</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45736</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45736</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45736</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45736</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45736</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45736</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45736</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45736</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45736</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45736</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45736</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45736</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45736</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45736</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45736</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45736</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45736</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45736</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45736</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45736</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45736</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45736</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45736</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45736</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45736</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45736</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45736</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45736</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45736</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45736</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45736</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45736</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45736</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45736</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45736</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45736</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45736</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45736</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45736</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45736</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45736</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45736</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45736</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45736</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45736</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45736</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45736</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45736</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45736</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45736</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45736</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45736</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45736</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45736</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45736</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45736</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45736</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45736</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45736</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45736</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45736</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45736</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45736</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45736</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45736</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45736</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45736</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45736</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45736</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45736</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45736</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45736</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45736</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45736</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45736</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45736</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45736</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45736</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45736</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45736</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45736</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45736</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45736</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45736</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45736</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45736</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45736</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45736</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45736</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45736</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45736</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45736</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45736</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45736</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45736</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45736</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45736</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45736</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45736</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45736</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45736</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45736</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45736</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45736</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45736</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45736</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45736</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45736</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45736</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45736</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45736</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45736</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45736</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45736</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45736</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45736</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45736</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45736</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45736</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45736</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45736</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45736</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45736</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45736</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45736</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45736</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45736</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45736</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45736</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45736</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45736</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45736</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45736</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45736</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45736</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45736</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45736</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45736</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45736</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45736</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45736</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45736</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45736</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45736</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45736</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45736</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45736</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45736</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45736</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45736</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45736</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45736</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45736</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45736</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45736</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45736</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45736</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45736</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45736</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45736</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45736</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45736</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45736</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45736</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45736</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45736</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45736</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45736</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45736</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45736</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45736</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45736</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45736</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45736</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45736</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45736</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45736</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45736</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45736</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45736</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45736</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45736</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45736</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45736</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45736</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45736</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45736</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45736</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45736</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45736</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45736</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45736</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45736</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45736</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45736</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45736</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45736</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45736</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45736</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45736</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45736</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45736</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45736</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45736</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45736</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45736</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45736</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45736</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45736</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45736</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45736</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45736</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45736</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45736</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45736</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45736</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45736</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45736</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45736</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45736</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45736</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45736</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45736</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45736</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45736</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45736</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45736</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45736</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45736</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45736</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45736</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45736</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45736</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45736</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45736</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45736</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45736</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45736</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45736</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45736</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45736</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45736</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45736</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45736</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45736</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45736</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45736</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45736</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45736</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45736</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45736</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45736</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45736</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45736</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45736</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45736</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45736</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45736</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45736</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45736</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45736</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45736</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45736</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45736</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45736</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45736</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45736</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45736</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45736</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45736</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45736</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45736</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45736</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45736</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45736</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45736</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45736</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45736</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45736</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45736</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45736</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45736</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45736</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45736</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45736</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45736</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45736</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45736</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45736</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45736</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45736</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45736</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45736</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45736</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45736</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45736</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45736</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45736</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45736</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45736</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45736</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45736</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45736</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45736</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45736</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45736</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45736</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45736</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45736</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45736</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45736</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45736</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45736</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45736</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45736</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45736</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45736</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45736</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45736</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45736</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45736</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45736</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45736</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45736</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45736</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45736</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45736</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45736</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45736</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45736</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45736</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45736</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45736</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45736</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45736</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45736</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45736</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45736</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45736</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45736</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45736</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45736</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45736</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45736</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45736</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45736</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45736</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45736</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45736</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45736</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45736</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45736</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45736</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45736</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45736</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45736</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45736</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45736</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45736</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45736</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45736</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45736</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45736</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45736</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45736</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45736</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45736</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45736</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45736</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45736</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45736</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45736</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45736</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45736</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45736</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45736</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45736</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45736</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45736</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45736</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45736</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45736</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45736</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45736</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45736</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45736</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45736</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45736</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45736</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45736</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45736</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45736</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45736</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45736</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45736</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45736</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45736</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45736</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45736</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45736</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45736</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45736</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45736</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45736</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45736</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45736</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45736</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45736</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45736</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45736</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45736</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45736</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45736</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45736</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45736</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45736</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45736</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45736</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45736</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45736</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45736</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45736</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45736</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45736</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45736</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45736</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45736</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45736</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45736</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45736</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45736</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45736</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45736</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45736</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45736</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45736</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45736</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45736</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45736</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45736</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45736</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45736</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45736</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45736</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45736</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45736</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45736</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45736</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45736</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45736</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45736</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45736</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45736</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45736</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45736</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45736</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45736</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45736</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45736</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45736</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45736</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45736</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45736</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45736</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45736</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45736</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45736</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45736</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45736</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45736</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45736</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45736</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45736</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45736</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45736</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45736</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45736</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45736</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45736</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45736</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45736</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45736</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45736</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45736</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45736</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45736</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45736</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45736</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45736</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45736</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45736</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45736</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45736</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45736</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45736</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45736</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45736</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45736</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45736</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45736</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45736</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45736</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45736</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45736</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45736</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45736</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45736</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45736</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45736</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45736</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45736</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45736</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45736</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45736</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45736</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45736</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45736</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45736</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45736</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45736</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45736</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45736</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45736</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45736</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45736</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45736</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45736</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45736</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45736</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45736</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45736</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45736</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45736</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45736</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45736</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45736</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45736</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45736</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45736</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45736</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45736</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45736</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45736</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45736</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45736</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45736</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45736</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45736</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45736</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45736</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45736</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45736</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45736</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45736</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45736</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45736</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45736</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45736</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45736</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45736</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45736</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45736</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45736</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45736</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45736</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45736</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45736</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45736</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45736</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45736</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45736</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45736</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45736</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45736</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45736</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45736</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45736</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45736</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45736</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45736</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45736</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45736</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45736</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45736</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45736</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45736</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45736</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45736</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45736</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45736</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45736</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45736</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45736</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45736</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45736</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45736</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45736</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45736</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45736</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45736</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45736</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45736</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45736</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45736</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45736</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45736</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45736</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45736</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45736</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45736</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45736</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45736</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45736</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45736</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45736</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45736</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45736</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45736</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45736</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45736</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45736</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45736</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45736</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45736</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45736</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45736</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45736</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45736</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45736</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45736</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45736</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45736</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45736</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45736</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45736</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45736</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45736</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45736</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45736</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45736</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45736</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45736</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45736</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45736</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45736</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45736</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45736</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45736</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45736</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45736</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45736</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45736</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45736</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45736</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45736</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45736</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45736</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45736</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45736</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45736</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45736</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45736</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45736</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45736</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45736</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45736</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45736</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45736</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45736</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45736</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45736</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45736</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45736</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45736</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45736</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45736</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45736</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45736</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45736</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45736</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45736</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45736</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45736</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45736</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45736</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45736</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45736</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45736</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45736</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45736</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45736</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45736</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45736</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45736</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45736</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45736</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45736</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45736</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45736</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45736</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45736</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45736</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45736</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45736</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45736</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45736</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45736</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45736</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45736</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45736</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45736</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45736</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45736</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45736</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45736</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45736</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45736</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45736</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45736</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45736</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45736</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45736</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45736</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45736</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45736</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45736</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45736</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45736</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45736</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45736</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45736</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45736</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45736</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45736</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45736</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45736</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45736</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45736</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45736</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45736</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45736</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45736</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45736</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45736</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45736</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45736</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45736</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45736</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45736</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45736</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45736</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45736</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45736</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45736</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45736</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45736</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45736</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45736</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45736</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45736</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45736</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45736</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45736</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45736</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45736</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45736</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45736</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45736</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45736</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45736</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45736</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45736</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45736</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45736</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45736</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45736</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45736</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45736</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45736</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45736</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45736</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45736</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45736</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45736</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45736</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45736</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45736</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45736</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45736</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45736</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45736</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45736</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45736</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45736</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45736</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45736</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45736</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45736</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45736</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45736</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45736</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45736</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45736</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45736</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45736</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45736</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45736</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45736</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45736</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45736</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45736</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45736</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45736</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45736</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45736</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45736</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45736</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45736</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45736</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45736</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45736</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45736</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45736</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45736</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45736</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45736</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45736</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45736</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45736</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45736</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45736</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45736</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45736</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45736</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45736</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45736</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45736</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45736</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45736</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45736</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45736</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45736</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45736</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45736</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45736</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45736</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45736</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45736</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45736</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45736</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45736</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45736</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45736</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45736</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45736</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45736</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45736</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45736</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45736</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45736</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45736</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45736</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45736</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45736</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45736</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45736</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45736</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45736</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45736</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45736</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45736</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45736</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45736</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45736</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45736</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45736</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45736</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45736</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45736</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45736</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45736</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45736</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45736</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45736</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45736</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45736</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45736</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45736</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45736</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45736</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45736</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45736</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45736</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45736</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45736</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45736</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45736</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45736</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45736</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45736</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45736</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45736</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45736</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45736</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45736</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45736</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45736</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45736</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45736</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45736</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45736</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45736</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45736</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45736</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45736</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45736</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45736</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45736</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45736</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45736</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45736</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45736</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45736</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45736</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45736</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45736</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45736</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45736</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45736</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45736</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45736</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45736</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45736</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45736</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45736</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45736</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45736</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45736</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45736</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45736</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45736</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45736</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45736</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45736</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45736</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45736</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45736</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45736</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45736</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45736</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45736</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45736</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45736</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45736</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45736</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45736</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45736</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45736</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45736</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45736</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45736</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45736</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45736</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45736</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45736</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45736</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45736</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45736</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45736</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45736</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45736</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45736</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45736</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45736</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45736</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45736</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45736</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45736</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45736</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45736</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45736</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45736</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45736</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45736</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45736</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45736</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45736</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45736</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45736</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45736</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45736</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45736</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45736</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45736</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45736</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45736</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45736</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45736</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45736</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45736</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45736</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45736</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45736</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45736</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45736</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45736</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45736</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45736</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45736</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45736</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45736</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45736</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45736</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45736</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45736</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45736</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45736</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45736</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45736</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45736</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45736</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45736</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45736</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45736</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45736</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45736</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45736</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45736</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45736</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45736</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45736</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45736</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45736</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45736</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45736</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45736</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45736</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45736</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45736</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45736</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45736</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45736</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45736</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45736</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45736</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45736</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45736</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45736</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45736</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45736</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45736</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45736</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45736</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45736</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45736</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45736</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45736</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45736</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45736</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45736</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45736</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45736</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45736</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45736</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45736</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45736</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45736</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45736</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45736</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45736</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45736</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45736</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45736</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45736</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45736</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45736</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45736</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45736</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45736</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45736</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45736</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45736</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45736</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45736</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45736</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45736</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45736</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45736</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45736</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45736</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45736</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45736</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45736</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45736</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45736</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45736</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45736</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45736</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45736</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45736</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45736</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45736</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45736</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45736</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45736</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45736</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45736</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45736</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45736</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45736</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45736</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45736</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45736</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45736</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45736</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45736</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45736</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45736</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45736</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45736</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45736</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45736</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45736</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45736</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45736</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45736</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45736</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45736</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45736</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45736</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45736</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45736</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45736</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45736</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45736</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45736</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45736</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45736</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45736</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45736</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45736</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45736</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45736</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45736</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45736</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45736</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45736</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45736</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45736</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45736</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45736</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45736</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45736</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45736</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45736</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45736</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45736</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45736</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45736</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45736</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45736</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45736</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45736</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45736</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45736</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45736</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45736</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45736</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45736</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45736</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45736</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45736</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45736</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45736</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45736</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45736</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45736</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45736</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45736</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45736</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45736</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45736</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45736</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45736</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45736</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45736</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45736</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45736</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45736</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45736</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45736</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45736</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45736</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45736</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45736</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45736</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45736</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45736</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45736</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45736</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45736</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45736</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45736</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45736</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45736</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45736</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45736</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45736</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45736</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45736</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45736</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45736</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45736</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45736</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45736</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45736</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45736</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45736</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45736</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45736</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45736</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45736</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45736</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45736</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45736</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45736</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45736</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45736</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45736</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45736</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45736</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45736</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45736</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45736</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45736</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45736</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45736</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45736</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45736</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45736</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45736</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45736</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45736</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45736</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45736</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45736</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45736</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45736</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45736</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45736</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45736</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45736</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45736</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45736</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45736</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45736</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45736</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45736</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45736</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45736</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45736</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45736</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45736</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45736</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45736</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45736</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45736</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45736</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45736</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45736</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45736</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45736</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45736</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45736</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45736</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45736</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45736</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45736</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45736</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45736</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45736</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45736</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45736</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45736</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45736</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45736</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45736</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45736</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45736</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45736</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45736</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45736</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45736</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45736</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45736</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45736</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45736</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45736</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45736</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45736</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45736</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45736</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45736</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45736</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45736</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45736</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45736</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45736</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45736</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45736</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45736</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45736</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45736</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45736</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45736</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45736</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45736</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45736</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45736</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45736</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45736</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45736</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45736</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45736</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45736</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45736</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45736</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45736</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45736</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45736</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45736</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45736</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45736</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45736</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45736</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45736</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45736</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45736</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45736</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45736</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45736</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45736</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45736</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45736</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45736</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45736</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45736</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45736</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45736</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45736</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45736</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45736</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45736</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45736</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45736</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45736</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45736</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45736</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45736</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45736</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45736</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45736</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45736</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45736</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45736</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45736</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45736</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45736</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45736</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45736</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45736</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45736</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45736</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45736</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45736</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45736</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45736</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45736</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45736</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45736</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45736</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45736</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45736</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45736</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45736</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45736</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45736</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45736</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45736</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45736</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45736</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45736</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45736</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45736</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45736</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45736</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45736</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45736</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45736</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45736</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45736</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45736</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45736</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45736</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45736</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45736</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45736</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45736</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45736</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45736</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45736</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45736</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45736</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45736</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45736</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45736</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45736</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45736</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45736</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45736</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45736</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45736</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45736</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45736</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45736</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45736</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45736</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45736</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45736</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45736</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45736</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45736</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45736</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45736</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45736</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45736</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45736</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45736</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45736</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45736</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45736</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45736</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45736</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45736</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45736</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45736</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45736</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45736</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45736</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45736</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45736</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45736</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45736</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45736</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45736</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45736</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45736</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45736</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45736</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45736</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45736</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45736</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45736</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45736</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45736</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45736</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45736</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45736</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45736</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45736</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45736</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45736</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45736</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45736</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45736</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45736</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45736</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45736</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45736</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45736</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45736</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45736</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45736</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45736</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45736</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45736</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45736</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45736</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45736</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45736</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45736</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45736</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45736</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45736</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45736</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45736</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45736</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45736</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45736</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45736</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45736</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45736</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45736</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45736</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45736</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45736</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45736</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45736</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45736</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45736</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45736</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45736</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45736</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45736</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45736</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45736</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45736</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45736</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45736</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45736</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45736</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45736</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45736</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45736</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45736</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45736</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45736</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45736</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45736</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45736</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45736</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45736</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45736</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45736</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45736</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45736</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45736</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45736</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45736</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45736</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45736</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45736</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45736</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45736</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45736</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45736</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45736</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45736</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45736</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45736</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45736</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45736</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45736</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45736</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45736</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45736</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45736</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45736</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45736</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45736</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45736</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45736</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45736</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45736</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45736</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45736</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45736</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45736</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45736</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45736</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45736</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45736</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45736</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45736</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45736</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45736</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45736</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45736</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45736</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45736</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45736</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45736</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45736</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45736</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45736</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45736</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45736</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45736</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45736</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45736</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45736</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45736</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45736</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45736</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45736</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45736</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45736</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45736</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45736</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45736</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45736</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45736</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45736</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45736</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45736</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45736</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45736</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45736</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45736</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45736</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45736</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45736</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45736</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45736</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45736</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45736</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45736</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45736</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45736</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45736</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45736</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45736</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45736</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45736</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45736</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45736</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45736</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45736</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45736</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45736</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45736</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45736</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45736</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45736</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45736</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45736</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45736</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45736</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45736</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45736</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45736</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45736</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45736</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45736</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45736</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45736</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45736</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45736</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45736</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45736</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45736</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45736</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45736</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45736</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45736</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45736</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45736</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45736</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45736</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45736</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45736</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45736</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45736</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45736</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45736</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45736</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45736</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45736</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45736</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45736</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45736</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45736</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45736</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45736</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45736</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45736</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45736</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45736</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45736</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45736</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45736</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45736</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45736</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45736</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45736</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45736</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45736</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45736</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45736</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45736</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45736</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45736</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45736</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45736</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45736</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45736</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45736</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45736</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45736</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45736</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45736</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45736</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45736</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45736</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45736</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45736</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45736</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45736</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45736</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45736</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45736</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45736</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45736</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45736</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45736</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45736</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45736</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45736</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45736</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45736</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45736</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45736</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45736</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45736</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45736</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45736</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45736</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45736</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45736</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45736</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45736</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45736</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45736</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45736</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45736</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45736</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45736</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45736</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45736</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45736</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45736</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45736</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45736</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45736</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45736</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45736</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45736</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45736</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45736</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45736</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45736</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45736</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45736</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45736</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45736</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45736</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45736</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45736</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45736</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45736</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45736</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45736</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45736</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45736</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45736</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45736</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45736</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45736</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45736</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45736</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45736</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45736</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45736</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45736</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45736</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45736</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45736</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45736</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45736</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45736</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45736</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45736</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45736</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45736</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45736</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45736</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45736</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45736</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45736</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45736</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45736</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45736</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45736</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45736</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45736</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45736</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45736</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45736</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45736</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45736</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45736</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45736</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45736</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45736</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45736</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45736</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45736</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45736</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45736</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45736</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45736</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45736</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45736</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45736</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45736</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45736</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45736</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45736</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45736</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45736</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45736</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45736</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45736</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45736</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45736</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45736</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45736</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45736</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45736</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45736</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45736</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45736</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45736</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45736</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45736</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45736</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45736</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45736</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45736</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45736</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45736</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45736</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45736</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45736</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45736</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45736</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45736</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45736</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45736</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45736</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45736</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45736</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45736</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45736</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45736</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45736</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45736</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45736</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45736</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45736</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45736</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45736</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45736</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45736</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45736</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45736</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45736</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45736</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45736</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45736</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45736</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45736</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45736</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45736</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45736</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45736</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45736</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45736</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45736</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45736</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45736</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45736</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45736</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45736</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45736</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45736</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45736</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45736</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45736</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45736</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45736</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45736</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45736</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45736</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45736</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45736</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45736</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45736</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45736</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45736</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45736</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45736</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45736</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45736</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45736</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45736</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45736</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45736</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45736</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45736</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45736</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45736</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45736</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45736</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45736</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45736</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45736</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45736</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45736</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45736</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45736</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45736</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45736</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45736</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45736</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45736</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45736</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45736</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45736</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45736</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45736</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45736</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45736</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45736</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45736</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45736</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45736</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45736</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45736</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45736</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45736</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45736</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45736</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45736</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45736</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45736</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45736</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45736</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45736</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45736</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45736</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45736</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45736</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45736</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45736</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45736</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45736</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45736</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45736</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45736</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45736</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45736</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45736</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45736</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45736</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45736</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45736</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45736</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45736</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45736</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45736</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45736</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45736</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45736</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45736</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45736</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45736</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45736</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45736</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45736</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45736</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45736</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45736</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45736</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45736</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45736</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45736</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45736</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45736</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45736</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45736</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45736</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45736</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45736</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45736</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45736</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45736</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45736</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45736</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45736</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45736</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45736</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45736</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45736</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45736</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45736</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45736</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45736</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45736</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45736</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45736</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45736</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45736</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45736</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45736</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45736</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45736</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45736</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45736</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45736</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45736</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45736</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45736</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45736</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45736</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45736</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45736</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45736</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45736</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45736</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45736</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45736</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45736</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45736</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45736</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45736</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45736</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45736</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45736</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45736</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45736</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45736</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45736</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45736</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45736</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45736</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45736</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45736</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45736</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45736</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45736</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45736</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45736</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45736</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45736</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45736</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45736</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45736</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45736</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45736</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45736</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45736</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45736</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45736</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45736</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45736</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45736</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45736</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45736</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45736</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45736</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45736</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45736</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45736</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45736</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45736</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45736</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45736</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45736</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45736</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45736</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45736</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45736</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45736</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45736</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45736</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45736</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45736</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45736</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45736</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45736</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45736</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45736</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45736</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45736</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45736</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45736</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45736</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45736</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45736</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45736</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45736</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45736</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45736</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45736</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45736</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45736</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45736</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45736</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45736</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45736</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45736</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45736</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45736</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45736</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45736</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45736</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45736</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45736</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45736</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45736</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45736</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45736</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45736</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45736</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45736</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45736</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45736</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45736</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45736</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45736</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45736</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45736</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45736</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45736</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45736</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45736</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45736</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45736</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45736</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45736</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45736</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45736</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45736</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45736</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45736</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45736</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45736</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45736</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45736</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45736</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45736</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45736</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45736</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45736</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45736</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45736</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45736</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45736</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45736</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45736</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45736</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45736</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45736</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45736</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45736</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45736</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45736</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45736</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45736</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45736</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45736</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45736</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45736</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45736</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45736</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45736</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45736</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45736</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45736</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45736</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45736</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45736</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45736</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45736</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45736</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45736</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45736</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45736</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45736</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45736</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45736</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45736</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45736</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45736</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45736</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45736</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45736</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45736</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45736</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45736</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45736</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45736</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45736</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45736</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45736</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45736</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45736</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45736</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45736</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45736</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45736</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45736</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45736</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45736</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45736</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45736</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45736</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45736</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45736</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45736</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45736</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45736</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45736</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45736</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45736</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45736</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45736</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45736</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45736</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45736</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45736</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45736</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45736</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45736</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45736</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45736</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45736</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45736</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45736</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45736</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45736</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45736</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45736</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45736</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45736</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45736</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45736</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45736</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45736</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45736</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45736</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45736</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45736</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45736</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45736</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45736</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45736</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45736</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45736</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45736</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45736</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45736</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45736</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45736</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45736</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45736</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45736</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45736</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45736</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45736</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45736</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45736</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45736</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45736</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45736</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45736</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45736</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45736</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45736</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45736</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45736</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45736</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45736</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45736</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45736</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45736</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45736</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45736</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45736</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45736</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45736</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45736</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45736</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45736</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45736</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45736</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45736</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45736</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45736</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45736</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45736</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45736</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45736</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45736</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45736</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45736</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45736</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45736</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45736</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45736</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45736</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45736</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45736</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45736</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45736</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45736</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45736</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45736</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45736</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45736</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45736</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45736</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45736</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45736</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45736</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45736</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45736</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45736</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45736</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45736</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45736</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45736</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45736</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45736</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45736</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45736</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45736</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45736</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45736</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45736</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45736</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45736</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45736</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45736</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45736</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45736</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45736</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45736</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45736</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45736</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45736</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45736</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45736</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45736</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45736</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45736</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45736</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45736</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45736</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45736</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45736</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45736</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45736</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45736</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45736</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45736</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45736</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45736</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45736</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45736</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45736</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45736</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45736</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45736</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45736</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45736</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45736</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45736</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45736</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45736</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45736</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45736</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45736</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45736</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45736</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45736</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45736</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45736</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45736</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45736</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45736</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45736</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45736</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45736</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45736</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45736</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45736</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45736</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45736</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45736</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45736</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45736</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45736</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45736</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45736</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45736</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45736</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45736</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45736</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45736</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45736</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45736</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45736</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45736</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45736</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45736</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45736</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45736</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45736</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45736</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45736</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45736</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45736</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45736</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45736</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45736</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45736</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45736</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45736</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45736</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45736</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45736</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45736</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45736</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45736</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45736</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45736</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45736</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45736</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45736</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45736</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45736</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45736</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45736</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45736</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45736</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45736</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45736</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45736</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45736</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45736</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45736</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45736</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45736</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45736</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45736</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45736</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45736</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45736</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45736</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45736</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45736</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45736</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45736</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45736</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45736</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45736</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45736</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45736</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45736</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45736</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45736</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45736</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45736</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45736</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45736</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45736</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45736</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45736</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45736</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45736</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45736</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45736</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45736</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45736</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45736</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45736</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45736</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45736</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45736</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45736</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45736</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45736</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45736</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45736</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45736</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45736</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45736</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45736</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45736</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45736</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45736</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45736</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45736</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45736</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45736</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45736</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45736</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45736</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45736</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45736</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45736</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45736</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45736</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45736</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45736</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45736</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45736</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45736</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45736</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45736</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45736</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45736</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45736</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45736</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45736</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45736</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45736</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45736</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45736</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45736</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45736</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45736</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45736</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45736</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45736</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45736</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45736</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45736</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45736</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45736</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45736</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45736</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45736</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45736</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45736</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45736</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45736</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45736</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45736</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45736</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45736</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45736</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45736</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45736</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45736</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45736</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45736</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45736</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45736</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45736</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45736</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45736</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45736</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45736</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45736</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45736</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45736</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45736</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45736</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45736</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45736</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45736</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45736</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45736</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45736</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45736</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45736</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45736</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45736</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45736</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45736</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45736</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45736</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45736</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45736</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45736</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45736</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45736</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45736</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45736</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45736</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45736</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45736</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45736</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45736</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45736</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45736</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45736</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45736</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45736</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45736</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45736</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45736</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45736</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45736</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45736</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45736</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45736</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45736</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45736</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45736</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45736</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45736</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45736</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45736</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45736</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45736</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45736</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45736</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45736</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45736</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45736</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45736</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45736</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45736</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45736</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45736</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45736</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45736</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45736</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45736</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45736</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45736</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45736</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45736</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45736</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45736</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45736</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45736</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45736</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45736</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45736</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45736</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45736</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45736</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45736</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45736</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45736</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45736</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45736</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45736</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45736</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45736</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45736</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45736</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45736</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45736</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45736</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45736</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45736</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45736</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45736</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45736</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45736</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45736</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45736</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45736</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45736</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45736</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45736</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45736</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45736</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45736</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45736</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45736</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45736</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45736</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45736</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45736</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45736</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45736</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45736</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45736</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45736</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45736</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45736</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45736</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45736</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45736</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45736</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45736</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45736</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45736</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45736</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45736</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45736</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45736</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45736</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45736</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45736</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45736</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45736</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45736</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45736</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45736</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45736</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45736</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45736</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45736</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45736</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45736</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45736</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45736</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45736</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45736</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45736</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45736</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45736</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45736</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45736</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45736</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45736</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45736</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45736</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45736</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45736</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45736</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45736</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45736</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45736</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45736</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45736</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45736</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45736</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45736</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45736</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45736</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45736</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45736</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45736</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45736</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45736</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45736</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45736</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45736</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45736</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45736</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45736</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45736</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45736</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45736</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45736</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45736</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45736</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45736</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45736</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45736</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45736</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45736</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45736</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45736</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45736</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45736</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45736</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45736</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45736</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45736</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45736</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45736</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45736</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45736</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45736</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45736</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45736</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45736</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45736</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45736</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45736</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45736</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45736</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45736</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45736</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45736</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45736</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45736</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45736</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45736</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45736</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45736</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45736</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45736</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45736</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45736</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45736</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45736</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45736</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45736</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45736</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45736</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45736</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45736</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45736</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45736</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45736</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45736</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45736</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45736</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45736</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45736</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45736</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45736</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45736</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45736</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45736</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45736</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45736</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45736</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45736</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45736</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45736</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45736</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45736</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45736</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45736</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45736</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45736</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45736</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45736</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45736</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45736</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45736</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45736</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45736</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45736</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45736</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45736</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45736</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45736</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45736</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45736</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45736</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45736</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45736</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45736</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45736</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45736</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45736</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45736</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45736</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45736</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45736</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45736</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45736</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45736</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45736</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45736</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45736</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45736</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45736</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45736</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45736</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45736</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45736</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45736</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45736</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45736</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45736</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45736</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45736</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45736</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45736</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45736</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45736</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45736</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45736</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45736</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45736</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45736</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45736</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45736</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45736</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45736</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45736</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45736</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45736</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45736</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45736</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45736</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45736</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45736</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45736</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45736</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45736</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45736</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45736</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45736</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45736</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45736</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45736</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45736</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45736</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45736</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45736</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45736</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45736</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45736</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45736</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45736</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45736</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45736</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45736</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45736</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45736</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45736</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45736</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45736</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45736</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45736</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45736</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45736</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45736</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45736</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45736</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45736</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45736</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45736</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45736</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45736</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45736</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45736</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45736</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45736</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45736</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45736</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45736</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45736</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45736</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45736</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45736</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45736</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45736</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45736</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45736</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45736</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45736</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45736</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45736</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45736</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45736</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45736</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45736</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45736</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45736</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45736</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45736</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45736</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45736</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45736</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45736</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45736</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45736</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45736</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45736</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45736</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45736</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45736</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45736</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45736</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45736</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45736</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45736</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45736</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45736</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45736</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45736</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45736</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45736</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45736</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45736</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45736</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45736</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45736</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45736</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45736</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45736</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45736</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45736</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45736</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45736</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45736</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45736</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45736</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45736</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45736</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45736</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45736</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45736</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45736</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45736</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45736</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45736</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45736</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45736</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45736</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45736</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45736</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45736</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45736</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45736</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45736</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45736</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45736</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45736</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45736</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45736</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45736</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45736</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45736</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45736</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45736</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45736</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45736</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45736</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45736</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45736</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45736</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45736</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45736</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45736</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45736</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45736</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45736</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45736</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45736</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45736</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45736</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45736</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45736</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45736</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45736</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45736</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45736</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45736</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45736</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45736</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45736</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45736</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45736</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45736</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45736</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45736</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45736</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45736</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45736</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45736</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45736</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45736</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45736</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45736</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45736</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45736</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45736</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45736</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45736</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45736</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45736</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45736</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45736</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45736</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45736</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45736</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45736</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45736</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45736</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45736</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45736</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45736</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45736</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45736</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45736</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45736</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45736</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45736</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45736</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45736</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45736</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45736</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45736</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45736</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45736</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45736</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45736</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45736</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45736</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45736</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45736</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45736</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45736</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45736</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45736</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45736</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45736</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45736</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45736</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45736</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45736</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45736</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45736</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45736</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45736</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45736</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45736</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45736</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45736</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45736</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45736</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45736</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45736</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45736</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45736</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45736</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45736</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45736</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45736</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45736</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45736</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45736</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45736</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45736</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45736</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45736</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45736</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45736</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45736</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45736</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45736</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45736</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45736</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45736</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45736</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45736</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45736</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45736</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45736</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45736</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45736</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45736</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45736</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45736</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45736</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45736</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45736</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45736</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45736</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45736</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45736</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45736</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45736</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45736</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45736</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45736</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45736</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45736</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45736</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45736</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45736</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45736</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45736</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45736</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45736</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45736</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45736</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45736</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45736</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45736</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45736</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45736</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45736</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45736</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45736</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45736</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45736</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45736</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45736</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45736</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45736</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45736</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45736</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45736</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45736</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45736</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45736</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45736</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45736</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45736</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45736</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45736</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45736</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45736</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45736</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45736</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45736</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45736</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45736</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45736</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45736</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45736</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45736</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45736</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45736</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45736</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45736</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45736</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45736</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45736</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45736</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45736</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45736</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45736</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45736</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45736</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45736</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45736</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45736</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45736</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45736</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45736</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45736</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45736</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45736</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45736</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45736</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45736</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45736</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45736</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45736</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45736</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45736</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45736</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45736</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45736</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45736</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45736</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45736</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45736</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45736</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45736</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45736</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45736</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45736</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45736</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45736</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45736</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45736</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45736</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45736</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45736</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45736</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45736</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45736</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45736</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45736</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45736</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45736</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45736</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45736</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45736</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45736</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45736</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45736</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45736</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45736</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45736</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45736</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45736</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45736</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45736</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45736</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45736</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45736</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45736</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45736</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45736</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45736</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45736</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45736</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45736</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45736</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45736</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45736</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45736</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45736</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45736</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45736</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45736</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45736</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45736</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45736</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45736</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45736</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45736</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45736</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45736</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45736</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45736</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45736</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45736</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45736</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45736</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45736</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45736</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45736</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45736</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45736</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45736</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45736</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45736</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45736</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45736</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45736</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45736</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45736</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45736</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45736</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45736</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45736</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45736</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45736</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45736</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45736</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45736</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45736</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45736</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45736</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45736</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45736</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45736</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45736</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45736</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45736</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45736</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45736</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45736</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45736</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45736</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45736</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45736</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45736</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45736</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45736</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45736</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45736</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45736</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45736</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45736</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45736</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45736</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45736</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45736</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45736</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45736</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45736</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45736</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45736</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45736</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45736</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45736</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45736</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45736</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45736</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45736</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45736</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45736</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45736</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45736</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45736</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45736</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45736</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45736</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45736</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45736</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45736</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45736</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45736</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45736</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45736</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45736</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45736</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45736</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45736</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45736</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45736</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45736</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45736</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45736</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45736</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45736</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45736</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45736</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45736</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45736</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45736</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45736</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45736</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45736</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45736</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45736</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45736</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45736</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45736</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45736</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45736</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45736</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45736</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45736</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45736</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45736</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45736</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45736</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45736</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45736</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45736</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45736</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45736</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45736</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45736</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45736</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45736</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45736</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45736</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45736</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45736</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45736</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45736</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45736</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45736</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45736</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45736</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45736</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45736</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45736</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45736</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45736</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45736</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45736</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45736</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45736</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45736</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45736</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45736</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45736</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45736</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45736</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45736</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45736</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45736</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45736</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45736</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45736</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45736</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45736</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45736</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45736</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45736</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45736</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45736</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45736</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45736</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45736</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45736</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45736</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45736</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45736</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45736</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45736</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45736</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45736</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45736</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45736</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45736</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45736</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45736</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45736</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45736</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45736</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45736</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45736</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45736</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45736</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45736</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45736</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45736</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45736</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45736</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45736</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45736</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45736</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45736</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45736</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45736</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45736</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45736</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45736</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45736</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45736</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45736</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45736</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45736</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45736</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45736</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45736</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45736</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45736</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45736</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45736</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45736</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45736</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45736</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45736</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45736</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45736</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45736</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45736</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45736</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45736</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45736</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45736</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45736</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45736</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45736</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45736</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45736</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45736</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45736</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45736</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45736</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45736</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45736</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45736</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45736</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45736</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45736</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45736</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45736</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45736</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45736</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45736</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45736</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45736</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45736</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45736</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45736</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45736</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45736</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45736</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45736</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45736</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45736</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45736</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45736</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45736</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45736</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45736</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45736</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45736</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45736</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45736</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45736</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45736</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45736</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45736</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45736</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45736</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45736</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45736</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45736</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45736</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45736</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45736</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45736</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45736</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45736</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45736</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45736</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45736</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45736</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45736</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45736</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45736</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45736</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45736</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45736</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45736</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45736</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45736</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45736</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45736</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45736</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45736</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45736</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45736</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45736</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45736</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45736</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45736</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45736</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45736</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45736</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45736</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45736</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45736</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45736</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45736</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45736</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45736</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45736</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45736</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45736</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45736</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45736</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45736</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45736</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45736</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45736</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45736</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45736</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45736</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45736</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45736</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45736</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45736</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45736</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45736</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45736</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45736</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45736</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45736</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45736</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45736</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45736</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45736</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45736</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45736</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45736</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45736</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45736</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45736</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45736</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45736</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45736</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45736</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45736</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45736</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45736</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45736</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45736</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45736</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45736</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45736</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45736</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45736</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45736</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45736</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45736</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45736</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45736</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45736</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45736</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45736</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45736</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45736</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45736</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45736</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45736</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45736</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45736</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45736</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45736</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45736</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45736</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45736</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45736</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45736</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45736</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45736</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45736</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45736</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45736</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45736</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45736</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45736</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45736</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45736</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45736</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45736</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45736</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45736</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45736</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45736</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45736</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45736</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45736</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45736</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45736</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45736</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45736</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45736</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45736</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45736</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45736</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45736</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45736</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45736</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45736</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45736</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45736</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45736</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45736</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45736</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45736</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45736</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45736</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45736</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45736</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45736</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45736</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45736</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45736</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45736</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45736</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45736</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45736</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45736</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45736</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45736</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45736</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45736</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45736</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45736</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45736</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45736</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45736</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45736</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45736</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45736</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45736</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45736</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45736</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45736</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45736</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45736</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45736</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45736</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45736</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45736</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45736</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45736</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45736</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45736</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45736</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45736</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45736</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45736</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45736</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45736</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45736</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45736</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45736</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45736</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45736</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45736</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45736</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45736</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45736</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45736</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45736</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45736</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45736</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45736</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45736</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45736</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45736</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45736</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45736</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45736</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45736</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45736</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45736</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45736</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45736</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45736</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45736</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45736</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45736</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45736</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45736</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45736</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45736</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45736</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45736</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45736</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45736</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45736</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45736</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45736</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45736</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45736</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45736</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45736</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45736</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45736</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45736</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45736</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45736</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45736</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45736</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45736</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45736</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45736</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45736</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45736</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45736</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45736</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45736</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45736</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45736</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45736</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45736</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45736</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45736</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45736</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45736</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45736</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45736</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45736</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45736</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45736</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45736</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45736</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45736</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45736</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45736</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45736</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45736</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45736</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45736</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45736</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45736</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45736</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45736</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45736</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45736</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45736</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45736</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45736</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45736</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45736</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45736</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45736</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45736</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45736</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45736</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45736</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45736</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45736</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45736</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45736</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45736</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45736</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45736</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45736</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45736</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45736</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45736</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45736</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45736</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45736</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45736</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45736</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45736</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45736</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45736</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45736</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45736</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45736</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45736</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45736</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45736</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45736</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45736</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45736</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45736</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45736</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45736</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45736</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45736</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45736</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45736</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45736</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45736</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45736</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45736</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45736</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45736</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45736</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45736</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45736</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45736</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45736</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45736</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45736</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45736</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45736</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45736</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45736</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45736</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45736</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45736</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45736</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45736</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45736</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45736</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45736</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45736</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45736</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45736</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45736</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45736</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45736</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45736</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45736</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45736</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45736</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45736</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45736</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45736</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45736</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45736</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45736</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45736</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45736</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45736</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45736</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45736</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45736</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45736</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45736</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45736</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45736</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45736</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45736</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45736</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45736</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45736</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45736</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45736</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45736</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45736</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45736</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45736</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45736</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45736</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45736</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45736</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45736</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45736</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45736</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45736</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45736</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45736</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45736</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45736</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45736</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45736</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45736</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45736</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45736</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45736</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45736</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45736</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45736</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45736</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45736</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45736</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45736</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45736</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45736</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45736</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45736</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45736</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45736</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45736</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45736</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45736</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45736</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45736</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45736</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45736</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45736</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45736</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45736</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45736</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45736</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45736</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45736</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45736</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45736</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45736</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45736</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45736</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45736</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45736</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45736</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45736</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45736</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45736</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45736</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45736</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45736</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45736</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45736</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45736</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45736</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45736</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45736</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45736</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45736</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45736</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45736</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45736</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45736</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45736</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45736</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45736</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45736</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45736</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45736</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45736</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45736</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45736</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45736</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45736</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45736</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45736</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45736</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45736</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45736</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45736</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45736</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45736</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45736</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45736</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45736</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45736</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45736</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45736</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45736</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45736</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45736</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45736</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45736</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45736</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45736</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45736</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45736</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45736</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45736</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45736</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45736</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45736</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45736</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45736</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45736</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45736</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45736</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45736</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45736</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45736</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45736</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45736</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45736</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45736</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45736</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45736</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45736</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45736</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45736</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45736</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45736</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45736</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45736</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45736</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45736</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45736</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45736</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45736</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45736</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45736</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45736</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45736</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45736</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45736</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45736</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45736</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45736</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45736</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45736</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45736</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45736</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45736</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45736</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45736</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45736</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45736</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45736</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45736</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45736</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45736</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45736</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45736</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45736</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45736</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45736</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45736</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45736</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45736</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45736</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45736</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45736</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45736</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45736</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45736</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45736</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45736</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45736</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45736</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45736</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45736</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45736</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45736</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45736</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45736</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45736</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45736</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45736</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45736</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45736</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45736</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45736</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45736</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45736</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45736</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45736</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45736</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45736</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45736</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45736</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45736</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45736</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45736</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45736</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45736</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45736</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45736</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45736</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45736</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45736</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45736</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45736</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45736</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45736</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45736</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45736</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45736</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45736</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45736</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45736</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45736</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45736</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45736</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45736</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45736</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45736</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45736</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45736</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45736</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45736</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45736</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45736</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45736</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45736</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45736</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45736</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45736</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45736</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45736</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45736</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45736</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45736</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45736</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45736</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45736</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45736</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45736</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45736</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45736</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45736</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45736</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45736</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45736</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45736</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45736</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45736</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45736</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45736</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45736</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45736</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45736</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45736</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45736</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45736</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45736</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45736</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45736</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45736</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45736</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45736</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45736</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45736</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45736</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45736</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45736</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45736</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45736</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45736</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45736</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45736</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45736</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45736</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45736</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45736</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45736</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45736</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45736</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45736</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45736</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45736</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45736</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45736</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45736</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45736</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45736</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45736</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45736</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45736</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45736</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45736</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45736</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7873-2025</t>
        </is>
      </c>
      <c r="B7410" s="1" t="n">
        <v>45706</v>
      </c>
      <c r="C7410" s="1" t="n">
        <v>45736</v>
      </c>
      <c r="D7410" t="inlineStr">
        <is>
          <t>SÖDERMANLANDS LÄN</t>
        </is>
      </c>
      <c r="E7410" t="inlineStr">
        <is>
          <t>GNESTA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45736</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45736</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45736</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45736</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7674-2025</t>
        </is>
      </c>
      <c r="B7415" s="1" t="n">
        <v>45706</v>
      </c>
      <c r="C7415" s="1" t="n">
        <v>45736</v>
      </c>
      <c r="D7415" t="inlineStr">
        <is>
          <t>SÖDERMANLANDS LÄN</t>
        </is>
      </c>
      <c r="E7415" t="inlineStr">
        <is>
          <t>FLEN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45736</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45736</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45736</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45736</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8494-2025</t>
        </is>
      </c>
      <c r="B7420" s="1" t="n">
        <v>45709</v>
      </c>
      <c r="C7420" s="1" t="n">
        <v>45736</v>
      </c>
      <c r="D7420" t="inlineStr">
        <is>
          <t>SÖDERMANLANDS LÄN</t>
        </is>
      </c>
      <c r="E7420" t="inlineStr">
        <is>
          <t>ESKILSTUNA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45736</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45736</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45736</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8958-2025</t>
        </is>
      </c>
      <c r="B7424" s="1" t="n">
        <v>45713</v>
      </c>
      <c r="C7424" s="1" t="n">
        <v>45736</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8976-2025</t>
        </is>
      </c>
      <c r="B7425" s="1" t="n">
        <v>45713</v>
      </c>
      <c r="C7425" s="1" t="n">
        <v>45736</v>
      </c>
      <c r="D7425" t="inlineStr">
        <is>
          <t>SÖDERMANLANDS LÄN</t>
        </is>
      </c>
      <c r="E7425" t="inlineStr">
        <is>
          <t>NYKÖPING</t>
        </is>
      </c>
      <c r="F7425" t="inlineStr">
        <is>
          <t>Kyrkan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8998-2025</t>
        </is>
      </c>
      <c r="B7426" s="1" t="n">
        <v>45713</v>
      </c>
      <c r="C7426" s="1" t="n">
        <v>45736</v>
      </c>
      <c r="D7426" t="inlineStr">
        <is>
          <t>SÖDERMANLANDS LÄN</t>
        </is>
      </c>
      <c r="E7426" t="inlineStr">
        <is>
          <t>STRÄNGNÄS</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9079-2025</t>
        </is>
      </c>
      <c r="B7427" s="1" t="n">
        <v>45713</v>
      </c>
      <c r="C7427" s="1" t="n">
        <v>45736</v>
      </c>
      <c r="D7427" t="inlineStr">
        <is>
          <t>SÖDERMANLANDS LÄN</t>
        </is>
      </c>
      <c r="E7427" t="inlineStr">
        <is>
          <t>FLEN</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8920-2025</t>
        </is>
      </c>
      <c r="B7428" s="1" t="n">
        <v>45713</v>
      </c>
      <c r="C7428" s="1" t="n">
        <v>45736</v>
      </c>
      <c r="D7428" t="inlineStr">
        <is>
          <t>SÖDERMANLANDS LÄN</t>
        </is>
      </c>
      <c r="E7428" t="inlineStr">
        <is>
          <t>ESKILSTUNA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8969-2025</t>
        </is>
      </c>
      <c r="B7429" s="1" t="n">
        <v>45713</v>
      </c>
      <c r="C7429" s="1" t="n">
        <v>45736</v>
      </c>
      <c r="D7429" t="inlineStr">
        <is>
          <t>SÖDERMANLANDS LÄN</t>
        </is>
      </c>
      <c r="E7429" t="inlineStr">
        <is>
          <t>FLEN</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8959-2025</t>
        </is>
      </c>
      <c r="B7430" s="1" t="n">
        <v>45713</v>
      </c>
      <c r="C7430" s="1" t="n">
        <v>45736</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45736</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45736</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45736</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45736</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9395-2025</t>
        </is>
      </c>
      <c r="B7435" s="1" t="n">
        <v>45715</v>
      </c>
      <c r="C7435" s="1" t="n">
        <v>45736</v>
      </c>
      <c r="D7435" t="inlineStr">
        <is>
          <t>SÖDERMANLANDS LÄN</t>
        </is>
      </c>
      <c r="E7435" t="inlineStr">
        <is>
          <t>NYKÖPING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9703-2025</t>
        </is>
      </c>
      <c r="B7436" s="1" t="n">
        <v>45715</v>
      </c>
      <c r="C7436" s="1" t="n">
        <v>45736</v>
      </c>
      <c r="D7436" t="inlineStr">
        <is>
          <t>SÖDERMANLANDS LÄN</t>
        </is>
      </c>
      <c r="E7436" t="inlineStr">
        <is>
          <t>ESKILSTUNA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45736</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45736</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45736</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45736</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45736</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45736</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10324-2025</t>
        </is>
      </c>
      <c r="B7443" s="1" t="n">
        <v>45720</v>
      </c>
      <c r="C7443" s="1" t="n">
        <v>45736</v>
      </c>
      <c r="D7443" t="inlineStr">
        <is>
          <t>SÖDERMANLANDS LÄN</t>
        </is>
      </c>
      <c r="E7443" t="inlineStr">
        <is>
          <t>FLEN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10331-2025</t>
        </is>
      </c>
      <c r="B7444" s="1" t="n">
        <v>45720</v>
      </c>
      <c r="C7444" s="1" t="n">
        <v>45736</v>
      </c>
      <c r="D7444" t="inlineStr">
        <is>
          <t>SÖDERMANLANDS LÄN</t>
        </is>
      </c>
      <c r="E7444" t="inlineStr">
        <is>
          <t>GNESTA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10246-2025</t>
        </is>
      </c>
      <c r="B7445" s="1" t="n">
        <v>45720</v>
      </c>
      <c r="C7445" s="1" t="n">
        <v>45736</v>
      </c>
      <c r="D7445" t="inlineStr">
        <is>
          <t>SÖDERMANLANDS LÄN</t>
        </is>
      </c>
      <c r="E7445" t="inlineStr">
        <is>
          <t>FLEN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10281-2025</t>
        </is>
      </c>
      <c r="B7446" s="1" t="n">
        <v>45720</v>
      </c>
      <c r="C7446" s="1" t="n">
        <v>45736</v>
      </c>
      <c r="D7446" t="inlineStr">
        <is>
          <t>SÖDERMANLANDS LÄN</t>
        </is>
      </c>
      <c r="E7446" t="inlineStr">
        <is>
          <t>FLEN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10293-2025</t>
        </is>
      </c>
      <c r="B7447" s="1" t="n">
        <v>45720</v>
      </c>
      <c r="C7447" s="1" t="n">
        <v>45736</v>
      </c>
      <c r="D7447" t="inlineStr">
        <is>
          <t>SÖDERMANLANDS LÄN</t>
        </is>
      </c>
      <c r="E7447" t="inlineStr">
        <is>
          <t>KATRINEHOLM</t>
        </is>
      </c>
      <c r="F7447" t="inlineStr">
        <is>
          <t>Övriga Aktiebolag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10439-2025</t>
        </is>
      </c>
      <c r="B7448" s="1" t="n">
        <v>45720</v>
      </c>
      <c r="C7448" s="1" t="n">
        <v>45736</v>
      </c>
      <c r="D7448" t="inlineStr">
        <is>
          <t>SÖDERMANLANDS LÄN</t>
        </is>
      </c>
      <c r="E7448" t="inlineStr">
        <is>
          <t>GNESTA</t>
        </is>
      </c>
      <c r="F7448" t="inlineStr">
        <is>
          <t>Allmännings- och besparingsskogar</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45736</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45736</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45736</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45736</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10616-2025</t>
        </is>
      </c>
      <c r="B7453" s="1" t="n">
        <v>45721</v>
      </c>
      <c r="C7453" s="1" t="n">
        <v>45736</v>
      </c>
      <c r="D7453" t="inlineStr">
        <is>
          <t>SÖDERMANLANDS LÄN</t>
        </is>
      </c>
      <c r="E7453" t="inlineStr">
        <is>
          <t>NYKÖPING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10637-2025</t>
        </is>
      </c>
      <c r="B7454" s="1" t="n">
        <v>45721</v>
      </c>
      <c r="C7454" s="1" t="n">
        <v>45736</v>
      </c>
      <c r="D7454" t="inlineStr">
        <is>
          <t>SÖDERMANLANDS LÄN</t>
        </is>
      </c>
      <c r="E7454" t="inlineStr">
        <is>
          <t>NYKÖPING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10613-2025</t>
        </is>
      </c>
      <c r="B7455" s="1" t="n">
        <v>45721</v>
      </c>
      <c r="C7455" s="1" t="n">
        <v>45736</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45736</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10622-2025</t>
        </is>
      </c>
      <c r="B7457" s="1" t="n">
        <v>45721</v>
      </c>
      <c r="C7457" s="1" t="n">
        <v>45736</v>
      </c>
      <c r="D7457" t="inlineStr">
        <is>
          <t>SÖDERMANLANDS LÄN</t>
        </is>
      </c>
      <c r="E7457" t="inlineStr">
        <is>
          <t>NYKÖPING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10634-2025</t>
        </is>
      </c>
      <c r="B7458" s="1" t="n">
        <v>45721</v>
      </c>
      <c r="C7458" s="1" t="n">
        <v>45736</v>
      </c>
      <c r="D7458" t="inlineStr">
        <is>
          <t>SÖDERMANLANDS LÄN</t>
        </is>
      </c>
      <c r="E7458" t="inlineStr">
        <is>
          <t>NYKÖPING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45736</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45736</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45736</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45736</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11128-2025</t>
        </is>
      </c>
      <c r="B7463" s="1" t="n">
        <v>45723</v>
      </c>
      <c r="C7463" s="1" t="n">
        <v>45736</v>
      </c>
      <c r="D7463" t="inlineStr">
        <is>
          <t>SÖDERMANLANDS LÄN</t>
        </is>
      </c>
      <c r="E7463" t="inlineStr">
        <is>
          <t>ESKILSTUNA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11117-2025</t>
        </is>
      </c>
      <c r="B7464" s="1" t="n">
        <v>45723</v>
      </c>
      <c r="C7464" s="1" t="n">
        <v>45736</v>
      </c>
      <c r="D7464" t="inlineStr">
        <is>
          <t>SÖDERMANLANDS LÄN</t>
        </is>
      </c>
      <c r="E7464" t="inlineStr">
        <is>
          <t>ESKILSTUNA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11125-2025</t>
        </is>
      </c>
      <c r="B7465" s="1" t="n">
        <v>45723</v>
      </c>
      <c r="C7465" s="1" t="n">
        <v>45736</v>
      </c>
      <c r="D7465" t="inlineStr">
        <is>
          <t>SÖDERMANLANDS LÄN</t>
        </is>
      </c>
      <c r="E7465" t="inlineStr">
        <is>
          <t>ESKILSTUNA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11014-2025</t>
        </is>
      </c>
      <c r="B7466" s="1" t="n">
        <v>45723</v>
      </c>
      <c r="C7466" s="1" t="n">
        <v>45736</v>
      </c>
      <c r="D7466" t="inlineStr">
        <is>
          <t>SÖDERMANLANDS LÄN</t>
        </is>
      </c>
      <c r="E7466" t="inlineStr">
        <is>
          <t>ESKILSTUNA</t>
        </is>
      </c>
      <c r="F7466" t="inlineStr">
        <is>
          <t>Holmen skog AB</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11114-2025</t>
        </is>
      </c>
      <c r="B7467" s="1" t="n">
        <v>45723</v>
      </c>
      <c r="C7467" s="1" t="n">
        <v>45736</v>
      </c>
      <c r="D7467" t="inlineStr">
        <is>
          <t>SÖDERMANLANDS LÄN</t>
        </is>
      </c>
      <c r="E7467" t="inlineStr">
        <is>
          <t>ESKILSTUNA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45736</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11500-2025</t>
        </is>
      </c>
      <c r="B7469" s="1" t="n">
        <v>45726</v>
      </c>
      <c r="C7469" s="1" t="n">
        <v>45736</v>
      </c>
      <c r="D7469" t="inlineStr">
        <is>
          <t>SÖDERMANLANDS LÄN</t>
        </is>
      </c>
      <c r="E7469" t="inlineStr">
        <is>
          <t>VINGÅKER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11454-2025</t>
        </is>
      </c>
      <c r="B7470" s="1" t="n">
        <v>45726</v>
      </c>
      <c r="C7470" s="1" t="n">
        <v>45736</v>
      </c>
      <c r="D7470" t="inlineStr">
        <is>
          <t>SÖDERMANLANDS LÄN</t>
        </is>
      </c>
      <c r="E7470" t="inlineStr">
        <is>
          <t>KATRINEHOLM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11554-2025</t>
        </is>
      </c>
      <c r="B7471" s="1" t="n">
        <v>45727</v>
      </c>
      <c r="C7471" s="1" t="n">
        <v>45736</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11543-2025</t>
        </is>
      </c>
      <c r="B7472" s="1" t="n">
        <v>45727</v>
      </c>
      <c r="C7472" s="1" t="n">
        <v>45736</v>
      </c>
      <c r="D7472" t="inlineStr">
        <is>
          <t>SÖDERMANLANDS LÄN</t>
        </is>
      </c>
      <c r="E7472" t="inlineStr">
        <is>
          <t>KATRINEHOLM</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45736</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12153-2025</t>
        </is>
      </c>
      <c r="B7474" s="1" t="n">
        <v>45729</v>
      </c>
      <c r="C7474" s="1" t="n">
        <v>45736</v>
      </c>
      <c r="D7474" t="inlineStr">
        <is>
          <t>SÖDERMANLANDS LÄN</t>
        </is>
      </c>
      <c r="E7474" t="inlineStr">
        <is>
          <t>NYKÖPING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12157-2025</t>
        </is>
      </c>
      <c r="B7475" s="1" t="n">
        <v>45729</v>
      </c>
      <c r="C7475" s="1" t="n">
        <v>45736</v>
      </c>
      <c r="D7475" t="inlineStr">
        <is>
          <t>SÖDERMANLANDS LÄN</t>
        </is>
      </c>
      <c r="E7475" t="inlineStr">
        <is>
          <t>NYKÖPING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12135-2025</t>
        </is>
      </c>
      <c r="B7476" s="1" t="n">
        <v>45729</v>
      </c>
      <c r="C7476" s="1" t="n">
        <v>45736</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12139-2025</t>
        </is>
      </c>
      <c r="B7477" s="1" t="n">
        <v>45729</v>
      </c>
      <c r="C7477" s="1" t="n">
        <v>45736</v>
      </c>
      <c r="D7477" t="inlineStr">
        <is>
          <t>SÖDERMANLANDS LÄN</t>
        </is>
      </c>
      <c r="E7477" t="inlineStr">
        <is>
          <t>NYKÖPING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12295-2025</t>
        </is>
      </c>
      <c r="B7478" s="1" t="n">
        <v>45729</v>
      </c>
      <c r="C7478" s="1" t="n">
        <v>45736</v>
      </c>
      <c r="D7478" t="inlineStr">
        <is>
          <t>SÖDERMANLANDS LÄN</t>
        </is>
      </c>
      <c r="E7478" t="inlineStr">
        <is>
          <t>FLEN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12227-2025</t>
        </is>
      </c>
      <c r="B7479" s="1" t="n">
        <v>45729</v>
      </c>
      <c r="C7479" s="1" t="n">
        <v>45736</v>
      </c>
      <c r="D7479" t="inlineStr">
        <is>
          <t>SÖDERMANLANDS LÄN</t>
        </is>
      </c>
      <c r="E7479" t="inlineStr">
        <is>
          <t>KATRINEHOLM</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12140-2025</t>
        </is>
      </c>
      <c r="B7480" s="1" t="n">
        <v>45729</v>
      </c>
      <c r="C7480" s="1" t="n">
        <v>45736</v>
      </c>
      <c r="D7480" t="inlineStr">
        <is>
          <t>SÖDERMANLANDS LÄN</t>
        </is>
      </c>
      <c r="E7480" t="inlineStr">
        <is>
          <t>NYKÖPING</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12144-2025</t>
        </is>
      </c>
      <c r="B7481" s="1" t="n">
        <v>45729</v>
      </c>
      <c r="C7481" s="1" t="n">
        <v>45736</v>
      </c>
      <c r="D7481" t="inlineStr">
        <is>
          <t>SÖDERMANLANDS LÄN</t>
        </is>
      </c>
      <c r="E7481" t="inlineStr">
        <is>
          <t>NYKÖPING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12451-2025</t>
        </is>
      </c>
      <c r="B7482" s="1" t="n">
        <v>45730</v>
      </c>
      <c r="C7482" s="1" t="n">
        <v>45736</v>
      </c>
      <c r="D7482" t="inlineStr">
        <is>
          <t>SÖDERMANLANDS LÄN</t>
        </is>
      </c>
      <c r="E7482" t="inlineStr">
        <is>
          <t>NYKÖPING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12538-2025</t>
        </is>
      </c>
      <c r="B7483" s="1" t="n">
        <v>45730</v>
      </c>
      <c r="C7483" s="1" t="n">
        <v>45736</v>
      </c>
      <c r="D7483" t="inlineStr">
        <is>
          <t>SÖDERMANLANDS LÄN</t>
        </is>
      </c>
      <c r="E7483" t="inlineStr">
        <is>
          <t>NYKÖPING</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12460-2025</t>
        </is>
      </c>
      <c r="B7484" s="1" t="n">
        <v>45730</v>
      </c>
      <c r="C7484" s="1" t="n">
        <v>45736</v>
      </c>
      <c r="D7484" t="inlineStr">
        <is>
          <t>SÖDERMANLANDS LÄN</t>
        </is>
      </c>
      <c r="E7484" t="inlineStr">
        <is>
          <t>NYKÖPING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12469-2025</t>
        </is>
      </c>
      <c r="B7485" s="1" t="n">
        <v>45730</v>
      </c>
      <c r="C7485" s="1" t="n">
        <v>45736</v>
      </c>
      <c r="D7485" t="inlineStr">
        <is>
          <t>SÖDERMANLANDS LÄN</t>
        </is>
      </c>
      <c r="E7485" t="inlineStr">
        <is>
          <t>NYKÖPING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12456-2025</t>
        </is>
      </c>
      <c r="B7486" s="1" t="n">
        <v>45730</v>
      </c>
      <c r="C7486" s="1" t="n">
        <v>45736</v>
      </c>
      <c r="D7486" t="inlineStr">
        <is>
          <t>SÖDERMANLANDS LÄN</t>
        </is>
      </c>
      <c r="E7486" t="inlineStr">
        <is>
          <t>NYKÖPING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12467-2025</t>
        </is>
      </c>
      <c r="B7487" s="1" t="n">
        <v>45730</v>
      </c>
      <c r="C7487" s="1" t="n">
        <v>45736</v>
      </c>
      <c r="D7487" t="inlineStr">
        <is>
          <t>SÖDERMANLANDS LÄN</t>
        </is>
      </c>
      <c r="E7487" t="inlineStr">
        <is>
          <t>NYKÖPING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12546-2025</t>
        </is>
      </c>
      <c r="B7488" s="1" t="n">
        <v>45730</v>
      </c>
      <c r="C7488" s="1" t="n">
        <v>45736</v>
      </c>
      <c r="D7488" t="inlineStr">
        <is>
          <t>SÖDERMANLANDS LÄN</t>
        </is>
      </c>
      <c r="E7488" t="inlineStr">
        <is>
          <t>STRÄNGNÄS</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12537-2025</t>
        </is>
      </c>
      <c r="B7489" s="1" t="n">
        <v>45730</v>
      </c>
      <c r="C7489" s="1" t="n">
        <v>45736</v>
      </c>
      <c r="D7489" t="inlineStr">
        <is>
          <t>SÖDERMANLANDS LÄN</t>
        </is>
      </c>
      <c r="E7489" t="inlineStr">
        <is>
          <t>NYKÖPING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45736</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12619-2025</t>
        </is>
      </c>
      <c r="B7491" s="1" t="n">
        <v>45733</v>
      </c>
      <c r="C7491" s="1" t="n">
        <v>45736</v>
      </c>
      <c r="D7491" t="inlineStr">
        <is>
          <t>SÖDERMANLANDS LÄN</t>
        </is>
      </c>
      <c r="E7491" t="inlineStr">
        <is>
          <t>STRÄNGNÄS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12631-2025</t>
        </is>
      </c>
      <c r="B7492" s="1" t="n">
        <v>45733</v>
      </c>
      <c r="C7492" s="1" t="n">
        <v>45736</v>
      </c>
      <c r="D7492" t="inlineStr">
        <is>
          <t>SÖDERMANLANDS LÄN</t>
        </is>
      </c>
      <c r="E7492" t="inlineStr">
        <is>
          <t>STRÄNGNÄS</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12625-2025</t>
        </is>
      </c>
      <c r="B7493" s="1" t="n">
        <v>45733</v>
      </c>
      <c r="C7493" s="1" t="n">
        <v>45736</v>
      </c>
      <c r="D7493" t="inlineStr">
        <is>
          <t>SÖDERMANLANDS LÄN</t>
        </is>
      </c>
      <c r="E7493" t="inlineStr">
        <is>
          <t>KATRINEHOLM</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12704-2025</t>
        </is>
      </c>
      <c r="B7494" s="1" t="n">
        <v>45733</v>
      </c>
      <c r="C7494" s="1" t="n">
        <v>45736</v>
      </c>
      <c r="D7494" t="inlineStr">
        <is>
          <t>SÖDERMANLANDS LÄN</t>
        </is>
      </c>
      <c r="E7494" t="inlineStr">
        <is>
          <t>FLEN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12812-2025</t>
        </is>
      </c>
      <c r="B7495" s="1" t="n">
        <v>45733</v>
      </c>
      <c r="C7495" s="1" t="n">
        <v>45736</v>
      </c>
      <c r="D7495" t="inlineStr">
        <is>
          <t>SÖDERMANLANDS LÄN</t>
        </is>
      </c>
      <c r="E7495" t="inlineStr">
        <is>
          <t>NYKÖPING</t>
        </is>
      </c>
      <c r="F7495" t="inlineStr">
        <is>
          <t>Holmen skog AB</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12888-2025</t>
        </is>
      </c>
      <c r="B7496" s="1" t="n">
        <v>45733</v>
      </c>
      <c r="C7496" s="1" t="n">
        <v>45736</v>
      </c>
      <c r="D7496" t="inlineStr">
        <is>
          <t>SÖDERMANLANDS LÄN</t>
        </is>
      </c>
      <c r="E7496" t="inlineStr">
        <is>
          <t>KATRINEHOLM</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12891-2025</t>
        </is>
      </c>
      <c r="B7497" s="1" t="n">
        <v>45733</v>
      </c>
      <c r="C7497" s="1" t="n">
        <v>45736</v>
      </c>
      <c r="D7497" t="inlineStr">
        <is>
          <t>SÖDERMANLANDS LÄN</t>
        </is>
      </c>
      <c r="E7497" t="inlineStr">
        <is>
          <t>NYKÖPING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12615-2025</t>
        </is>
      </c>
      <c r="B7498" s="1" t="n">
        <v>45733</v>
      </c>
      <c r="C7498" s="1" t="n">
        <v>45736</v>
      </c>
      <c r="D7498" t="inlineStr">
        <is>
          <t>SÖDERMANLANDS LÄN</t>
        </is>
      </c>
      <c r="E7498" t="inlineStr">
        <is>
          <t>STRÄNGNÄS</t>
        </is>
      </c>
      <c r="G7498" t="n">
        <v>7.7</v>
      </c>
      <c r="H7498" t="n">
        <v>0</v>
      </c>
      <c r="I7498" t="n">
        <v>0</v>
      </c>
      <c r="J7498" t="n">
        <v>0</v>
      </c>
      <c r="K7498" t="n">
        <v>0</v>
      </c>
      <c r="L7498" t="n">
        <v>0</v>
      </c>
      <c r="M7498" t="n">
        <v>0</v>
      </c>
      <c r="N7498" t="n">
        <v>0</v>
      </c>
      <c r="O7498" t="n">
        <v>0</v>
      </c>
      <c r="P7498" t="n">
        <v>0</v>
      </c>
      <c r="Q7498" t="n">
        <v>0</v>
      </c>
      <c r="R7498" s="2" t="inlineStr"/>
    </row>
    <row r="7499" ht="15" customHeight="1">
      <c r="A7499" t="inlineStr">
        <is>
          <t>A 12636-2025</t>
        </is>
      </c>
      <c r="B7499" s="1" t="n">
        <v>45733</v>
      </c>
      <c r="C7499" s="1" t="n">
        <v>45736</v>
      </c>
      <c r="D7499" t="inlineStr">
        <is>
          <t>SÖDERMANLANDS LÄN</t>
        </is>
      </c>
      <c r="E7499" t="inlineStr">
        <is>
          <t>KATRINEHOLM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12890-2025</t>
        </is>
      </c>
      <c r="B7500" s="1" t="n">
        <v>45733</v>
      </c>
      <c r="C7500" s="1" t="n">
        <v>45736</v>
      </c>
      <c r="D7500" t="inlineStr">
        <is>
          <t>SÖDERMANLANDS LÄN</t>
        </is>
      </c>
      <c r="E7500" t="inlineStr">
        <is>
          <t>NYKÖPING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12844-2025</t>
        </is>
      </c>
      <c r="B7501" s="1" t="n">
        <v>45733</v>
      </c>
      <c r="C7501" s="1" t="n">
        <v>45736</v>
      </c>
      <c r="D7501" t="inlineStr">
        <is>
          <t>SÖDERMANLANDS LÄN</t>
        </is>
      </c>
      <c r="E7501" t="inlineStr">
        <is>
          <t>NYKÖPING</t>
        </is>
      </c>
      <c r="F7501" t="inlineStr">
        <is>
          <t>Holmen skog AB</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12882-2025</t>
        </is>
      </c>
      <c r="B7502" s="1" t="n">
        <v>45733</v>
      </c>
      <c r="C7502" s="1" t="n">
        <v>45736</v>
      </c>
      <c r="D7502" t="inlineStr">
        <is>
          <t>SÖDERMANLANDS LÄN</t>
        </is>
      </c>
      <c r="E7502" t="inlineStr">
        <is>
          <t>NYKÖPING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12887-2025</t>
        </is>
      </c>
      <c r="B7503" s="1" t="n">
        <v>45733</v>
      </c>
      <c r="C7503" s="1" t="n">
        <v>45736</v>
      </c>
      <c r="D7503" t="inlineStr">
        <is>
          <t>SÖDERMANLANDS LÄN</t>
        </is>
      </c>
      <c r="E7503" t="inlineStr">
        <is>
          <t>NYKÖPING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12931-2025</t>
        </is>
      </c>
      <c r="B7504" s="1" t="n">
        <v>45734</v>
      </c>
      <c r="C7504" s="1" t="n">
        <v>45736</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13192-2025</t>
        </is>
      </c>
      <c r="B7505" s="1" t="n">
        <v>45735</v>
      </c>
      <c r="C7505" s="1" t="n">
        <v>45736</v>
      </c>
      <c r="D7505" t="inlineStr">
        <is>
          <t>SÖDERMANLANDS LÄN</t>
        </is>
      </c>
      <c r="E7505" t="inlineStr">
        <is>
          <t>VINGÅKER</t>
        </is>
      </c>
      <c r="F7505" t="inlineStr">
        <is>
          <t>Kommuner</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13185-2025</t>
        </is>
      </c>
      <c r="B7506" s="1" t="n">
        <v>45735</v>
      </c>
      <c r="C7506" s="1" t="n">
        <v>45736</v>
      </c>
      <c r="D7506" t="inlineStr">
        <is>
          <t>SÖDERMANLANDS LÄN</t>
        </is>
      </c>
      <c r="E7506" t="inlineStr">
        <is>
          <t>VINGÅKER</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c r="A7507" t="inlineStr">
        <is>
          <t>A 13201-2025</t>
        </is>
      </c>
      <c r="B7507" s="1" t="n">
        <v>45735</v>
      </c>
      <c r="C7507" s="1" t="n">
        <v>45736</v>
      </c>
      <c r="D7507" t="inlineStr">
        <is>
          <t>SÖDERMANLANDS LÄN</t>
        </is>
      </c>
      <c r="E7507" t="inlineStr">
        <is>
          <t>VINGÅKER</t>
        </is>
      </c>
      <c r="G7507" t="n">
        <v>4.6</v>
      </c>
      <c r="H7507" t="n">
        <v>0</v>
      </c>
      <c r="I7507" t="n">
        <v>0</v>
      </c>
      <c r="J7507" t="n">
        <v>0</v>
      </c>
      <c r="K7507" t="n">
        <v>0</v>
      </c>
      <c r="L7507" t="n">
        <v>0</v>
      </c>
      <c r="M7507" t="n">
        <v>0</v>
      </c>
      <c r="N7507" t="n">
        <v>0</v>
      </c>
      <c r="O7507" t="n">
        <v>0</v>
      </c>
      <c r="P7507" t="n">
        <v>0</v>
      </c>
      <c r="Q7507" t="n">
        <v>0</v>
      </c>
      <c r="R7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2025-03-20T17:33:53Z</dcterms:created>
  <dcterms:modified xmlns:dcterms="http://purl.org/dc/terms/" xmlns:xsi="http://www.w3.org/2001/XMLSchema-instance" xsi:type="dcterms:W3CDTF">2025-03-20T17:34:08Z</dcterms:modified>
</cp:coreProperties>
</file>