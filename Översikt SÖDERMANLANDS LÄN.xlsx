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45343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45343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45343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45343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45343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45343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45343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45343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45343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45343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45343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45343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45343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45343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45343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45343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15726-2019</t>
        </is>
      </c>
      <c r="B22" s="1" t="n">
        <v>43543</v>
      </c>
      <c r="C22" s="1" t="n">
        <v>45343</v>
      </c>
      <c r="D22" t="inlineStr">
        <is>
          <t>SÖDERMANLANDS LÄN</t>
        </is>
      </c>
      <c r="E22" t="inlineStr">
        <is>
          <t>NYKÖPING</t>
        </is>
      </c>
      <c r="G22" t="n">
        <v>2.9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Skogsalm
Flentimotej
Solvända
Spillkråka
Brun nållav
Dropptaggsvamp
Fransig jordstjärna
Större vattensalamander
Gullviva</t>
        </is>
      </c>
      <c r="S22">
        <f>HYPERLINK("https://klasma.github.io/Logging_0480/artfynd/A 15726-2019 artfynd.xlsx", "A 15726-2019")</f>
        <v/>
      </c>
      <c r="T22">
        <f>HYPERLINK("https://klasma.github.io/Logging_0480/kartor/A 15726-2019 karta.png", "A 15726-2019")</f>
        <v/>
      </c>
      <c r="V22">
        <f>HYPERLINK("https://klasma.github.io/Logging_0480/klagomål/A 15726-2019 FSC-klagomål.docx", "A 15726-2019")</f>
        <v/>
      </c>
      <c r="W22">
        <f>HYPERLINK("https://klasma.github.io/Logging_0480/klagomålsmail/A 15726-2019 FSC-klagomål mail.docx", "A 15726-2019")</f>
        <v/>
      </c>
      <c r="X22">
        <f>HYPERLINK("https://klasma.github.io/Logging_0480/tillsyn/A 15726-2019 tillsynsbegäran.docx", "A 15726-2019")</f>
        <v/>
      </c>
      <c r="Y22">
        <f>HYPERLINK("https://klasma.github.io/Logging_0480/tillsynsmail/A 15726-2019 tillsynsbegäran mail.docx", "A 15726-2019")</f>
        <v/>
      </c>
      <c r="Z22">
        <f>HYPERLINK("https://klasma.github.io/Logging_0480/fåglar/A 15726-2019 prioriterade fågelarter.docx", "A 15726-2019")</f>
        <v/>
      </c>
    </row>
    <row r="23" ht="15" customHeight="1">
      <c r="A23" t="inlineStr">
        <is>
          <t>A 30095-2021</t>
        </is>
      </c>
      <c r="B23" s="1" t="n">
        <v>44363</v>
      </c>
      <c r="C23" s="1" t="n">
        <v>45343</v>
      </c>
      <c r="D23" t="inlineStr">
        <is>
          <t>SÖDERMANLANDS LÄN</t>
        </is>
      </c>
      <c r="E23" t="inlineStr">
        <is>
          <t>FLEN</t>
        </is>
      </c>
      <c r="G23" t="n">
        <v>8.4</v>
      </c>
      <c r="H23" t="n">
        <v>1</v>
      </c>
      <c r="I23" t="n">
        <v>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Grangråticka
Grantaggsvamp
Orange taggsvamp
Svedjenäva
Blanksvart trämyra
Fjällig taggsvamp s.str.
Grön sköldmossa
Grönpyrola
Skarp dropptaggsvamp</t>
        </is>
      </c>
      <c r="S23">
        <f>HYPERLINK("https://klasma.github.io/Logging_0482/artfynd/A 30095-2021 artfynd.xlsx", "A 30095-2021")</f>
        <v/>
      </c>
      <c r="T23">
        <f>HYPERLINK("https://klasma.github.io/Logging_0482/kartor/A 30095-2021 karta.png", "A 30095-2021")</f>
        <v/>
      </c>
      <c r="V23">
        <f>HYPERLINK("https://klasma.github.io/Logging_0482/klagomål/A 30095-2021 FSC-klagomål.docx", "A 30095-2021")</f>
        <v/>
      </c>
      <c r="W23">
        <f>HYPERLINK("https://klasma.github.io/Logging_0482/klagomålsmail/A 30095-2021 FSC-klagomål mail.docx", "A 30095-2021")</f>
        <v/>
      </c>
      <c r="X23">
        <f>HYPERLINK("https://klasma.github.io/Logging_0482/tillsyn/A 30095-2021 tillsynsbegäran.docx", "A 30095-2021")</f>
        <v/>
      </c>
      <c r="Y23">
        <f>HYPERLINK("https://klasma.github.io/Logging_0482/tillsynsmail/A 30095-2021 tillsynsbegäran mail.docx", "A 30095-2021")</f>
        <v/>
      </c>
    </row>
    <row r="24" ht="15" customHeight="1">
      <c r="A24" t="inlineStr">
        <is>
          <t>A 71887-2021</t>
        </is>
      </c>
      <c r="B24" s="1" t="n">
        <v>44543</v>
      </c>
      <c r="C24" s="1" t="n">
        <v>45343</v>
      </c>
      <c r="D24" t="inlineStr">
        <is>
          <t>SÖDERMANLANDS LÄN</t>
        </is>
      </c>
      <c r="E24" t="inlineStr">
        <is>
          <t>NYKÖPING</t>
        </is>
      </c>
      <c r="G24" t="n">
        <v>4.2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9</v>
      </c>
      <c r="R24" s="2" t="inlineStr">
        <is>
          <t>Granticka
Kandelabersvamp
Granbarkgnagare
Jättesvampmal
Stubbspretmossa
Trådticka
Vågbandad barkbock
Blåsippa
Gullviva</t>
        </is>
      </c>
      <c r="S24">
        <f>HYPERLINK("https://klasma.github.io/Logging_0480/artfynd/A 71887-2021 artfynd.xlsx", "A 71887-2021")</f>
        <v/>
      </c>
      <c r="T24">
        <f>HYPERLINK("https://klasma.github.io/Logging_0480/kartor/A 71887-2021 karta.png", "A 71887-2021")</f>
        <v/>
      </c>
      <c r="V24">
        <f>HYPERLINK("https://klasma.github.io/Logging_0480/klagomål/A 71887-2021 FSC-klagomål.docx", "A 71887-2021")</f>
        <v/>
      </c>
      <c r="W24">
        <f>HYPERLINK("https://klasma.github.io/Logging_0480/klagomålsmail/A 71887-2021 FSC-klagomål mail.docx", "A 71887-2021")</f>
        <v/>
      </c>
      <c r="X24">
        <f>HYPERLINK("https://klasma.github.io/Logging_0480/tillsyn/A 71887-2021 tillsynsbegäran.docx", "A 71887-2021")</f>
        <v/>
      </c>
      <c r="Y24">
        <f>HYPERLINK("https://klasma.github.io/Logging_0480/tillsynsmail/A 71887-2021 tillsynsbegäran mail.docx", "A 71887-2021")</f>
        <v/>
      </c>
    </row>
    <row r="25" ht="15" customHeight="1">
      <c r="A25" t="inlineStr">
        <is>
          <t>A 20533-2023</t>
        </is>
      </c>
      <c r="B25" s="1" t="n">
        <v>45057</v>
      </c>
      <c r="C25" s="1" t="n">
        <v>45343</v>
      </c>
      <c r="D25" t="inlineStr">
        <is>
          <t>SÖDERMANLANDS LÄN</t>
        </is>
      </c>
      <c r="E25" t="inlineStr">
        <is>
          <t>KATRINEHOLM</t>
        </is>
      </c>
      <c r="G25" t="n">
        <v>21.4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Mulmknäppare
Mindre hackspett
Spillkråka
Svinrot
Myskbock
Noshornsoxe
Svart trolldruva
Tibast
Nattviol</t>
        </is>
      </c>
      <c r="S25">
        <f>HYPERLINK("https://klasma.github.io/Logging_0483/artfynd/A 20533-2023 artfynd.xlsx", "A 20533-2023")</f>
        <v/>
      </c>
      <c r="T25">
        <f>HYPERLINK("https://klasma.github.io/Logging_0483/kartor/A 20533-2023 karta.png", "A 20533-2023")</f>
        <v/>
      </c>
      <c r="V25">
        <f>HYPERLINK("https://klasma.github.io/Logging_0483/klagomål/A 20533-2023 FSC-klagomål.docx", "A 20533-2023")</f>
        <v/>
      </c>
      <c r="W25">
        <f>HYPERLINK("https://klasma.github.io/Logging_0483/klagomålsmail/A 20533-2023 FSC-klagomål mail.docx", "A 20533-2023")</f>
        <v/>
      </c>
      <c r="X25">
        <f>HYPERLINK("https://klasma.github.io/Logging_0483/tillsyn/A 20533-2023 tillsynsbegäran.docx", "A 20533-2023")</f>
        <v/>
      </c>
      <c r="Y25">
        <f>HYPERLINK("https://klasma.github.io/Logging_0483/tillsynsmail/A 20533-2023 tillsynsbegäran mail.docx", "A 20533-2023")</f>
        <v/>
      </c>
      <c r="Z25">
        <f>HYPERLINK("https://klasma.github.io/Logging_0483/fåglar/A 20533-2023 prioriterade fågelarter.docx", "A 20533-2023")</f>
        <v/>
      </c>
    </row>
    <row r="26" ht="15" customHeight="1">
      <c r="A26" t="inlineStr">
        <is>
          <t>A 38251-2023</t>
        </is>
      </c>
      <c r="B26" s="1" t="n">
        <v>45160</v>
      </c>
      <c r="C26" s="1" t="n">
        <v>45343</v>
      </c>
      <c r="D26" t="inlineStr">
        <is>
          <t>SÖDERMANLANDS LÄN</t>
        </is>
      </c>
      <c r="E26" t="inlineStr">
        <is>
          <t>STRÄNGNÄS</t>
        </is>
      </c>
      <c r="G26" t="n">
        <v>14.7</v>
      </c>
      <c r="H26" t="n">
        <v>3</v>
      </c>
      <c r="I26" t="n">
        <v>5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Vågticka
Spillkråka
Talltita
Brandticka
Bronshjon
Fransig jordstjärna
Hasselticka
Mindre märgborre
Blåsippa</t>
        </is>
      </c>
      <c r="S26">
        <f>HYPERLINK("https://klasma.github.io/Logging_0486/artfynd/A 38251-2023 artfynd.xlsx", "A 38251-2023")</f>
        <v/>
      </c>
      <c r="T26">
        <f>HYPERLINK("https://klasma.github.io/Logging_0486/kartor/A 38251-2023 karta.png", "A 38251-2023")</f>
        <v/>
      </c>
      <c r="V26">
        <f>HYPERLINK("https://klasma.github.io/Logging_0486/klagomål/A 38251-2023 FSC-klagomål.docx", "A 38251-2023")</f>
        <v/>
      </c>
      <c r="W26">
        <f>HYPERLINK("https://klasma.github.io/Logging_0486/klagomålsmail/A 38251-2023 FSC-klagomål mail.docx", "A 38251-2023")</f>
        <v/>
      </c>
      <c r="X26">
        <f>HYPERLINK("https://klasma.github.io/Logging_0486/tillsyn/A 38251-2023 tillsynsbegäran.docx", "A 38251-2023")</f>
        <v/>
      </c>
      <c r="Y26">
        <f>HYPERLINK("https://klasma.github.io/Logging_0486/tillsynsmail/A 38251-2023 tillsynsbegäran mail.docx", "A 38251-2023")</f>
        <v/>
      </c>
      <c r="Z26">
        <f>HYPERLINK("https://klasma.github.io/Logging_0486/fåglar/A 38251-2023 prioriterade fågelarter.docx", "A 38251-2023")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45343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45343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313-2020</t>
        </is>
      </c>
      <c r="B29" s="1" t="n">
        <v>43816</v>
      </c>
      <c r="C29" s="1" t="n">
        <v>45343</v>
      </c>
      <c r="D29" t="inlineStr">
        <is>
          <t>SÖDERMANLANDS LÄN</t>
        </is>
      </c>
      <c r="E29" t="inlineStr">
        <is>
          <t>ESKILSTUNA</t>
        </is>
      </c>
      <c r="G29" t="n">
        <v>9.699999999999999</v>
      </c>
      <c r="H29" t="n">
        <v>2</v>
      </c>
      <c r="I29" t="n">
        <v>4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8</v>
      </c>
      <c r="R29" s="2" t="inlineStr">
        <is>
          <t>Skogsalm
Ask
Springkorn
Svart trolldruva
Tibast
Vårärt
Blåsippa
Gullviva</t>
        </is>
      </c>
      <c r="S29">
        <f>HYPERLINK("https://klasma.github.io/Logging_0484/artfynd/A 313-2020 artfynd.xlsx", "A 313-2020")</f>
        <v/>
      </c>
      <c r="T29">
        <f>HYPERLINK("https://klasma.github.io/Logging_0484/kartor/A 313-2020 karta.png", "A 313-2020")</f>
        <v/>
      </c>
      <c r="V29">
        <f>HYPERLINK("https://klasma.github.io/Logging_0484/klagomål/A 313-2020 FSC-klagomål.docx", "A 313-2020")</f>
        <v/>
      </c>
      <c r="W29">
        <f>HYPERLINK("https://klasma.github.io/Logging_0484/klagomålsmail/A 313-2020 FSC-klagomål mail.docx", "A 313-2020")</f>
        <v/>
      </c>
      <c r="X29">
        <f>HYPERLINK("https://klasma.github.io/Logging_0484/tillsyn/A 313-2020 tillsynsbegäran.docx", "A 313-2020")</f>
        <v/>
      </c>
      <c r="Y29">
        <f>HYPERLINK("https://klasma.github.io/Logging_0484/tillsynsmail/A 313-2020 tillsynsbegäran mail.docx", "A 313-2020")</f>
        <v/>
      </c>
    </row>
    <row r="30" ht="15" customHeight="1">
      <c r="A30" t="inlineStr">
        <is>
          <t>A 30892-2020</t>
        </is>
      </c>
      <c r="B30" s="1" t="n">
        <v>44008</v>
      </c>
      <c r="C30" s="1" t="n">
        <v>45343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8.5</v>
      </c>
      <c r="H30" t="n">
        <v>3</v>
      </c>
      <c r="I30" t="n">
        <v>4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Ask
Bombmurkla
Fjällig taggsvamp s.str.
Svart trolldruva
Underviol
Vårärt
Blåsippa
Revlummer</t>
        </is>
      </c>
      <c r="S30">
        <f>HYPERLINK("https://klasma.github.io/Logging_0480/artfynd/A 30892-2020 artfynd.xlsx", "A 30892-2020")</f>
        <v/>
      </c>
      <c r="T30">
        <f>HYPERLINK("https://klasma.github.io/Logging_0480/kartor/A 30892-2020 karta.png", "A 30892-2020")</f>
        <v/>
      </c>
      <c r="V30">
        <f>HYPERLINK("https://klasma.github.io/Logging_0480/klagomål/A 30892-2020 FSC-klagomål.docx", "A 30892-2020")</f>
        <v/>
      </c>
      <c r="W30">
        <f>HYPERLINK("https://klasma.github.io/Logging_0480/klagomålsmail/A 30892-2020 FSC-klagomål mail.docx", "A 30892-2020")</f>
        <v/>
      </c>
      <c r="X30">
        <f>HYPERLINK("https://klasma.github.io/Logging_0480/tillsyn/A 30892-2020 tillsynsbegäran.docx", "A 30892-2020")</f>
        <v/>
      </c>
      <c r="Y30">
        <f>HYPERLINK("https://klasma.github.io/Logging_0480/tillsynsmail/A 30892-2020 tillsynsbegäran mail.docx", "A 30892-2020")</f>
        <v/>
      </c>
    </row>
    <row r="31" ht="15" customHeight="1">
      <c r="A31" t="inlineStr">
        <is>
          <t>A 50828-2020</t>
        </is>
      </c>
      <c r="B31" s="1" t="n">
        <v>44111</v>
      </c>
      <c r="C31" s="1" t="n">
        <v>45343</v>
      </c>
      <c r="D31" t="inlineStr">
        <is>
          <t>SÖDERMANLANDS LÄN</t>
        </is>
      </c>
      <c r="E31" t="inlineStr">
        <is>
          <t>FLEN</t>
        </is>
      </c>
      <c r="G31" t="n">
        <v>3</v>
      </c>
      <c r="H31" t="n">
        <v>1</v>
      </c>
      <c r="I31" t="n">
        <v>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Grangråticka
Kandelabersvamp
Fjällig taggsvamp s.str.
Granbarkgnagare
Stekelbock
Svart trolldruva
Svavelriska
Blåsippa</t>
        </is>
      </c>
      <c r="S31">
        <f>HYPERLINK("https://klasma.github.io/Logging_0482/artfynd/A 50828-2020 artfynd.xlsx", "A 50828-2020")</f>
        <v/>
      </c>
      <c r="T31">
        <f>HYPERLINK("https://klasma.github.io/Logging_0482/kartor/A 50828-2020 karta.png", "A 50828-2020")</f>
        <v/>
      </c>
      <c r="V31">
        <f>HYPERLINK("https://klasma.github.io/Logging_0482/klagomål/A 50828-2020 FSC-klagomål.docx", "A 50828-2020")</f>
        <v/>
      </c>
      <c r="W31">
        <f>HYPERLINK("https://klasma.github.io/Logging_0482/klagomålsmail/A 50828-2020 FSC-klagomål mail.docx", "A 50828-2020")</f>
        <v/>
      </c>
      <c r="X31">
        <f>HYPERLINK("https://klasma.github.io/Logging_0482/tillsyn/A 50828-2020 tillsynsbegäran.docx", "A 50828-2020")</f>
        <v/>
      </c>
      <c r="Y31">
        <f>HYPERLINK("https://klasma.github.io/Logging_0482/tillsynsmail/A 50828-2020 tillsynsbegäran mail.docx", "A 50828-2020")</f>
        <v/>
      </c>
    </row>
    <row r="32" ht="15" customHeight="1">
      <c r="A32" t="inlineStr">
        <is>
          <t>A 33872-2021</t>
        </is>
      </c>
      <c r="B32" s="1" t="n">
        <v>44378</v>
      </c>
      <c r="C32" s="1" t="n">
        <v>45343</v>
      </c>
      <c r="D32" t="inlineStr">
        <is>
          <t>SÖDERMANLANDS LÄN</t>
        </is>
      </c>
      <c r="E32" t="inlineStr">
        <is>
          <t>FLEN</t>
        </is>
      </c>
      <c r="G32" t="n">
        <v>9.800000000000001</v>
      </c>
      <c r="H32" t="n">
        <v>1</v>
      </c>
      <c r="I32" t="n">
        <v>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Druvfingersvamp
Blåmossa
Fjällig taggsvamp s.str.
Grovticka
Grön sköldmossa
Grönpyrola
Jättesvampmal
Kamjordstjärna</t>
        </is>
      </c>
      <c r="S32">
        <f>HYPERLINK("https://klasma.github.io/Logging_0482/artfynd/A 33872-2021 artfynd.xlsx", "A 33872-2021")</f>
        <v/>
      </c>
      <c r="T32">
        <f>HYPERLINK("https://klasma.github.io/Logging_0482/kartor/A 33872-2021 karta.png", "A 33872-2021")</f>
        <v/>
      </c>
      <c r="U32">
        <f>HYPERLINK("https://klasma.github.io/Logging_0482/knärot/A 33872-2021 karta knärot.png", "A 33872-2021")</f>
        <v/>
      </c>
      <c r="V32">
        <f>HYPERLINK("https://klasma.github.io/Logging_0482/klagomål/A 33872-2021 FSC-klagomål.docx", "A 33872-2021")</f>
        <v/>
      </c>
      <c r="W32">
        <f>HYPERLINK("https://klasma.github.io/Logging_0482/klagomålsmail/A 33872-2021 FSC-klagomål mail.docx", "A 33872-2021")</f>
        <v/>
      </c>
      <c r="X32">
        <f>HYPERLINK("https://klasma.github.io/Logging_0482/tillsyn/A 33872-2021 tillsynsbegäran.docx", "A 33872-2021")</f>
        <v/>
      </c>
      <c r="Y32">
        <f>HYPERLINK("https://klasma.github.io/Logging_0482/tillsynsmail/A 33872-2021 tillsynsbegäran mail.docx", "A 33872-2021")</f>
        <v/>
      </c>
    </row>
    <row r="33" ht="15" customHeight="1">
      <c r="A33" t="inlineStr">
        <is>
          <t>A 12018-2023</t>
        </is>
      </c>
      <c r="B33" s="1" t="n">
        <v>44995</v>
      </c>
      <c r="C33" s="1" t="n">
        <v>45343</v>
      </c>
      <c r="D33" t="inlineStr">
        <is>
          <t>SÖDERMANLANDS LÄN</t>
        </is>
      </c>
      <c r="E33" t="inlineStr">
        <is>
          <t>NYKÖPING</t>
        </is>
      </c>
      <c r="G33" t="n">
        <v>1.3</v>
      </c>
      <c r="H33" t="n">
        <v>5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Brunlångöra
Nordfladdermus
Spillkråka
Svartvit flugsnappare
Ullticka
Blomkålssvamp
Brandticka
Revlummer</t>
        </is>
      </c>
      <c r="S33">
        <f>HYPERLINK("https://klasma.github.io/Logging_0480/artfynd/A 12018-2023 artfynd.xlsx", "A 12018-2023")</f>
        <v/>
      </c>
      <c r="T33">
        <f>HYPERLINK("https://klasma.github.io/Logging_0480/kartor/A 12018-2023 karta.png", "A 12018-2023")</f>
        <v/>
      </c>
      <c r="V33">
        <f>HYPERLINK("https://klasma.github.io/Logging_0480/klagomål/A 12018-2023 FSC-klagomål.docx", "A 12018-2023")</f>
        <v/>
      </c>
      <c r="W33">
        <f>HYPERLINK("https://klasma.github.io/Logging_0480/klagomålsmail/A 12018-2023 FSC-klagomål mail.docx", "A 12018-2023")</f>
        <v/>
      </c>
      <c r="X33">
        <f>HYPERLINK("https://klasma.github.io/Logging_0480/tillsyn/A 12018-2023 tillsynsbegäran.docx", "A 12018-2023")</f>
        <v/>
      </c>
      <c r="Y33">
        <f>HYPERLINK("https://klasma.github.io/Logging_0480/tillsynsmail/A 12018-2023 tillsynsbegäran mail.docx", "A 12018-2023")</f>
        <v/>
      </c>
      <c r="Z33">
        <f>HYPERLINK("https://klasma.github.io/Logging_0480/fåglar/A 12018-2023 prioriterade fågelarter.docx", "A 12018-2023")</f>
        <v/>
      </c>
    </row>
    <row r="34" ht="15" customHeight="1">
      <c r="A34" t="inlineStr">
        <is>
          <t>A 16133-2023</t>
        </is>
      </c>
      <c r="B34" s="1" t="n">
        <v>45027</v>
      </c>
      <c r="C34" s="1" t="n">
        <v>45343</v>
      </c>
      <c r="D34" t="inlineStr">
        <is>
          <t>SÖDERMANLANDS LÄN</t>
        </is>
      </c>
      <c r="E34" t="inlineStr">
        <is>
          <t>NYKÖPING</t>
        </is>
      </c>
      <c r="G34" t="n">
        <v>10</v>
      </c>
      <c r="H34" t="n">
        <v>8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8</v>
      </c>
      <c r="R34" s="2" t="inlineStr">
        <is>
          <t>Barbastell
Brunlångöra
Nordfladdermus
Ärtsångare
Dvärgpipistrell
Gråskimlig fladdermus
Större brunfladdermus
Vattenfladdermus</t>
        </is>
      </c>
      <c r="S34">
        <f>HYPERLINK("https://klasma.github.io/Logging_0480/artfynd/A 16133-2023 artfynd.xlsx", "A 16133-2023")</f>
        <v/>
      </c>
      <c r="T34">
        <f>HYPERLINK("https://klasma.github.io/Logging_0480/kartor/A 16133-2023 karta.png", "A 16133-2023")</f>
        <v/>
      </c>
      <c r="V34">
        <f>HYPERLINK("https://klasma.github.io/Logging_0480/klagomål/A 16133-2023 FSC-klagomål.docx", "A 16133-2023")</f>
        <v/>
      </c>
      <c r="W34">
        <f>HYPERLINK("https://klasma.github.io/Logging_0480/klagomålsmail/A 16133-2023 FSC-klagomål mail.docx", "A 16133-2023")</f>
        <v/>
      </c>
      <c r="X34">
        <f>HYPERLINK("https://klasma.github.io/Logging_0480/tillsyn/A 16133-2023 tillsynsbegäran.docx", "A 16133-2023")</f>
        <v/>
      </c>
      <c r="Y34">
        <f>HYPERLINK("https://klasma.github.io/Logging_0480/tillsynsmail/A 16133-2023 tillsynsbegäran mail.docx", "A 16133-2023")</f>
        <v/>
      </c>
    </row>
    <row r="35" ht="15" customHeight="1">
      <c r="A35" t="inlineStr">
        <is>
          <t>A 37759-2020</t>
        </is>
      </c>
      <c r="B35" s="1" t="n">
        <v>44056</v>
      </c>
      <c r="C35" s="1" t="n">
        <v>45343</v>
      </c>
      <c r="D35" t="inlineStr">
        <is>
          <t>SÖDERMANLANDS LÄN</t>
        </is>
      </c>
      <c r="E35" t="inlineStr">
        <is>
          <t>STRÄNGNÄS</t>
        </is>
      </c>
      <c r="G35" t="n">
        <v>1.9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Backtimjan
Kandelabersvamp
Persiljespindling
Slåtterfibbla
Spetsvaxskivling
Toppvaxskivling
Vit vaxskivling</t>
        </is>
      </c>
      <c r="S35">
        <f>HYPERLINK("https://klasma.github.io/Logging_0486/artfynd/A 37759-2020 artfynd.xlsx", "A 37759-2020")</f>
        <v/>
      </c>
      <c r="T35">
        <f>HYPERLINK("https://klasma.github.io/Logging_0486/kartor/A 37759-2020 karta.png", "A 37759-2020")</f>
        <v/>
      </c>
      <c r="V35">
        <f>HYPERLINK("https://klasma.github.io/Logging_0486/klagomål/A 37759-2020 FSC-klagomål.docx", "A 37759-2020")</f>
        <v/>
      </c>
      <c r="W35">
        <f>HYPERLINK("https://klasma.github.io/Logging_0486/klagomålsmail/A 37759-2020 FSC-klagomål mail.docx", "A 37759-2020")</f>
        <v/>
      </c>
      <c r="X35">
        <f>HYPERLINK("https://klasma.github.io/Logging_0486/tillsyn/A 37759-2020 tillsynsbegäran.docx", "A 37759-2020")</f>
        <v/>
      </c>
      <c r="Y35">
        <f>HYPERLINK("https://klasma.github.io/Logging_0486/tillsynsmail/A 37759-2020 tillsynsbegäran mail.docx", "A 37759-2020")</f>
        <v/>
      </c>
    </row>
    <row r="36" ht="15" customHeight="1">
      <c r="A36" t="inlineStr">
        <is>
          <t>A 52854-2021</t>
        </is>
      </c>
      <c r="B36" s="1" t="n">
        <v>44467</v>
      </c>
      <c r="C36" s="1" t="n">
        <v>45343</v>
      </c>
      <c r="D36" t="inlineStr">
        <is>
          <t>SÖDERMANLANDS LÄN</t>
        </is>
      </c>
      <c r="E36" t="inlineStr">
        <is>
          <t>GNESTA</t>
        </is>
      </c>
      <c r="G36" t="n">
        <v>2.1</v>
      </c>
      <c r="H36" t="n">
        <v>0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Koppartaggsvamp
Orange taggsvamp
Fjällig taggsvamp s.str.
Rökmusseron
Skarp dropptaggsvamp
Sotriska
Svavelriska</t>
        </is>
      </c>
      <c r="S36">
        <f>HYPERLINK("https://klasma.github.io/Logging_0461/artfynd/A 52854-2021 artfynd.xlsx", "A 52854-2021")</f>
        <v/>
      </c>
      <c r="T36">
        <f>HYPERLINK("https://klasma.github.io/Logging_0461/kartor/A 52854-2021 karta.png", "A 52854-2021")</f>
        <v/>
      </c>
      <c r="V36">
        <f>HYPERLINK("https://klasma.github.io/Logging_0461/klagomål/A 52854-2021 FSC-klagomål.docx", "A 52854-2021")</f>
        <v/>
      </c>
      <c r="W36">
        <f>HYPERLINK("https://klasma.github.io/Logging_0461/klagomålsmail/A 52854-2021 FSC-klagomål mail.docx", "A 52854-2021")</f>
        <v/>
      </c>
      <c r="X36">
        <f>HYPERLINK("https://klasma.github.io/Logging_0461/tillsyn/A 52854-2021 tillsynsbegäran.docx", "A 52854-2021")</f>
        <v/>
      </c>
      <c r="Y36">
        <f>HYPERLINK("https://klasma.github.io/Logging_0461/tillsynsmail/A 52854-2021 tillsynsbegäran mail.docx", "A 52854-2021")</f>
        <v/>
      </c>
    </row>
    <row r="37" ht="15" customHeight="1">
      <c r="A37" t="inlineStr">
        <is>
          <t>A 54208-2021</t>
        </is>
      </c>
      <c r="B37" s="1" t="n">
        <v>44470</v>
      </c>
      <c r="C37" s="1" t="n">
        <v>45343</v>
      </c>
      <c r="D37" t="inlineStr">
        <is>
          <t>SÖDERMANLANDS LÄN</t>
        </is>
      </c>
      <c r="E37" t="inlineStr">
        <is>
          <t>ESKILSTUNA</t>
        </is>
      </c>
      <c r="G37" t="n">
        <v>12.9</v>
      </c>
      <c r="H37" t="n">
        <v>2</v>
      </c>
      <c r="I37" t="n">
        <v>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Knärot
Ullticka
Vedtrappmossa
Dropptaggsvamp
Grönpyrola
Vedticka</t>
        </is>
      </c>
      <c r="S37">
        <f>HYPERLINK("https://klasma.github.io/Logging_0484/artfynd/A 54208-2021 artfynd.xlsx", "A 54208-2021")</f>
        <v/>
      </c>
      <c r="T37">
        <f>HYPERLINK("https://klasma.github.io/Logging_0484/kartor/A 54208-2021 karta.png", "A 54208-2021")</f>
        <v/>
      </c>
      <c r="U37">
        <f>HYPERLINK("https://klasma.github.io/Logging_0484/knärot/A 54208-2021 karta knärot.png", "A 54208-2021")</f>
        <v/>
      </c>
      <c r="V37">
        <f>HYPERLINK("https://klasma.github.io/Logging_0484/klagomål/A 54208-2021 FSC-klagomål.docx", "A 54208-2021")</f>
        <v/>
      </c>
      <c r="W37">
        <f>HYPERLINK("https://klasma.github.io/Logging_0484/klagomålsmail/A 54208-2021 FSC-klagomål mail.docx", "A 54208-2021")</f>
        <v/>
      </c>
      <c r="X37">
        <f>HYPERLINK("https://klasma.github.io/Logging_0484/tillsyn/A 54208-2021 tillsynsbegäran.docx", "A 54208-2021")</f>
        <v/>
      </c>
      <c r="Y37">
        <f>HYPERLINK("https://klasma.github.io/Logging_0484/tillsynsmail/A 54208-2021 tillsynsbegäran mail.docx", "A 54208-2021")</f>
        <v/>
      </c>
    </row>
    <row r="38" ht="15" customHeight="1">
      <c r="A38" t="inlineStr">
        <is>
          <t>A 68341-2021</t>
        </is>
      </c>
      <c r="B38" s="1" t="n">
        <v>44528</v>
      </c>
      <c r="C38" s="1" t="n">
        <v>45343</v>
      </c>
      <c r="D38" t="inlineStr">
        <is>
          <t>SÖDERMANLANDS LÄN</t>
        </is>
      </c>
      <c r="E38" t="inlineStr">
        <is>
          <t>GNESTA</t>
        </is>
      </c>
      <c r="G38" t="n">
        <v>1.1</v>
      </c>
      <c r="H38" t="n">
        <v>0</v>
      </c>
      <c r="I38" t="n">
        <v>4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7</v>
      </c>
      <c r="R38" s="2" t="inlineStr">
        <is>
          <t>Koppartaggsvamp
Persiljespindling
Puderspindling
Diskvaxskivling
Fjällig taggsvamp s.str.
Skogshakmossa
Toppvaxskivling</t>
        </is>
      </c>
      <c r="S38">
        <f>HYPERLINK("https://klasma.github.io/Logging_0461/artfynd/A 68341-2021 artfynd.xlsx", "A 68341-2021")</f>
        <v/>
      </c>
      <c r="T38">
        <f>HYPERLINK("https://klasma.github.io/Logging_0461/kartor/A 68341-2021 karta.png", "A 68341-2021")</f>
        <v/>
      </c>
      <c r="V38">
        <f>HYPERLINK("https://klasma.github.io/Logging_0461/klagomål/A 68341-2021 FSC-klagomål.docx", "A 68341-2021")</f>
        <v/>
      </c>
      <c r="W38">
        <f>HYPERLINK("https://klasma.github.io/Logging_0461/klagomålsmail/A 68341-2021 FSC-klagomål mail.docx", "A 68341-2021")</f>
        <v/>
      </c>
      <c r="X38">
        <f>HYPERLINK("https://klasma.github.io/Logging_0461/tillsyn/A 68341-2021 tillsynsbegäran.docx", "A 68341-2021")</f>
        <v/>
      </c>
      <c r="Y38">
        <f>HYPERLINK("https://klasma.github.io/Logging_0461/tillsynsmail/A 68341-2021 tillsynsbegäran mail.docx", "A 68341-2021")</f>
        <v/>
      </c>
    </row>
    <row r="39" ht="15" customHeight="1">
      <c r="A39" t="inlineStr">
        <is>
          <t>A 22264-2022</t>
        </is>
      </c>
      <c r="B39" s="1" t="n">
        <v>44712</v>
      </c>
      <c r="C39" s="1" t="n">
        <v>45343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4.7</v>
      </c>
      <c r="H39" t="n">
        <v>3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7</v>
      </c>
      <c r="R39" s="2" t="inlineStr">
        <is>
          <t>Motaggsvamp
Grönpyrola
Mindre märgborre
Skarp dropptaggsvamp
Lopplummer
Mattlummer
Revlummer</t>
        </is>
      </c>
      <c r="S39">
        <f>HYPERLINK("https://klasma.github.io/Logging_0484/artfynd/A 22264-2022 artfynd.xlsx", "A 22264-2022")</f>
        <v/>
      </c>
      <c r="T39">
        <f>HYPERLINK("https://klasma.github.io/Logging_0484/kartor/A 22264-2022 karta.png", "A 22264-2022")</f>
        <v/>
      </c>
      <c r="V39">
        <f>HYPERLINK("https://klasma.github.io/Logging_0484/klagomål/A 22264-2022 FSC-klagomål.docx", "A 22264-2022")</f>
        <v/>
      </c>
      <c r="W39">
        <f>HYPERLINK("https://klasma.github.io/Logging_0484/klagomålsmail/A 22264-2022 FSC-klagomål mail.docx", "A 22264-2022")</f>
        <v/>
      </c>
      <c r="X39">
        <f>HYPERLINK("https://klasma.github.io/Logging_0484/tillsyn/A 22264-2022 tillsynsbegäran.docx", "A 22264-2022")</f>
        <v/>
      </c>
      <c r="Y39">
        <f>HYPERLINK("https://klasma.github.io/Logging_0484/tillsynsmail/A 22264-2022 tillsynsbegäran mail.docx", "A 22264-2022")</f>
        <v/>
      </c>
    </row>
    <row r="40" ht="15" customHeight="1">
      <c r="A40" t="inlineStr">
        <is>
          <t>A 42096-2022</t>
        </is>
      </c>
      <c r="B40" s="1" t="n">
        <v>44830</v>
      </c>
      <c r="C40" s="1" t="n">
        <v>45343</v>
      </c>
      <c r="D40" t="inlineStr">
        <is>
          <t>SÖDERMANLANDS LÄN</t>
        </is>
      </c>
      <c r="E40" t="inlineStr">
        <is>
          <t>NYKÖPING</t>
        </is>
      </c>
      <c r="G40" t="n">
        <v>6.2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Krusfrö
Svinrot
Trådticka
Vågbandad barkbock
Kopparödla
Blåsippa</t>
        </is>
      </c>
      <c r="S40">
        <f>HYPERLINK("https://klasma.github.io/Logging_0480/artfynd/A 42096-2022 artfynd.xlsx", "A 42096-2022")</f>
        <v/>
      </c>
      <c r="T40">
        <f>HYPERLINK("https://klasma.github.io/Logging_0480/kartor/A 42096-2022 karta.png", "A 42096-2022")</f>
        <v/>
      </c>
      <c r="U40">
        <f>HYPERLINK("https://klasma.github.io/Logging_0480/knärot/A 42096-2022 karta knärot.png", "A 42096-2022")</f>
        <v/>
      </c>
      <c r="V40">
        <f>HYPERLINK("https://klasma.github.io/Logging_0480/klagomål/A 42096-2022 FSC-klagomål.docx", "A 42096-2022")</f>
        <v/>
      </c>
      <c r="W40">
        <f>HYPERLINK("https://klasma.github.io/Logging_0480/klagomålsmail/A 42096-2022 FSC-klagomål mail.docx", "A 42096-2022")</f>
        <v/>
      </c>
      <c r="X40">
        <f>HYPERLINK("https://klasma.github.io/Logging_0480/tillsyn/A 42096-2022 tillsynsbegäran.docx", "A 42096-2022")</f>
        <v/>
      </c>
      <c r="Y40">
        <f>HYPERLINK("https://klasma.github.io/Logging_0480/tillsynsmail/A 42096-2022 tillsynsbegäran mail.docx", "A 42096-2022")</f>
        <v/>
      </c>
    </row>
    <row r="41" ht="15" customHeight="1">
      <c r="A41" t="inlineStr">
        <is>
          <t>A 42577-2023</t>
        </is>
      </c>
      <c r="B41" s="1" t="n">
        <v>45181</v>
      </c>
      <c r="C41" s="1" t="n">
        <v>45343</v>
      </c>
      <c r="D41" t="inlineStr">
        <is>
          <t>SÖDERMANLANDS LÄN</t>
        </is>
      </c>
      <c r="E41" t="inlineStr">
        <is>
          <t>STRÄNGNÄS</t>
        </is>
      </c>
      <c r="G41" t="n">
        <v>4.9</v>
      </c>
      <c r="H41" t="n">
        <v>7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Entita
Mindre hackspett
Spillkråka
Svartvit flugsnappare
Talltita
Bivråk
Orre</t>
        </is>
      </c>
      <c r="S41">
        <f>HYPERLINK("https://klasma.github.io/Logging_0486/artfynd/A 42577-2023 artfynd.xlsx", "A 42577-2023")</f>
        <v/>
      </c>
      <c r="T41">
        <f>HYPERLINK("https://klasma.github.io/Logging_0486/kartor/A 42577-2023 karta.png", "A 42577-2023")</f>
        <v/>
      </c>
      <c r="V41">
        <f>HYPERLINK("https://klasma.github.io/Logging_0486/klagomål/A 42577-2023 FSC-klagomål.docx", "A 42577-2023")</f>
        <v/>
      </c>
      <c r="W41">
        <f>HYPERLINK("https://klasma.github.io/Logging_0486/klagomålsmail/A 42577-2023 FSC-klagomål mail.docx", "A 42577-2023")</f>
        <v/>
      </c>
      <c r="X41">
        <f>HYPERLINK("https://klasma.github.io/Logging_0486/tillsyn/A 42577-2023 tillsynsbegäran.docx", "A 42577-2023")</f>
        <v/>
      </c>
      <c r="Y41">
        <f>HYPERLINK("https://klasma.github.io/Logging_0486/tillsynsmail/A 42577-2023 tillsynsbegäran mail.docx", "A 42577-2023")</f>
        <v/>
      </c>
      <c r="Z41">
        <f>HYPERLINK("https://klasma.github.io/Logging_0486/fåglar/A 42577-2023 prioriterade fågelarter.docx", "A 42577-2023")</f>
        <v/>
      </c>
    </row>
    <row r="42" ht="15" customHeight="1">
      <c r="A42" t="inlineStr">
        <is>
          <t>A 42793-2023</t>
        </is>
      </c>
      <c r="B42" s="1" t="n">
        <v>45181</v>
      </c>
      <c r="C42" s="1" t="n">
        <v>45343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14.7</v>
      </c>
      <c r="H42" t="n">
        <v>2</v>
      </c>
      <c r="I42" t="n">
        <v>3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7</v>
      </c>
      <c r="R42" s="2" t="inlineStr">
        <is>
          <t>Motaggsvamp
Spillkråka
Tallticka
Talltita
Blomkålssvamp
Dropptaggsvamp
Mindre märgborre</t>
        </is>
      </c>
      <c r="S42">
        <f>HYPERLINK("https://klasma.github.io/Logging_0484/artfynd/A 42793-2023 artfynd.xlsx", "A 42793-2023")</f>
        <v/>
      </c>
      <c r="T42">
        <f>HYPERLINK("https://klasma.github.io/Logging_0484/kartor/A 42793-2023 karta.png", "A 42793-2023")</f>
        <v/>
      </c>
      <c r="U42">
        <f>HYPERLINK("https://klasma.github.io/Logging_0484/knärot/A 42793-2023 karta knärot.png", "A 42793-2023")</f>
        <v/>
      </c>
      <c r="V42">
        <f>HYPERLINK("https://klasma.github.io/Logging_0484/klagomål/A 42793-2023 FSC-klagomål.docx", "A 42793-2023")</f>
        <v/>
      </c>
      <c r="W42">
        <f>HYPERLINK("https://klasma.github.io/Logging_0484/klagomålsmail/A 42793-2023 FSC-klagomål mail.docx", "A 42793-2023")</f>
        <v/>
      </c>
      <c r="X42">
        <f>HYPERLINK("https://klasma.github.io/Logging_0484/tillsyn/A 42793-2023 tillsynsbegäran.docx", "A 42793-2023")</f>
        <v/>
      </c>
      <c r="Y42">
        <f>HYPERLINK("https://klasma.github.io/Logging_0484/tillsynsmail/A 42793-2023 tillsynsbegäran mail.docx", "A 42793-2023")</f>
        <v/>
      </c>
      <c r="Z42">
        <f>HYPERLINK("https://klasma.github.io/Logging_0484/fåglar/A 42793-2023 prioriterade fågelarter.docx", "A 42793-2023")</f>
        <v/>
      </c>
    </row>
    <row r="43" ht="15" customHeight="1">
      <c r="A43" t="inlineStr">
        <is>
          <t>A 17148-2019</t>
        </is>
      </c>
      <c r="B43" s="1" t="n">
        <v>43551</v>
      </c>
      <c r="C43" s="1" t="n">
        <v>45343</v>
      </c>
      <c r="D43" t="inlineStr">
        <is>
          <t>SÖDERMANLANDS LÄN</t>
        </is>
      </c>
      <c r="E43" t="inlineStr">
        <is>
          <t>GNESTA</t>
        </is>
      </c>
      <c r="G43" t="n">
        <v>15.5</v>
      </c>
      <c r="H43" t="n">
        <v>1</v>
      </c>
      <c r="I43" t="n">
        <v>3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Tallticka
Vedtrappmossa
Blomkålssvamp
Brandticka
Vågbandad barkbock</t>
        </is>
      </c>
      <c r="S43">
        <f>HYPERLINK("https://klasma.github.io/Logging_0461/artfynd/A 17148-2019 artfynd.xlsx", "A 17148-2019")</f>
        <v/>
      </c>
      <c r="T43">
        <f>HYPERLINK("https://klasma.github.io/Logging_0461/kartor/A 17148-2019 karta.png", "A 17148-2019")</f>
        <v/>
      </c>
      <c r="U43">
        <f>HYPERLINK("https://klasma.github.io/Logging_0461/knärot/A 17148-2019 karta knärot.png", "A 17148-2019")</f>
        <v/>
      </c>
      <c r="V43">
        <f>HYPERLINK("https://klasma.github.io/Logging_0461/klagomål/A 17148-2019 FSC-klagomål.docx", "A 17148-2019")</f>
        <v/>
      </c>
      <c r="W43">
        <f>HYPERLINK("https://klasma.github.io/Logging_0461/klagomålsmail/A 17148-2019 FSC-klagomål mail.docx", "A 17148-2019")</f>
        <v/>
      </c>
      <c r="X43">
        <f>HYPERLINK("https://klasma.github.io/Logging_0461/tillsyn/A 17148-2019 tillsynsbegäran.docx", "A 17148-2019")</f>
        <v/>
      </c>
      <c r="Y43">
        <f>HYPERLINK("https://klasma.github.io/Logging_0461/tillsynsmail/A 17148-2019 tillsynsbegäran mail.docx", "A 17148-2019")</f>
        <v/>
      </c>
    </row>
    <row r="44" ht="15" customHeight="1">
      <c r="A44" t="inlineStr">
        <is>
          <t>A 51652-2019</t>
        </is>
      </c>
      <c r="B44" s="1" t="n">
        <v>43740</v>
      </c>
      <c r="C44" s="1" t="n">
        <v>45343</v>
      </c>
      <c r="D44" t="inlineStr">
        <is>
          <t>SÖDERMANLANDS LÄN</t>
        </is>
      </c>
      <c r="E44" t="inlineStr">
        <is>
          <t>ESKILSTUNA</t>
        </is>
      </c>
      <c r="G44" t="n">
        <v>9.300000000000001</v>
      </c>
      <c r="H44" t="n">
        <v>6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Brunlångöra
Nordfladdermus
Dvärgpipistrell
Större brunfladdermus
Trollpipistrell
Vattenfladdermus</t>
        </is>
      </c>
      <c r="S44">
        <f>HYPERLINK("https://klasma.github.io/Logging_0484/artfynd/A 51652-2019 artfynd.xlsx", "A 51652-2019")</f>
        <v/>
      </c>
      <c r="T44">
        <f>HYPERLINK("https://klasma.github.io/Logging_0484/kartor/A 51652-2019 karta.png", "A 51652-2019")</f>
        <v/>
      </c>
      <c r="V44">
        <f>HYPERLINK("https://klasma.github.io/Logging_0484/klagomål/A 51652-2019 FSC-klagomål.docx", "A 51652-2019")</f>
        <v/>
      </c>
      <c r="W44">
        <f>HYPERLINK("https://klasma.github.io/Logging_0484/klagomålsmail/A 51652-2019 FSC-klagomål mail.docx", "A 51652-2019")</f>
        <v/>
      </c>
      <c r="X44">
        <f>HYPERLINK("https://klasma.github.io/Logging_0484/tillsyn/A 51652-2019 tillsynsbegäran.docx", "A 51652-2019")</f>
        <v/>
      </c>
      <c r="Y44">
        <f>HYPERLINK("https://klasma.github.io/Logging_0484/tillsynsmail/A 51652-2019 tillsynsbegäran mail.docx", "A 51652-2019")</f>
        <v/>
      </c>
    </row>
    <row r="45" ht="15" customHeight="1">
      <c r="A45" t="inlineStr">
        <is>
          <t>A 52556-2019</t>
        </is>
      </c>
      <c r="B45" s="1" t="n">
        <v>43745</v>
      </c>
      <c r="C45" s="1" t="n">
        <v>45343</v>
      </c>
      <c r="D45" t="inlineStr">
        <is>
          <t>SÖDERMANLANDS LÄN</t>
        </is>
      </c>
      <c r="E45" t="inlineStr">
        <is>
          <t>ESKILSTUNA</t>
        </is>
      </c>
      <c r="G45" t="n">
        <v>6.8</v>
      </c>
      <c r="H45" t="n">
        <v>4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Vippärt
Grönpyrola
Plattlummer
Vanlig snok
Blåsippa
Gullviva</t>
        </is>
      </c>
      <c r="S45">
        <f>HYPERLINK("https://klasma.github.io/Logging_0484/artfynd/A 52556-2019 artfynd.xlsx", "A 52556-2019")</f>
        <v/>
      </c>
      <c r="T45">
        <f>HYPERLINK("https://klasma.github.io/Logging_0484/kartor/A 52556-2019 karta.png", "A 52556-2019")</f>
        <v/>
      </c>
      <c r="V45">
        <f>HYPERLINK("https://klasma.github.io/Logging_0484/klagomål/A 52556-2019 FSC-klagomål.docx", "A 52556-2019")</f>
        <v/>
      </c>
      <c r="W45">
        <f>HYPERLINK("https://klasma.github.io/Logging_0484/klagomålsmail/A 52556-2019 FSC-klagomål mail.docx", "A 52556-2019")</f>
        <v/>
      </c>
      <c r="X45">
        <f>HYPERLINK("https://klasma.github.io/Logging_0484/tillsyn/A 52556-2019 tillsynsbegäran.docx", "A 52556-2019")</f>
        <v/>
      </c>
      <c r="Y45">
        <f>HYPERLINK("https://klasma.github.io/Logging_0484/tillsynsmail/A 52556-2019 tillsynsbegäran mail.docx", "A 52556-2019")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45343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45343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45343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45343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45343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45343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45343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45343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45343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45343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45343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45343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45343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45343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45343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45343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45343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45343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45343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45343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45343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45343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45343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45343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45343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45343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45343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45343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45343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45343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45343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45343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45343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45343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45343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45343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45343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45343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45343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45343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45343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45343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45343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45343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45343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45343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45343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45343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45343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45343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45343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45343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45343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45343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45343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45343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45343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45343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45343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45343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45343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45343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45343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45343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45343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45343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45343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45343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45343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45343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45343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45343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45343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45343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45343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45343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45343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45343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45343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45343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5855-2024</t>
        </is>
      </c>
      <c r="B149" s="1" t="n">
        <v>45335</v>
      </c>
      <c r="C149" s="1" t="n">
        <v>45343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3.3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vattensalamander
Fläcknycklar
Revlummer</t>
        </is>
      </c>
      <c r="S149">
        <f>HYPERLINK("https://klasma.github.io/Logging_0480/artfynd/A 5855-2024 artfynd.xlsx", "A 5855-2024")</f>
        <v/>
      </c>
      <c r="T149">
        <f>HYPERLINK("https://klasma.github.io/Logging_0480/kartor/A 5855-2024 karta.png", "A 5855-2024")</f>
        <v/>
      </c>
      <c r="V149">
        <f>HYPERLINK("https://klasma.github.io/Logging_0480/klagomål/A 5855-2024 FSC-klagomål.docx", "A 5855-2024")</f>
        <v/>
      </c>
      <c r="W149">
        <f>HYPERLINK("https://klasma.github.io/Logging_0480/klagomålsmail/A 5855-2024 FSC-klagomål mail.docx", "A 5855-2024")</f>
        <v/>
      </c>
      <c r="X149">
        <f>HYPERLINK("https://klasma.github.io/Logging_0480/tillsyn/A 5855-2024 tillsynsbegäran.docx", "A 5855-2024")</f>
        <v/>
      </c>
      <c r="Y149">
        <f>HYPERLINK("https://klasma.github.io/Logging_0480/tillsynsmail/A 5855-2024 tillsynsbegäran mail.docx", "A 5855-2024")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45343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45343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45343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45343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45343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45343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45343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45343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45343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45343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45343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45343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45343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45343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45343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45343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45343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45343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45343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45343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45343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45343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45343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45343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45343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45343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45343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45343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45343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45343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45343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45343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45343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45343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45343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45343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45343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45343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45343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45343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45343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45343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45343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45343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45343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45343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45343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45343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45343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45343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45343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45343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45343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45343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45343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45343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45343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45343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45343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45343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45343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45343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45343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45343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45343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45343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45343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45343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45343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45343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45343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45343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45343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45343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45343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45343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45343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45343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45343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45343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45343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45343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45343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45343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45343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45343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45343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45343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45343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45343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45343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45343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45343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45343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45343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45343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45343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45343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45343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45343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45343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45343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45343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45343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45343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45343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45343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45343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45343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45343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45343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45343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45343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45343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45343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45343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45343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45343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45343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45343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45343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45343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45343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45343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45343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45343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45343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45343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45343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45343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45343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45343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45343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45343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45343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45343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45343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45343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45343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45343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45343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45343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45343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45343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45343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45343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45343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45343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45343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45343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45343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45343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45343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45343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45343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45343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45343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45343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45343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45343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45343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45343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45343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45343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45343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45343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45343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45343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45343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45343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45343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45343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45343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45343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45343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45343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45343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45343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45343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45343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45343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45343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45343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45343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45343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45343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45343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45343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45343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45343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45343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45343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45343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45343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45343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45343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45343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45343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45343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45343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45343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45343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45343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45343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45343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45343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45343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45343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45343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45343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45343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45343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45343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45343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45343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45343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45343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45343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45343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45343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45343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45343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45343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45343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45343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45343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45343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45343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45343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45343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45343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45343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45343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45343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45343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45343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45343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45343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45343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45343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45343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45343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45343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45343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45343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45343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45343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45343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45343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45343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45343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45343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45343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45343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45343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45343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45343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45343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45343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45343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45343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45343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45343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45343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45343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45343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45343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45343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45343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45343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45343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45343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45343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45343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45343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45343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45343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45343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45343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45343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45343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45343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45343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45343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45343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45343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45343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45343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45343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45343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45343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45343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45343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45343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45343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45343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45343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45343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45343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45343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45343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45343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45343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45343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45343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45343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45343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45343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45343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45343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45343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45343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45343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45343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45343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45343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45343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45343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45343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45343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45343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45343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45343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45343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45343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45343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45343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45343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45343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45343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45343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45343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45343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45343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45343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45343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45343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45343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45343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45343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45343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45343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45343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45343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45343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45343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45343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45343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45343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45343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45343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45343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45343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45343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45343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45343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45343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45343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45343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45343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45343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45343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45343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45343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45343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45343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45343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45343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45343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45343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45343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45343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45343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45343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45343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45343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45343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45343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45343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45343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45343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45343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45343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45343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45343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45343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45343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45343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45343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45343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45343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45343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45343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45343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45343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45343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45343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45343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45343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45343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45343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45343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45343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45343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45343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45343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45343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45343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45343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45343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45343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45343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45343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45343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45343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45343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45343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45343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45343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45343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45343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45343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45343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45343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45343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45343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45343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45343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45343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45343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45343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45343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45343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45343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45343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45343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45343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45343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45343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45343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45343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45343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45343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45343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45343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45343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45343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45343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45343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45343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45343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45343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45343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45343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45343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45343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45343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45343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45343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45343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45343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45343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45343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45343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45343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45343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45343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45343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45343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45343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45343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45343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45343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45343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45343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45343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45343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45343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45343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45343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45343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45343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45343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45343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45343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45343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45343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45343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45343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45343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45343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45343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45343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45343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45343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45343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45343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45343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45343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45343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45343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45343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45343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45343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45343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45343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45343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45343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45343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45343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45343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45343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45343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45343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45343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45343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45343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45343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45343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45343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45343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45343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45343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45343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45343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45343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45343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45343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45343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45343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45343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45343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45343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45343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45343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45343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45343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45343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45343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45343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45343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45343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45343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45343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45343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45343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45343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45343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45343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45343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45343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45343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45343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45343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45343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45343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45343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45343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45343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45343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45343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45343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45343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45343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45343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45343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45343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45343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45343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45343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45343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45343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45343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45343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45343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45343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45343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45343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45343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45343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45343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45343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45343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45343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45343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45343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45343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45343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45343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45343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45343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45343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45343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45343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45343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45343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45343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45343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45343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45343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45343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45343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45343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45343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45343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45343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45343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45343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45343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45343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45343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45343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45343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45343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45343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45343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45343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45343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45343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45343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45343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45343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45343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45343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45343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45343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45343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45343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45343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45343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45343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45343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45343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45343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45343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45343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45343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45343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45343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45343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45343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45343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45343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45343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45343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45343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45343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45343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45343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45343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45343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45343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45343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45343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45343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45343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45343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45343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45343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45343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45343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45343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45343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45343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45343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45343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45343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45343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45343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45343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45343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45343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45343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45343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45343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45343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45343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45343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45343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45343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45343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45343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45343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45343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45343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45343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45343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45343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45343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45343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45343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45343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45343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45343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45343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45343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45343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45343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45343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45343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45343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45343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45343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45343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45343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45343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45343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45343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45343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45343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45343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45343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45343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45343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45343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45343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45343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45343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45343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45343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45343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45343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45343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45343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45343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45343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45343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45343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45343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45343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45343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45343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45343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45343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45343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45343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45343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45343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45343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45343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45343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45343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45343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45343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45343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45343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45343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45343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45343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45343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45343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45343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45343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45343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45343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45343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45343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45343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45343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45343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45343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45343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45343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45343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45343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45343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45343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45343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45343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45343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45343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45343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45343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45343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45343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45343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45343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45343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45343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45343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45343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45343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45343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45343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45343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45343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45343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45343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45343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45343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45343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45343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45343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45343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45343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45343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45343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45343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45343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45343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45343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45343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45343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45343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45343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45343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45343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45343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45343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45343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45343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45343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45343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45343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45343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45343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45343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45343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45343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45343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45343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45343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45343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45343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45343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45343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45343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45343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45343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45343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45343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45343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45343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45343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45343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45343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45343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45343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45343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45343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45343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45343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45343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45343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45343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45343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45343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45343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45343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45343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45343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45343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45343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45343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45343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45343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45343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45343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45343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45343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45343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45343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45343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45343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45343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45343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45343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45343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45343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45343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45343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45343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45343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45343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45343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45343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45343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45343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45343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45343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45343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45343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45343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45343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45343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45343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45343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45343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45343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45343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45343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45343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45343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45343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45343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45343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45343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45343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45343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45343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45343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45343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45343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45343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45343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45343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45343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45343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45343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45343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45343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45343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45343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45343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45343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45343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45343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45343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45343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45343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45343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45343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45343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45343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45343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45343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45343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45343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45343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45343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45343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45343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45343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45343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45343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45343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45343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45343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45343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45343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45343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45343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45343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45343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45343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45343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45343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45343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45343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45343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45343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45343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45343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45343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45343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45343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45343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45343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45343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45343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45343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45343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45343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45343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45343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45343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45343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45343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45343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45343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45343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45343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45343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45343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45343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45343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45343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45343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45343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45343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45343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45343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45343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45343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45343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45343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45343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45343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45343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45343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45343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45343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45343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45343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45343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45343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45343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45343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45343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45343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45343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45343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45343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45343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45343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45343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45343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45343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45343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45343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45343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45343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45343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45343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45343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45343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45343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45343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45343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45343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45343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45343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45343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45343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45343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45343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45343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45343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45343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45343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45343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45343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45343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45343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45343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45343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45343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45343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45343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45343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45343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45343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45343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45343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45343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45343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45343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45343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45343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45343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45343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45343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45343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45343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45343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45343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45343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45343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45343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45343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45343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45343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45343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45343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45343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45343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45343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45343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45343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45343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45343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45343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45343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45343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45343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45343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45343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45343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45343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45343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45343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45343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45343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45343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45343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45343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45343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45343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45343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45343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45343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45343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45343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45343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45343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45343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45343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45343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45343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45343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45343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45343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45343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45343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45343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45343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45343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45343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45343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45343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45343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45343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45343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45343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45343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45343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45343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45343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45343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45343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45343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45343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45343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45343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45343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45343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45343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45343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45343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45343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45343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45343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45343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45343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45343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45343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45343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45343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45343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45343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45343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45343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45343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45343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45343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45343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45343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45343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45343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45343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45343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45343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45343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45343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45343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45343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45343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45343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45343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45343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45343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45343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45343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45343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45343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45343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45343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45343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45343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45343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45343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45343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45343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45343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45343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45343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45343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45343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45343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45343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45343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45343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45343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45343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45343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45343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45343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45343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45343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45343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45343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45343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45343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45343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45343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45343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45343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45343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45343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45343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45343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45343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45343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45343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45343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45343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45343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45343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45343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45343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45343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45343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45343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45343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45343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45343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45343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45343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45343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45343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45343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45343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45343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45343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45343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45343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45343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45343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45343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45343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45343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45343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45343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45343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45343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45343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45343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45343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45343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45343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45343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45343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45343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45343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45343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45343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45343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45343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45343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45343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45343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45343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45343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45343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45343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45343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45343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45343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45343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45343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45343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45343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45343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45343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45343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45343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45343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45343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45343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45343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45343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45343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45343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45343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45343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45343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45343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45343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45343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45343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45343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45343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45343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45343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45343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45343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45343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45343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45343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45343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45343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45343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45343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45343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45343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45343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45343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45343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45343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45343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45343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45343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45343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45343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45343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45343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45343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45343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45343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45343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45343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45343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45343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45343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45343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45343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45343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45343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45343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45343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45343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45343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45343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45343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45343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45343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45343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45343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45343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45343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45343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45343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45343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45343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45343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45343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45343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45343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45343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45343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45343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45343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45343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45343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45343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45343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45343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45343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45343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45343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45343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45343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45343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45343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45343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45343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45343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45343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45343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45343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45343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45343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45343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45343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45343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45343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45343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45343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45343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45343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45343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45343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45343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45343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45343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45343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45343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45343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45343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45343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45343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45343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45343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45343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45343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45343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45343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45343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45343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45343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45343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45343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45343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45343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45343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45343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45343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45343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45343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45343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45343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45343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45343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45343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45343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45343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45343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45343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45343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45343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45343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45343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45343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45343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45343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45343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45343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45343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45343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45343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45343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45343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45343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45343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45343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45343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45343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45343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45343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45343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45343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45343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45343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45343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45343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45343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45343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45343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45343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45343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45343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45343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45343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45343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45343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45343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45343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45343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45343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45343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45343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45343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45343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45343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45343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45343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45343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45343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45343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45343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45343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45343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45343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45343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45343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45343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45343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45343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45343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45343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45343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45343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45343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45343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45343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45343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45343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45343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45343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45343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45343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45343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45343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45343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45343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45343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45343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45343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45343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45343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45343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45343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45343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45343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45343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45343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45343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45343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45343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45343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45343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45343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45343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45343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45343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45343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45343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45343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45343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45343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45343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45343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45343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45343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45343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45343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45343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45343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45343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45343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45343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45343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45343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45343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45343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45343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45343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45343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45343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45343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45343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45343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45343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45343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45343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45343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45343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45343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45343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45343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45343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45343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45343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45343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45343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45343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45343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45343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45343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45343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45343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45343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45343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45343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45343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45343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45343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45343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45343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45343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45343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45343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45343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45343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45343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45343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45343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45343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45343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45343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45343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45343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45343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45343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45343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45343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45343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45343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45343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45343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45343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45343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45343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45343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45343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45343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45343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45343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45343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45343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45343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45343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45343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45343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45343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45343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45343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45343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45343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45343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45343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45343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45343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45343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45343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45343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45343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45343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45343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45343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45343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45343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45343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45343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45343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45343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45343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45343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45343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45343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45343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45343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45343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45343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45343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45343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45343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45343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45343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45343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45343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45343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45343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45343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45343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45343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45343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45343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45343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45343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45343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45343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45343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45343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45343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45343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45343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45343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45343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45343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45343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45343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45343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45343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45343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45343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45343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45343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45343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45343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45343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45343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45343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45343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45343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45343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45343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45343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45343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45343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45343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45343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45343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45343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45343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45343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45343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45343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45343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45343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45343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45343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45343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45343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45343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45343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45343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45343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45343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45343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45343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45343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45343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45343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45343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45343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45343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45343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45343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45343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45343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45343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45343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45343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45343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45343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45343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45343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45343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45343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45343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45343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45343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45343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45343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45343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45343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45343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45343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45343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45343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45343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45343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45343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45343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45343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45343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45343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45343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45343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45343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45343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45343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45343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45343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45343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45343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45343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45343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45343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45343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45343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45343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45343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45343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45343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45343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45343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45343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45343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45343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45343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45343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45343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45343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45343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45343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45343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45343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45343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45343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45343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45343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45343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45343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45343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45343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45343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45343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45343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45343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45343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45343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45343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45343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45343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45343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45343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45343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45343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45343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45343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45343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45343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45343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45343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45343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45343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45343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45343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45343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45343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45343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45343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45343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45343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45343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45343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45343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45343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45343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45343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45343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45343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45343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45343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45343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45343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45343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45343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45343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45343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45343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45343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45343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45343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45343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45343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45343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45343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45343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45343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45343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45343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45343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45343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45343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45343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45343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45343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45343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45343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45343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45343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45343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45343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45343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45343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45343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45343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45343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45343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45343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45343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45343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45343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45343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45343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45343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45343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45343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45343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45343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45343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45343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45343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45343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45343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45343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45343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45343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45343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45343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45343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45343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45343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45343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45343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45343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45343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45343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45343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45343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45343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45343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45343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45343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45343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45343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45343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45343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45343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45343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45343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45343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45343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45343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45343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45343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45343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45343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45343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45343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45343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45343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45343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45343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45343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45343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45343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45343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45343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45343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45343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45343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45343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45343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45343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45343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45343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45343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45343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45343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45343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45343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45343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45343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45343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45343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45343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45343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45343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45343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45343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45343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45343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45343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45343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45343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45343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45343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45343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45343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45343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45343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45343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45343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45343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45343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45343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45343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45343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45343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45343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45343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45343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45343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45343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45343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45343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45343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45343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45343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45343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45343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45343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45343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45343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45343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45343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45343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45343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45343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45343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45343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45343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45343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45343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45343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45343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45343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45343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45343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45343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45343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45343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45343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45343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45343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45343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45343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45343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45343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45343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45343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45343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45343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45343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45343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45343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45343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45343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45343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45343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45343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45343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45343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45343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45343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45343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45343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45343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45343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45343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45343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45343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45343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45343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45343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45343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45343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45343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45343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45343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45343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45343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45343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45343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45343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45343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45343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45343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45343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45343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45343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45343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45343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45343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45343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45343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45343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45343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45343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45343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45343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45343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45343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45343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45343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45343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45343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45343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45343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45343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45343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45343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45343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45343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45343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45343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45343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45343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45343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45343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45343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45343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45343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45343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45343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45343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45343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45343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45343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45343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45343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45343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45343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45343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45343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45343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45343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45343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45343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45343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45343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45343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45343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45343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45343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45343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45343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45343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45343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45343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45343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45343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45343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45343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45343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45343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45343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45343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45343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45343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45343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45343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45343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45343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45343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45343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45343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45343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45343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45343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45343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45343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45343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45343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45343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45343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45343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45343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45343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45343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45343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45343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45343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45343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45343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45343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45343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45343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45343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45343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45343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45343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45343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45343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45343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45343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45343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45343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45343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45343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45343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45343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45343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45343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45343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45343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45343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45343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45343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45343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45343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45343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45343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45343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45343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45343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45343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45343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45343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45343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45343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45343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45343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45343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45343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45343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45343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45343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45343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45343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45343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45343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45343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45343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45343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45343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45343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45343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45343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45343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45343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45343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45343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45343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45343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45343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45343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45343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45343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45343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45343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45343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45343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45343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45343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45343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45343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45343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45343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45343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45343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45343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45343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45343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45343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45343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45343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45343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45343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45343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45343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45343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45343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45343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45343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45343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45343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45343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45343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45343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45343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45343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45343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45343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45343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45343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45343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45343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45343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45343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45343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45343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45343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45343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45343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45343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45343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45343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45343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45343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45343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45343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45343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45343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45343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45343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45343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45343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45343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45343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45343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45343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45343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45343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45343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45343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45343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45343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45343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45343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45343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45343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45343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45343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45343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45343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45343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45343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45343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45343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45343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45343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45343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45343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45343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45343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45343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45343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45343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45343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45343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45343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45343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45343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45343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45343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45343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45343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45343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45343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45343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45343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45343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45343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45343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45343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45343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45343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45343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45343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45343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45343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45343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45343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45343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45343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45343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45343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45343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45343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45343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45343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45343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45343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45343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45343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45343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45343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45343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45343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45343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45343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45343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45343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45343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45343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45343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45343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45343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45343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45343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45343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45343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45343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45343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45343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45343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45343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45343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45343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45343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45343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45343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45343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45343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45343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45343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45343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45343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45343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45343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45343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45343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45343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45343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45343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45343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45343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45343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45343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45343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45343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45343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45343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45343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45343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45343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45343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45343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45343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45343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45343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45343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45343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45343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45343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45343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45343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45343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45343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45343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45343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45343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45343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45343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45343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45343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45343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45343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45343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45343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45343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45343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45343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45343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45343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45343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45343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45343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45343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45343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45343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45343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45343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45343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45343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45343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45343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45343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45343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45343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45343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45343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45343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45343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45343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45343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45343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45343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45343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45343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45343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45343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45343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45343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45343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45343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45343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45343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45343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45343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45343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45343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45343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45343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45343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45343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45343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45343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45343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45343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45343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45343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45343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45343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45343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45343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45343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45343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45343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45343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45343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45343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45343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45343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45343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45343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45343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45343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45343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45343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45343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45343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45343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45343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45343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45343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45343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45343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45343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45343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45343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45343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45343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45343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45343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45343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45343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45343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45343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45343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45343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45343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45343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45343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45343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45343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45343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45343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45343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45343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45343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45343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45343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45343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45343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45343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45343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45343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45343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45343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45343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45343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45343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45343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45343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45343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45343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45343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45343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45343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45343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45343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45343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45343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45343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45343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45343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45343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45343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45343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45343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45343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45343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45343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45343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45343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45343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45343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45343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45343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45343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45343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45343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45343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45343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45343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45343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45343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45343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45343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45343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45343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45343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45343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45343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45343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45343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45343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45343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45343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45343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45343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45343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45343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45343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45343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45343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45343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45343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45343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45343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45343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45343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45343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45343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45343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45343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45343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45343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45343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45343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45343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45343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45343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45343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45343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45343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45343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45343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45343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45343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45343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45343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45343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45343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45343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45343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45343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45343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45343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45343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45343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45343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45343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45343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45343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45343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45343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45343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45343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45343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45343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45343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45343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45343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45343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45343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45343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45343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45343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45343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45343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45343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45343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45343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45343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45343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45343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45343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45343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45343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45343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45343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45343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45343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45343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45343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45343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45343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45343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45343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45343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45343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45343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45343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45343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45343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45343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45343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45343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45343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45343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45343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45343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45343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45343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45343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45343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45343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45343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45343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45343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45343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45343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45343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45343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45343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45343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45343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45343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45343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45343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45343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45343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45343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45343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45343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45343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45343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45343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45343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45343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45343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45343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45343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45343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45343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45343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45343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45343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45343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45343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45343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45343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45343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45343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45343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45343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45343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45343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45343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45343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45343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45343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45343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45343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45343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45343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45343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45343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45343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45343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45343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45343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45343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45343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45343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45343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45343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45343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45343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45343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45343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45343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45343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45343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45343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45343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45343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45343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45343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45343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45343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45343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45343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45343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45343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45343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45343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45343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45343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45343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45343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45343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45343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45343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45343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45343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45343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45343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45343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45343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45343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45343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45343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45343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45343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45343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45343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45343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45343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45343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45343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45343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45343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45343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45343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45343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45343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45343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45343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45343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45343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45343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45343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45343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45343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45343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45343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45343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45343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45343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45343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45343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45343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45343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45343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45343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45343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45343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45343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45343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45343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45343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45343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45343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45343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45343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45343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45343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45343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45343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45343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45343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45343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45343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45343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45343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45343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45343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45343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45343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45343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45343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45343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45343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45343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45343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45343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45343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45343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45343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45343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45343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45343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45343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45343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45343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45343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45343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45343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45343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45343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45343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45343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45343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45343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45343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45343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45343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45343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45343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45343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45343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45343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45343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45343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45343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45343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45343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45343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45343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45343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45343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45343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45343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45343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45343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45343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45343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45343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45343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45343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45343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45343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45343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45343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45343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45343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45343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45343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45343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45343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45343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45343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45343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45343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45343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45343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45343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45343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45343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45343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45343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45343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45343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45343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45343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45343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45343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45343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45343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45343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45343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45343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45343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45343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45343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45343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45343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45343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45343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45343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45343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45343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45343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45343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45343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45343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45343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45343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45343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45343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45343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45343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45343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45343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45343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45343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45343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45343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45343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45343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45343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45343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45343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45343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45343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45343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45343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45343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45343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45343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45343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45343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45343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45343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45343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45343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45343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45343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45343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45343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45343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45343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45343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45343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45343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45343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45343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45343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45343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45343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45343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45343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45343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45343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45343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45343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45343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45343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45343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45343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45343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45343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45343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45343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45343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45343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45343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45343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45343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45343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45343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45343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45343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45343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45343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45343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45343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45343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45343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45343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45343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45343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45343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45343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45343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45343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45343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45343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45343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45343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45343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45343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45343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45343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45343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45343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45343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45343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45343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45343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45343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45343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45343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45343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45343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45343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45343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45343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45343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45343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45343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45343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45343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45343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45343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45343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45343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45343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45343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45343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45343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45343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45343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45343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45343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45343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45343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45343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45343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45343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45343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45343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45343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45343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45343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45343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45343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45343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45343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45343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45343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45343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45343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45343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45343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45343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45343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45343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45343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45343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45343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45343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45343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45343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45343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45343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45343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45343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45343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45343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45343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45343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45343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45343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45343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45343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45343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45343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45343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45343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45343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45343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45343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45343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45343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45343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45343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45343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45343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45343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45343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45343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45343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45343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45343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45343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45343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45343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45343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45343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45343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45343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45343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45343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45343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45343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45343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45343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45343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45343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45343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45343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45343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45343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45343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45343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45343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45343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45343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45343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45343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45343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45343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45343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45343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45343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45343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45343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45343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45343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45343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45343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45343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45343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45343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45343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45343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45343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45343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45343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45343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45343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45343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45343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45343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45343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45343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45343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45343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45343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45343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45343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45343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45343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45343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45343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45343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45343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45343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45343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45343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45343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45343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45343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45343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45343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45343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45343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45343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45343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45343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45343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45343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45343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45343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45343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45343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45343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45343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45343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45343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45343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45343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45343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45343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45343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45343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45343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45343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45343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45343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45343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45343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45343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45343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45343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45343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45343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45343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45343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45343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45343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45343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45343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45343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45343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45343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45343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45343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45343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45343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45343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45343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45343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45343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45343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45343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45343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45343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45343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45343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45343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45343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45343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45343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45343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45343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45343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45343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45343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45343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45343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45343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45343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45343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45343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45343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45343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45343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45343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45343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45343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45343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45343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45343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45343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45343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45343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45343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45343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45343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45343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45343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45343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45343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45343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45343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45343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45343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45343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45343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45343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45343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45343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45343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45343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45343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45343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45343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45343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45343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45343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45343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45343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45343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45343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45343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45343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45343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45343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45343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45343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45343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45343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45343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45343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45343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45343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45343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45343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45343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45343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45343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45343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45343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45343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45343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45343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45343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45343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45343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45343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45343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45343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45343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45343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45343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45343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45343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45343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45343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45343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45343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45343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45343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45343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45343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45343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45343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45343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45343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45343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45343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45343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45343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45343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45343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45343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45343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45343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45343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45343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45343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45343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45343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45343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45343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45343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45343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45343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45343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45343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45343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45343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45343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45343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45343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45343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45343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45343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45343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45343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45343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45343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45343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45343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45343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45343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45343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45343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45343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45343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45343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45343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45343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45343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45343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45343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45343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45343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45343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45343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45343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45343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45343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45343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45343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45343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45343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45343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45343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45343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45343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45343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45343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45343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45343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45343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45343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45343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45343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45343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45343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45343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45343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45343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45343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45343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45343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45343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45343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45343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45343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45343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45343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45343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45343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45343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45343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45343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45343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45343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45343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45343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45343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45343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45343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45343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45343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45343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45343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45343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45343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45343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45343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45343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45343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45343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45343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45343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45343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45343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45343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45343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45343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45343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45343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45343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45343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45343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45343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45343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45343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45343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45343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45343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45343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45343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45343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45343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45343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45343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45343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45343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45343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45343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45343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45343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45343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45343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45343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45343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45343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45343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45343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45343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45343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45343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45343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45343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45343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45343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45343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45343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45343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45343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45343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45343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45343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45343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45343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45343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45343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45343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45343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45343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45343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45343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45343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45343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45343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45343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45343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45343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45343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45343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45343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45343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45343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45343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45343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45343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45343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45343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45343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45343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45343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45343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45343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45343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45343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45343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45343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45343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45343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45343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45343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45343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45343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45343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45343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45343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45343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45343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45343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45343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45343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45343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45343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45343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45343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45343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45343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45343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45343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45343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45343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45343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45343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45343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45343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45343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45343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45343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45343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45343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45343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45343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45343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45343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45343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45343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45343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45343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45343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45343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45343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45343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45343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45343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45343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45343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45343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45343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45343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45343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45343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45343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45343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45343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45343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45343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45343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45343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45343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45343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45343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45343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45343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45343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45343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45343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45343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45343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45343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45343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45343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45343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45343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45343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45343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45343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45343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45343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45343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45343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45343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45343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45343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45343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45343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45343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45343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45343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45343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45343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45343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45343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45343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45343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45343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45343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45343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45343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45343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45343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45343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45343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45343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45343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45343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45343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45343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45343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45343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45343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45343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45343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45343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45343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45343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45343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45343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45343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45343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45343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45343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45343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45343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45343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45343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45343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45343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45343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45343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45343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45343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45343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45343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45343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45343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45343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45343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45343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45343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45343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45343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45343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45343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45343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45343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45343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45343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45343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45343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45343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45343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45343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45343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45343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45343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45343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45343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45343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45343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45343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45343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45343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45343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45343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45343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45343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45343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45343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45343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45343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45343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45343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45343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45343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45343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45343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45343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45343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45343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45343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45343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45343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45343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45343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45343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45343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45343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45343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45343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45343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45343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45343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45343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45343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45343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45343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45343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45343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45343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45343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45343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45343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45343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45343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45343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45343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45343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45343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45343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45343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45343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45343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45343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45343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45343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45343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45343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45343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45343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45343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45343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45343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45343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45343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45343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45343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45343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45343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45343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45343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45343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45343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45343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45343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45343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45343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45343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45343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45343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45343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45343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45343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45343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45343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45343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45343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45343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45343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45343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45343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45343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45343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45343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45343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45343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45343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45343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45343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45343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45343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45343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45343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45343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45343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45343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45343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45343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45343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45343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45343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45343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45343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45343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45343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45343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45343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45343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45343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45343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45343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45343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45343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45343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45343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45343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45343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45343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45343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45343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45343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45343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45343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45343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45343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45343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45343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45343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45343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45343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45343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45343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45343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45343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45343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45343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45343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45343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45343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45343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45343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45343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45343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45343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45343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45343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45343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45343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45343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45343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45343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45343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45343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45343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45343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45343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45343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45343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45343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45343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45343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45343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45343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45343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45343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45343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45343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45343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45343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45343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45343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45343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45343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45343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45343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45343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45343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45343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45343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45343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45343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45343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45343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45343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45343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45343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45343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45343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45343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45343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45343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45343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45343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45343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45343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45343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45343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45343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45343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45343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45343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45343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45343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45343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45343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45343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45343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45343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45343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45343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45343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45343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45343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45343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45343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45343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45343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45343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45343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45343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45343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45343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45343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45343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45343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45343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45343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45343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45343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45343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45343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45343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45343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45343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45343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45343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45343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45343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45343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45343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45343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45343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45343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45343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45343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45343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45343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45343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45343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45343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45343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45343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45343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45343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45343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45343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45343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45343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45343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45343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45343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45343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45343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45343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45343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45343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45343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45343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45343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45343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45343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45343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45343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45343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45343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45343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45343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45343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45343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45343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45343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45343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45343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45343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45343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45343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45343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45343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45343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45343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45343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45343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45343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45343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45343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45343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45343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45343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45343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45343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45343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45343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45343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45343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45343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45343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45343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45343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45343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45343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45343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45343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45343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45343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45343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45343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45343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45343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45343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45343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45343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45343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45343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45343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45343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45343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45343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45343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45343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45343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45343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45343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45343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45343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45343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45343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45343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45343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45343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45343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45343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45343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45343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45343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45343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45343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45343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45343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45343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45343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45343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45343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45343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45343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45343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45343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45343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45343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45343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45343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45343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45343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45343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45343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45343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45343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45343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45343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45343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45343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45343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45343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45343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45343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45343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45343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45343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45343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45343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45343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45343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45343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45343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45343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45343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45343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45343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45343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45343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45343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45343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45343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45343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45343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45343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45343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45343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45343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45343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45343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45343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45343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45343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45343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45343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45343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45343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45343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45343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45343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45343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45343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45343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45343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45343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45343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45343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45343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45343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45343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45343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45343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45343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45343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45343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45343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45343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45343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45343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45343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45343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45343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45343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45343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45343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45343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45343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45343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45343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45343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45343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45343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45343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45343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45343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45343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45343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45343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45343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45343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45343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45343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45343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45343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45343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45343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45343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45343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45343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45343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45343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45343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45343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45343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45343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45343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45343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45343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45343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45343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45343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45343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45343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45343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45343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45343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45343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45343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45343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45343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45343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45343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45343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45343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45343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45343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45343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45343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45343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45343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45343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45343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45343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45343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45343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45343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45343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45343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45343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45343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45343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45343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45343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45343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45343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45343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45343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45343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45343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45343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45343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45343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45343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45343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45343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45343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45343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45343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45343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45343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45343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45343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45343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45343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45343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45343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45343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45343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45343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45343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45343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45343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45343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45343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45343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45343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45343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45343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45343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45343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45343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45343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45343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45343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45343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45343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45343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45343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45343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45343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45343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45343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45343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45343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45343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45343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45343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45343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45343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45343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45343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45343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45343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45343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45343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45343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45343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45343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45343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45343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45343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45343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45343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45343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45343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45343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45343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45343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45343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45343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45343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45343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45343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45343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45343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45343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45343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45343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45343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45343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45343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45343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45343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45343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45343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45343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45343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45343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45343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45343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45343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45343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45343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45343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45343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45343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45343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45343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45343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45343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45343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45343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45343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45343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45343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45343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45343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45343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45343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45343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45343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45343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45343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45343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45343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45343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45343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45343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45343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45343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45343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45343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45343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45343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45343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45343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45343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45343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45343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45343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45343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45343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45343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45343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45343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45343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45343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45343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45343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45343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45343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45343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45343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45343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45343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45343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45343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45343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45343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45343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45343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45343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45343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45343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45343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45343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45343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45343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45343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45343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45343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45343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45343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45343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45343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45343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45343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45343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45343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45343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45343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45343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45343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45343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45343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45343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45343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45343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45343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45343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45343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45343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45343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45343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45343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45343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45343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45343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45343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45343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45343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45343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45343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45343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45343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45343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45343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45343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45343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45343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45343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45343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45343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45343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45343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45343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45343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45343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45343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45343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45343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45343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45343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45343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45343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45343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45343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45343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45343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45343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45343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45343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45343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45343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45343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45343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45343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45343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45343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45343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45343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45343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45343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45343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45343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45343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45343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45343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45343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45343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45343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45343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45343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45343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45343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45343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45343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45343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45343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45343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45343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45343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45343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45343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45343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45343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45343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45343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45343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45343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45343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45343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45343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45343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45343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45343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45343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45343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45343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45343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45343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45343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45343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45343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45343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45343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45343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45343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45343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45343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45343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45343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45343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45343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45343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45343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45343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45343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45343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45343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45343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45343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45343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45343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45343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45343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45343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45343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45343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45343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45343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45343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45343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45343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45343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45343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45343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45343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45343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45343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45343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45343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45343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45343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45343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45343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45343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45343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45343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45343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45343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45343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45343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45343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45343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45343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45343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45343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45343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45343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45343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45343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45343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45343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45343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45343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45343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45343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45343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45343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45343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45343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45343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45343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45343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45343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45343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45343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45343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45343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45343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45343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45343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45343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45343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45343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45343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45343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45343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45343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45343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45343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45343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45343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45343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45343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45343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45343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45343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45343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45343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45343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45343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45343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45343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45343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45343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45343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45343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45343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45343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45343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45343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45343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45343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45343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45343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45343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45343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45343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45343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45343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45343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45343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45343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45343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45343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45343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45343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45343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45343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45343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45343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45343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45343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45343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45343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45343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45343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45343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45343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45343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45343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45343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45343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45343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45343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45343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45343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45343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45343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45343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45343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45343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45343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45343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45343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45343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45343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45343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45343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45343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45343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45343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45343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45343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45343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45343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45343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45343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45343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45343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45343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45343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45343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45343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45343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45343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45343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45343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45343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45343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45343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45343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45343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45343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45343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45343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45343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45343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45343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45343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45343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45343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45343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45343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45343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45343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45343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45343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45343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45343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45343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45343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45343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45343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45343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45343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45343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45343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45343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45343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45343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45343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45343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45343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45343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45343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45343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45343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45343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45343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45343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45343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45343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45343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45343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45343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45343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45343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45343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45343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45343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45343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45343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45343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45343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45343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45343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45343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45343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45343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45343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45343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45343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45343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45343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45343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45343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45343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45343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45343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45343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45343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45343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45343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45343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45343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45343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45343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45343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45343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45343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45343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45343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45343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45343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45343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45343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45343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45343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45343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45343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45343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45343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45343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45343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45343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45343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45343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45343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45343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45343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45343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45343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45343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45343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45343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45343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45343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45343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45343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45343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45343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45343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45343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45343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45343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45343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45343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45343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45343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45343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45343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45343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45343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45343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45343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45343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45343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45343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45343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45343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45343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45343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45343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45343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45343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45343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45343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45343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45343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45343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45343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45343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45343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45343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45343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45343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45343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45343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45343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45343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45343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45343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45343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45343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45343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45343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45343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45343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45343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45343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45343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45343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45343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45343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45343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45343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45343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45343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45343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45343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45343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45343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45343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45343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45343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45343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45343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45343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45343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45343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45343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45343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45343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45343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45343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45343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45343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45343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45343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45343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45343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45343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45343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45343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45343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45343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45343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45343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45343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45343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45343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45343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45343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45343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45343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45343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45343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45343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45343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45343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45343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45343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45343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45343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45343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45343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45343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45343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45343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45343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45343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45343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45343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45343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45343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45343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45343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45343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45343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45343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45343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45343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45343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45343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45343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45343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45343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45343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45343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45343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45343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45343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45343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45343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45343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45343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45343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45343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45343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45343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45343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45343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45343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45343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45343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45343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45343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45343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45343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45343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45343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45343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45343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45343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45343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45343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45343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45343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45343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45343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45343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45343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45343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45343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45343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45343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45343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45343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45343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45343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45343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45343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45343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45343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45343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45343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45343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45343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45343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45343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45343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45343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45343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45343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45343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45343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45343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45343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45343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45343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45343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45343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45343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45343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45343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45343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45343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45343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45343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45343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45343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45343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45343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45343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45343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45343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45343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45343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45343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45343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45343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45343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45343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45343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45343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45343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45343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45343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45343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45343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45343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45343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45343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45343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45343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45343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45343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45343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45343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45343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45343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45343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45343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45343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45343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45343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45343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45343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45343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45343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45343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45343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45343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45343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45343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45343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45343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45343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45343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45343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45343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45343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45343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45343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45343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45343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45343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45343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45343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45343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45343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45343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45343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45343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45343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45343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45343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45343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45343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45343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45343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45343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45343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45343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45343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45343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45343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45343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45343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45343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45343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45343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45343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45343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45343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45343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45343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45343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45343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45343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45343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45343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45343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45343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45343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45343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45343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45343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45343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45343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45343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45343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45343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45343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45343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45343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45343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45343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45343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45343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45343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45343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45343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45343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45343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45343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45343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45343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45343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45343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45343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45343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45343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45343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45343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45343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45343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45343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45343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45343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45343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45343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45343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45343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45343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45343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45343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45343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45343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45343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45343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45343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45343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45343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45343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45343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45343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45343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45343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45343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45343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45343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45343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45343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45343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45343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45343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45343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45343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45343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45343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45343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45343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45343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45343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45343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45343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45343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45343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45343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45343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45343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45343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45343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45343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45343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45343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45343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45343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45343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45343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45343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45343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45343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45343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45343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45343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45343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45343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45343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45343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45343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45343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45343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45343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45343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45343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45343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45343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45343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45343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45343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45343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45343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45343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45343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45343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45343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45343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45343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45343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45343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45343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45343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45343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45343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45343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45343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45343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45343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45343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45343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45343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45343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45343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45343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45343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45343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45343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45343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45343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45343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45343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45343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45343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45343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45343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45343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45343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45343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45343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45343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45343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45343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45343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45343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45343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45343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45343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45343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45343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45343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45343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45343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45343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45343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45343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45343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45343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45343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45343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45343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45343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45343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45343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45343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45343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45343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45343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45343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45343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45343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45343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45343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45343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45343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45343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45343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45343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45343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45343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45343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45343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45343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45343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45343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45343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45343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45343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45343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45343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45343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45343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45343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45343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45343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45343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45343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45343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45343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45343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45343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45343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45343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45343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45343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45343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45343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45343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45343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45343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45343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45343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45343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45343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45343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45343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45343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45343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45343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45343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45343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45343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45343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45343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45343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45343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45343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45343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45343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45343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45343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45343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45343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45343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45343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45343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45343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45343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45343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45343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45343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45343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45343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45343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45343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45343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45343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45343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45343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45343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45343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45343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45343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45343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45343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45343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45343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45343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45343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45343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45343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45343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45343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45343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45343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45343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45343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45343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45343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45343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45343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45343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45343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45343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45343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45343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45343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45343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45343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45343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45343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45343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45343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45343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45343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45343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45343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45343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45343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45343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45343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45343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45343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45343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45343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45343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45343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45343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45343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45343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45343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45343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45343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45343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45343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45343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45343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45343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45343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45343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45343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45343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45343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45343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45343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45343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45343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45343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45343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45343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45343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45343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45343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45343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45343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45343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45343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45343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45343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45343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45343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45343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45343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45343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45343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45343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45343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45343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45343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45343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45343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45343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45343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45343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45343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45343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45343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45343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45343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45343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45343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45343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45343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45343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45343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45343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45343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45343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45343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45343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45343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45343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45343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45343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45343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45343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45343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45343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45343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45343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45343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45343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45343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45343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45343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45343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45343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45343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45343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45343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45343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45343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45343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45343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45343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45343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45343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45343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45343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45343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45343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45343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45343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45343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45343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45343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45343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45343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45343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45343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45343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45343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45343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45343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45343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45343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45343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45343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45343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45343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45343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45343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45343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45343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45343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45343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45343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45343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45343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45343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45343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45343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45343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45343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45343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45343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45343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45343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45343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45343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45343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45343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45343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45343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45343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45343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45343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45343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45343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45343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45343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45343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45343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45343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45343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45343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45343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45343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45343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45343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45343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45343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45343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45343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45343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45343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45343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45343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45343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45343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45343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45343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45343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45343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45343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45343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45343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45343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45343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45343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45343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45343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45343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45343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45343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45343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45343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45343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45343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45343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45343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45343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45343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45343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45343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45343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45343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45343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45343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45343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45343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45343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45343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45343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45343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45343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45343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45343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45343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45343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45343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45343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45343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45343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45343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45343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45343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45343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45343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45343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45343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45343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45343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45343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45343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45343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45343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45343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45343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45343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45343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45343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45343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45343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45343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45343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45343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45343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45343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45343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45343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45343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45343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45343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45343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45343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45343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45343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45343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45343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45343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45343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45343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45343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45343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45343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45343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45343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45343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45343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45343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45343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45343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45343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45343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45343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45343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45343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45343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45343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45343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45343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45343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45343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45343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45343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45343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45343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45343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45343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45343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45343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45343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45343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45343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45343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45343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45343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45343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45343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45343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45343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45343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45343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45343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45343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45343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45343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45343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45343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45343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45343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45343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45343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45343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45343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45343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45343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45343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45343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45343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45343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45343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45343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45343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45343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45343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45343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45343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45343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45343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45343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45343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45343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45343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45343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45343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45343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45343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45343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45343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45343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45343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45343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45343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45343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45343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45343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45343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45343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45343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45343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45343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45343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45343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45343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45343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45343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45343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45343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45343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45343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45343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45343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45343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45343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45343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45343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45343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45343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45343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45343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45343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45343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45343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45343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45343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45343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45343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45343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45343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45343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45343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45343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45343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45343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45343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45343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45343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45343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45343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45343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45343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45343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45343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45343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45343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45343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45343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45343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45343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45343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45343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45343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45343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45343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45343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45343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45343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45343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45343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45343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45343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45343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45343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45343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45343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45343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45343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45343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45343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45343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45343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45343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45343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45343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45343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45343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45343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45343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45343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45343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45343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45343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45343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45343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45343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45343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45343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45343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45343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45343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45343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45343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45343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45343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45343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45343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45343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45343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45343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45343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45343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45343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45343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45343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45343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45343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45343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45343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45343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45343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45343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45343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45343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45343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45343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45343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45343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45343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45343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45343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45343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45343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45343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45343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45343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45343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45343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45343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45343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45343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45343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45343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45343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45343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45343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45343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45343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45343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45343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45343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45343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45343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45343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45343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45343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45343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45343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45343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45343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45343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45343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45343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45343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45343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45343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45343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45343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45343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45343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45343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45343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45343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45343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45343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45343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45343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45343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45343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45343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45343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45343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45343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45343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45343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45343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45343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45343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45343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45343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45343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45343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45343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45343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45343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45343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45343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45343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45343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45343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45343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45343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45343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45343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45343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45343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45343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45343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45343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45343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45343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45343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45343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45343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45343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45343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45343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45343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45343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45343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45343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45343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45343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45343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45343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45343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45343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45343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45343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45343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45343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45343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45343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45343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45343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45343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45343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45343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45343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45343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45343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45343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45343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45343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45343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45343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45343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45343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45343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45343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45343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45343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45343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45343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45343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45343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45343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45343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45343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45343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45343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45343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45343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45343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45343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45343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45343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45343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45343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45343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45343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45343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45343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45343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45343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45343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45343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45343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45343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45343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45343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45343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45343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45343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45343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45343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45343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45343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45343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45343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45343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45343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45343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45343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45343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45343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45343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45343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45343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45343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45343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45343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45343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45343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45343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45343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45343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45343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45343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45343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45343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45343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45343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45343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45343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45343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45343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45343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45343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45343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45343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45343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45343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45343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45343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45343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45343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45343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45343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45343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45343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45343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45343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45343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45343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45343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45343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45343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45343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45343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45343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45343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45343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45343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45343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45343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45343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45343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45343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45343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45343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45343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45343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45343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45343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45343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45343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45343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45343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45343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45343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45343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45343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45343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45343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45343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45343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45343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45343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45343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45343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45343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45343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45343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45343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45343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45343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45343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45343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45343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45343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45343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45343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45343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45343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45343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45343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45343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45343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45343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45343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45343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45343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45343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45343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45343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45343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45343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45343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45343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45343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45343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45343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45343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45343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45343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45343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45343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45343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45343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45343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45343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45343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45343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45343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45343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45343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45343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45343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45343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45343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45343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45343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45343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45343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45343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45343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45343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45343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45343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45343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45343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45343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45343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45343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45343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45343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45343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45343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45343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45343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45343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45343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45343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45343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45343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45343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45343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45343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45343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45343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45343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45343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45343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45343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45343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45343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45343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45343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45343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45343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45343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45343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45343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45343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45343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45343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45343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45343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45343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45343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45343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45343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45343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45343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45343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45343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45343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45343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45343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45343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45343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45343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45343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45343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45343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45343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45343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45343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45343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45343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45343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45343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45343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45343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45343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45343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45343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45343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45343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45343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45343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45343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45343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45343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45343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45343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45343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45343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45343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45343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45343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45343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45343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45343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45343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45343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45343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45343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45343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45343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45343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45343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45343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45343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45343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45343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45343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45343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45343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45343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45343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45343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45343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45343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45343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45343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45343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45343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45343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45343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45343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45343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45343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45343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45343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45343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45343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45343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45343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45343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45343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45343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45343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45343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45343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45343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45343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45343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45343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45343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45343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45343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45343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45343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45343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45343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45343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45343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45343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45343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45343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45343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45343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45343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45343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45343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45343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45343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45343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45343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45343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45343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45343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45343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45343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45343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45343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45343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45343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45343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45343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45343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45343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45343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45343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45343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45343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45343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45343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45343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45343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45343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45343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45343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45343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45343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45343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45343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45343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45343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45343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45343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45343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45343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45343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45343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45343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45343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45343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45343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45343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45343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45343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45343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45343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45343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45343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45343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45343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45343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45343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45343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45343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45343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45343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45343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45343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45343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45343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45343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45343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45343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45343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45343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45343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45343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45343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45343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45343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45343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45343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45343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45343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45343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45343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45343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45343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45343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2564-2024</t>
        </is>
      </c>
      <c r="B6485" s="1" t="n">
        <v>45313</v>
      </c>
      <c r="C6485" s="1" t="n">
        <v>45343</v>
      </c>
      <c r="D6485" t="inlineStr">
        <is>
          <t>SÖDERMANLANDS LÄN</t>
        </is>
      </c>
      <c r="E6485" t="inlineStr">
        <is>
          <t>FLEN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2511-2024</t>
        </is>
      </c>
      <c r="B6486" s="1" t="n">
        <v>45313</v>
      </c>
      <c r="C6486" s="1" t="n">
        <v>45343</v>
      </c>
      <c r="D6486" t="inlineStr">
        <is>
          <t>SÖDERMANLANDS LÄN</t>
        </is>
      </c>
      <c r="E6486" t="inlineStr">
        <is>
          <t>ESKILSTUNA</t>
        </is>
      </c>
      <c r="F6486" t="inlineStr">
        <is>
          <t>Allmännings- och besparingsskogar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2696-2024</t>
        </is>
      </c>
      <c r="B6487" s="1" t="n">
        <v>45314</v>
      </c>
      <c r="C6487" s="1" t="n">
        <v>45343</v>
      </c>
      <c r="D6487" t="inlineStr">
        <is>
          <t>SÖDERMANLANDS LÄN</t>
        </is>
      </c>
      <c r="E6487" t="inlineStr">
        <is>
          <t>FLEN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2807-2024</t>
        </is>
      </c>
      <c r="B6488" s="1" t="n">
        <v>45314</v>
      </c>
      <c r="C6488" s="1" t="n">
        <v>45343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45343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45343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45343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45343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2930-2024</t>
        </is>
      </c>
      <c r="B6493" s="1" t="n">
        <v>45315</v>
      </c>
      <c r="C6493" s="1" t="n">
        <v>45343</v>
      </c>
      <c r="D6493" t="inlineStr">
        <is>
          <t>SÖDERMANLANDS LÄN</t>
        </is>
      </c>
      <c r="E6493" t="inlineStr">
        <is>
          <t>FLEN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2982-2024</t>
        </is>
      </c>
      <c r="B6494" s="1" t="n">
        <v>45315</v>
      </c>
      <c r="C6494" s="1" t="n">
        <v>45343</v>
      </c>
      <c r="D6494" t="inlineStr">
        <is>
          <t>SÖDERMANLANDS LÄN</t>
        </is>
      </c>
      <c r="E6494" t="inlineStr">
        <is>
          <t>ESKILSTUNA</t>
        </is>
      </c>
      <c r="F6494" t="inlineStr">
        <is>
          <t>Kyrkan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2901-2024</t>
        </is>
      </c>
      <c r="B6495" s="1" t="n">
        <v>45315</v>
      </c>
      <c r="C6495" s="1" t="n">
        <v>45343</v>
      </c>
      <c r="D6495" t="inlineStr">
        <is>
          <t>SÖDERMANLANDS LÄN</t>
        </is>
      </c>
      <c r="E6495" t="inlineStr">
        <is>
          <t>FLEN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2968-2024</t>
        </is>
      </c>
      <c r="B6496" s="1" t="n">
        <v>45315</v>
      </c>
      <c r="C6496" s="1" t="n">
        <v>45343</v>
      </c>
      <c r="D6496" t="inlineStr">
        <is>
          <t>SÖDERMANLANDS LÄN</t>
        </is>
      </c>
      <c r="E6496" t="inlineStr">
        <is>
          <t>FLEN</t>
        </is>
      </c>
      <c r="F6496" t="inlineStr">
        <is>
          <t>Kyrkan</t>
        </is>
      </c>
      <c r="G6496" t="n">
        <v>10.3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2953-2024</t>
        </is>
      </c>
      <c r="B6497" s="1" t="n">
        <v>45315</v>
      </c>
      <c r="C6497" s="1" t="n">
        <v>45343</v>
      </c>
      <c r="D6497" t="inlineStr">
        <is>
          <t>SÖDERMANLANDS LÄN</t>
        </is>
      </c>
      <c r="E6497" t="inlineStr">
        <is>
          <t>GNESTA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3115-2024</t>
        </is>
      </c>
      <c r="B6498" s="1" t="n">
        <v>45316</v>
      </c>
      <c r="C6498" s="1" t="n">
        <v>45343</v>
      </c>
      <c r="D6498" t="inlineStr">
        <is>
          <t>SÖDERMANLANDS LÄN</t>
        </is>
      </c>
      <c r="E6498" t="inlineStr">
        <is>
          <t>KATRINEHOLM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3123-2024</t>
        </is>
      </c>
      <c r="B6499" s="1" t="n">
        <v>45316</v>
      </c>
      <c r="C6499" s="1" t="n">
        <v>45343</v>
      </c>
      <c r="D6499" t="inlineStr">
        <is>
          <t>SÖDERMANLANDS LÄN</t>
        </is>
      </c>
      <c r="E6499" t="inlineStr">
        <is>
          <t>KATRINEHOLM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3139-2024</t>
        </is>
      </c>
      <c r="B6500" s="1" t="n">
        <v>45316</v>
      </c>
      <c r="C6500" s="1" t="n">
        <v>45343</v>
      </c>
      <c r="D6500" t="inlineStr">
        <is>
          <t>SÖDERMANLANDS LÄN</t>
        </is>
      </c>
      <c r="E6500" t="inlineStr">
        <is>
          <t>NYKÖPING</t>
        </is>
      </c>
      <c r="G6500" t="n">
        <v>6.5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45343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3304-2024</t>
        </is>
      </c>
      <c r="B6502" s="1" t="n">
        <v>45317</v>
      </c>
      <c r="C6502" s="1" t="n">
        <v>45343</v>
      </c>
      <c r="D6502" t="inlineStr">
        <is>
          <t>SÖDERMANLANDS LÄN</t>
        </is>
      </c>
      <c r="E6502" t="inlineStr">
        <is>
          <t>VINGÅKER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3310-2024</t>
        </is>
      </c>
      <c r="B6503" s="1" t="n">
        <v>45317</v>
      </c>
      <c r="C6503" s="1" t="n">
        <v>45343</v>
      </c>
      <c r="D6503" t="inlineStr">
        <is>
          <t>SÖDERMANLANDS LÄN</t>
        </is>
      </c>
      <c r="E6503" t="inlineStr">
        <is>
          <t>VINGÅKER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3478-2024</t>
        </is>
      </c>
      <c r="B6504" s="1" t="n">
        <v>45320</v>
      </c>
      <c r="C6504" s="1" t="n">
        <v>45343</v>
      </c>
      <c r="D6504" t="inlineStr">
        <is>
          <t>SÖDERMANLANDS LÄN</t>
        </is>
      </c>
      <c r="E6504" t="inlineStr">
        <is>
          <t>ESKILSTUNA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3568-2024</t>
        </is>
      </c>
      <c r="B6505" s="1" t="n">
        <v>45320</v>
      </c>
      <c r="C6505" s="1" t="n">
        <v>45343</v>
      </c>
      <c r="D6505" t="inlineStr">
        <is>
          <t>SÖDERMANLANDS LÄN</t>
        </is>
      </c>
      <c r="E6505" t="inlineStr">
        <is>
          <t>FLEN</t>
        </is>
      </c>
      <c r="G6505" t="n">
        <v>3.2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3561-2024</t>
        </is>
      </c>
      <c r="B6506" s="1" t="n">
        <v>45320</v>
      </c>
      <c r="C6506" s="1" t="n">
        <v>45343</v>
      </c>
      <c r="D6506" t="inlineStr">
        <is>
          <t>SÖDERMANLANDS LÄN</t>
        </is>
      </c>
      <c r="E6506" t="inlineStr">
        <is>
          <t>GNESTA</t>
        </is>
      </c>
      <c r="G6506" t="n">
        <v>16.5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3671-2024</t>
        </is>
      </c>
      <c r="B6507" s="1" t="n">
        <v>45321</v>
      </c>
      <c r="C6507" s="1" t="n">
        <v>45343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3675-2024</t>
        </is>
      </c>
      <c r="B6508" s="1" t="n">
        <v>45321</v>
      </c>
      <c r="C6508" s="1" t="n">
        <v>45343</v>
      </c>
      <c r="D6508" t="inlineStr">
        <is>
          <t>SÖDERMANLANDS LÄN</t>
        </is>
      </c>
      <c r="E6508" t="inlineStr">
        <is>
          <t>NYKÖPING</t>
        </is>
      </c>
      <c r="F6508" t="inlineStr">
        <is>
          <t>Kyrkan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3683-2024</t>
        </is>
      </c>
      <c r="B6509" s="1" t="n">
        <v>45321</v>
      </c>
      <c r="C6509" s="1" t="n">
        <v>45343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45343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45343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45343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45343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45343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45343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45343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3824-2024</t>
        </is>
      </c>
      <c r="B6517" s="1" t="n">
        <v>45321</v>
      </c>
      <c r="C6517" s="1" t="n">
        <v>45343</v>
      </c>
      <c r="D6517" t="inlineStr">
        <is>
          <t>SÖDERMANLANDS LÄN</t>
        </is>
      </c>
      <c r="E6517" t="inlineStr">
        <is>
          <t>STRÄNGNÄS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3798-2024</t>
        </is>
      </c>
      <c r="B6518" s="1" t="n">
        <v>45321</v>
      </c>
      <c r="C6518" s="1" t="n">
        <v>45343</v>
      </c>
      <c r="D6518" t="inlineStr">
        <is>
          <t>SÖDERMANLANDS LÄN</t>
        </is>
      </c>
      <c r="E6518" t="inlineStr">
        <is>
          <t>FLEN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3869-2024</t>
        </is>
      </c>
      <c r="B6519" s="1" t="n">
        <v>45322</v>
      </c>
      <c r="C6519" s="1" t="n">
        <v>45343</v>
      </c>
      <c r="D6519" t="inlineStr">
        <is>
          <t>SÖDERMANLANDS LÄN</t>
        </is>
      </c>
      <c r="E6519" t="inlineStr">
        <is>
          <t>GNESTA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3926-2024</t>
        </is>
      </c>
      <c r="B6520" s="1" t="n">
        <v>45322</v>
      </c>
      <c r="C6520" s="1" t="n">
        <v>45343</v>
      </c>
      <c r="D6520" t="inlineStr">
        <is>
          <t>SÖDERMANLANDS LÄN</t>
        </is>
      </c>
      <c r="E6520" t="inlineStr">
        <is>
          <t>FLEN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3909-2024</t>
        </is>
      </c>
      <c r="B6521" s="1" t="n">
        <v>45322</v>
      </c>
      <c r="C6521" s="1" t="n">
        <v>45343</v>
      </c>
      <c r="D6521" t="inlineStr">
        <is>
          <t>SÖDERMANLANDS LÄN</t>
        </is>
      </c>
      <c r="E6521" t="inlineStr">
        <is>
          <t>FLEN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3982-2024</t>
        </is>
      </c>
      <c r="B6522" s="1" t="n">
        <v>45322</v>
      </c>
      <c r="C6522" s="1" t="n">
        <v>45343</v>
      </c>
      <c r="D6522" t="inlineStr">
        <is>
          <t>SÖDERMANLANDS LÄN</t>
        </is>
      </c>
      <c r="E6522" t="inlineStr">
        <is>
          <t>KATRINEHOLM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3986-2024</t>
        </is>
      </c>
      <c r="B6523" s="1" t="n">
        <v>45322</v>
      </c>
      <c r="C6523" s="1" t="n">
        <v>45343</v>
      </c>
      <c r="D6523" t="inlineStr">
        <is>
          <t>SÖDERMANLANDS LÄN</t>
        </is>
      </c>
      <c r="E6523" t="inlineStr">
        <is>
          <t>KATRINEHOLM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3848-2024</t>
        </is>
      </c>
      <c r="B6524" s="1" t="n">
        <v>45322</v>
      </c>
      <c r="C6524" s="1" t="n">
        <v>45343</v>
      </c>
      <c r="D6524" t="inlineStr">
        <is>
          <t>SÖDERMANLANDS LÄN</t>
        </is>
      </c>
      <c r="E6524" t="inlineStr">
        <is>
          <t>ESKILSTUNA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3980-2024</t>
        </is>
      </c>
      <c r="B6525" s="1" t="n">
        <v>45322</v>
      </c>
      <c r="C6525" s="1" t="n">
        <v>45343</v>
      </c>
      <c r="D6525" t="inlineStr">
        <is>
          <t>SÖDERMANLANDS LÄN</t>
        </is>
      </c>
      <c r="E6525" t="inlineStr">
        <is>
          <t>KATRINEHOLM</t>
        </is>
      </c>
      <c r="G6525" t="n">
        <v>0.4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4015-2024</t>
        </is>
      </c>
      <c r="B6526" s="1" t="n">
        <v>45323</v>
      </c>
      <c r="C6526" s="1" t="n">
        <v>45343</v>
      </c>
      <c r="D6526" t="inlineStr">
        <is>
          <t>SÖDERMANLANDS LÄN</t>
        </is>
      </c>
      <c r="E6526" t="inlineStr">
        <is>
          <t>FLEN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4037-2024</t>
        </is>
      </c>
      <c r="B6527" s="1" t="n">
        <v>45323</v>
      </c>
      <c r="C6527" s="1" t="n">
        <v>45343</v>
      </c>
      <c r="D6527" t="inlineStr">
        <is>
          <t>SÖDERMANLANDS LÄN</t>
        </is>
      </c>
      <c r="E6527" t="inlineStr">
        <is>
          <t>ESKILSTUNA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4143-2024</t>
        </is>
      </c>
      <c r="B6528" s="1" t="n">
        <v>45323</v>
      </c>
      <c r="C6528" s="1" t="n">
        <v>45343</v>
      </c>
      <c r="D6528" t="inlineStr">
        <is>
          <t>SÖDERMANLANDS LÄN</t>
        </is>
      </c>
      <c r="E6528" t="inlineStr">
        <is>
          <t>FLEN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4147-2024</t>
        </is>
      </c>
      <c r="B6529" s="1" t="n">
        <v>45323</v>
      </c>
      <c r="C6529" s="1" t="n">
        <v>45343</v>
      </c>
      <c r="D6529" t="inlineStr">
        <is>
          <t>SÖDERMANLANDS LÄN</t>
        </is>
      </c>
      <c r="E6529" t="inlineStr">
        <is>
          <t>FLEN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4307-2024</t>
        </is>
      </c>
      <c r="B6530" s="1" t="n">
        <v>45324</v>
      </c>
      <c r="C6530" s="1" t="n">
        <v>45343</v>
      </c>
      <c r="D6530" t="inlineStr">
        <is>
          <t>SÖDERMANLANDS LÄN</t>
        </is>
      </c>
      <c r="E6530" t="inlineStr">
        <is>
          <t>ESKILSTUNA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4305-2024</t>
        </is>
      </c>
      <c r="B6531" s="1" t="n">
        <v>45324</v>
      </c>
      <c r="C6531" s="1" t="n">
        <v>45343</v>
      </c>
      <c r="D6531" t="inlineStr">
        <is>
          <t>SÖDERMANLANDS LÄN</t>
        </is>
      </c>
      <c r="E6531" t="inlineStr">
        <is>
          <t>ESKILSTUNA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45343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4451-2024</t>
        </is>
      </c>
      <c r="B6533" s="1" t="n">
        <v>45327</v>
      </c>
      <c r="C6533" s="1" t="n">
        <v>45343</v>
      </c>
      <c r="D6533" t="inlineStr">
        <is>
          <t>SÖDERMANLANDS LÄN</t>
        </is>
      </c>
      <c r="E6533" t="inlineStr">
        <is>
          <t>FLEN</t>
        </is>
      </c>
      <c r="G6533" t="n">
        <v>5.9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4473-2024</t>
        </is>
      </c>
      <c r="B6534" s="1" t="n">
        <v>45327</v>
      </c>
      <c r="C6534" s="1" t="n">
        <v>45343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Övriga Aktiebolag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4406-2024</t>
        </is>
      </c>
      <c r="B6535" s="1" t="n">
        <v>45327</v>
      </c>
      <c r="C6535" s="1" t="n">
        <v>45343</v>
      </c>
      <c r="D6535" t="inlineStr">
        <is>
          <t>SÖDERMANLANDS LÄN</t>
        </is>
      </c>
      <c r="E6535" t="inlineStr">
        <is>
          <t>NYKÖPING</t>
        </is>
      </c>
      <c r="F6535" t="inlineStr">
        <is>
          <t>Holmen skog AB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4536-2024</t>
        </is>
      </c>
      <c r="B6536" s="1" t="n">
        <v>45327</v>
      </c>
      <c r="C6536" s="1" t="n">
        <v>45343</v>
      </c>
      <c r="D6536" t="inlineStr">
        <is>
          <t>SÖDERMANLANDS LÄN</t>
        </is>
      </c>
      <c r="E6536" t="inlineStr">
        <is>
          <t>FLEN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4645-2024</t>
        </is>
      </c>
      <c r="B6537" s="1" t="n">
        <v>45328</v>
      </c>
      <c r="C6537" s="1" t="n">
        <v>45343</v>
      </c>
      <c r="D6537" t="inlineStr">
        <is>
          <t>SÖDERMANLANDS LÄN</t>
        </is>
      </c>
      <c r="E6537" t="inlineStr">
        <is>
          <t>KATRINEHOLM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4650-2024</t>
        </is>
      </c>
      <c r="B6538" s="1" t="n">
        <v>45328</v>
      </c>
      <c r="C6538" s="1" t="n">
        <v>45343</v>
      </c>
      <c r="D6538" t="inlineStr">
        <is>
          <t>SÖDERMANLANDS LÄN</t>
        </is>
      </c>
      <c r="E6538" t="inlineStr">
        <is>
          <t>KATRINEHOLM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4652-2024</t>
        </is>
      </c>
      <c r="B6539" s="1" t="n">
        <v>45328</v>
      </c>
      <c r="C6539" s="1" t="n">
        <v>45343</v>
      </c>
      <c r="D6539" t="inlineStr">
        <is>
          <t>SÖDERMANLANDS LÄN</t>
        </is>
      </c>
      <c r="E6539" t="inlineStr">
        <is>
          <t>KATRINEHOLM</t>
        </is>
      </c>
      <c r="F6539" t="inlineStr">
        <is>
          <t>Övriga Aktiebolag</t>
        </is>
      </c>
      <c r="G6539" t="n">
        <v>6.1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4667-2024</t>
        </is>
      </c>
      <c r="B6540" s="1" t="n">
        <v>45328</v>
      </c>
      <c r="C6540" s="1" t="n">
        <v>45343</v>
      </c>
      <c r="D6540" t="inlineStr">
        <is>
          <t>SÖDERMANLANDS LÄN</t>
        </is>
      </c>
      <c r="E6540" t="inlineStr">
        <is>
          <t>KATRINEHOLM</t>
        </is>
      </c>
      <c r="F6540" t="inlineStr">
        <is>
          <t>Övriga Aktiebolag</t>
        </is>
      </c>
      <c r="G6540" t="n">
        <v>10.2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45343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4737-2024</t>
        </is>
      </c>
      <c r="B6542" s="1" t="n">
        <v>45328</v>
      </c>
      <c r="C6542" s="1" t="n">
        <v>45343</v>
      </c>
      <c r="D6542" t="inlineStr">
        <is>
          <t>SÖDERMANLANDS LÄN</t>
        </is>
      </c>
      <c r="E6542" t="inlineStr">
        <is>
          <t>NYKÖPING</t>
        </is>
      </c>
      <c r="G6542" t="n">
        <v>7.9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4724-2024</t>
        </is>
      </c>
      <c r="B6543" s="1" t="n">
        <v>45328</v>
      </c>
      <c r="C6543" s="1" t="n">
        <v>45343</v>
      </c>
      <c r="D6543" t="inlineStr">
        <is>
          <t>SÖDERMANLANDS LÄN</t>
        </is>
      </c>
      <c r="E6543" t="inlineStr">
        <is>
          <t>FLEN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4758-2024</t>
        </is>
      </c>
      <c r="B6544" s="1" t="n">
        <v>45328</v>
      </c>
      <c r="C6544" s="1" t="n">
        <v>45343</v>
      </c>
      <c r="D6544" t="inlineStr">
        <is>
          <t>SÖDERMANLANDS LÄN</t>
        </is>
      </c>
      <c r="E6544" t="inlineStr">
        <is>
          <t>NYKÖPING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4778-2024</t>
        </is>
      </c>
      <c r="B6545" s="1" t="n">
        <v>45328</v>
      </c>
      <c r="C6545" s="1" t="n">
        <v>45343</v>
      </c>
      <c r="D6545" t="inlineStr">
        <is>
          <t>SÖDERMANLANDS LÄN</t>
        </is>
      </c>
      <c r="E6545" t="inlineStr">
        <is>
          <t>FLEN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45343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4877-2024</t>
        </is>
      </c>
      <c r="B6547" s="1" t="n">
        <v>45329</v>
      </c>
      <c r="C6547" s="1" t="n">
        <v>45343</v>
      </c>
      <c r="D6547" t="inlineStr">
        <is>
          <t>SÖDERMANLANDS LÄN</t>
        </is>
      </c>
      <c r="E6547" t="inlineStr">
        <is>
          <t>NYKÖPING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4910-2024</t>
        </is>
      </c>
      <c r="B6548" s="1" t="n">
        <v>45329</v>
      </c>
      <c r="C6548" s="1" t="n">
        <v>45343</v>
      </c>
      <c r="D6548" t="inlineStr">
        <is>
          <t>SÖDERMANLANDS LÄN</t>
        </is>
      </c>
      <c r="E6548" t="inlineStr">
        <is>
          <t>NYKÖPING</t>
        </is>
      </c>
      <c r="G6548" t="n">
        <v>3.1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4933-2024</t>
        </is>
      </c>
      <c r="B6549" s="1" t="n">
        <v>45329</v>
      </c>
      <c r="C6549" s="1" t="n">
        <v>45343</v>
      </c>
      <c r="D6549" t="inlineStr">
        <is>
          <t>SÖDERMANLANDS LÄN</t>
        </is>
      </c>
      <c r="E6549" t="inlineStr">
        <is>
          <t>NYKÖPING</t>
        </is>
      </c>
      <c r="G6549" t="n">
        <v>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4967-2024</t>
        </is>
      </c>
      <c r="B6550" s="1" t="n">
        <v>45329</v>
      </c>
      <c r="C6550" s="1" t="n">
        <v>45343</v>
      </c>
      <c r="D6550" t="inlineStr">
        <is>
          <t>SÖDERMANLANDS LÄN</t>
        </is>
      </c>
      <c r="E6550" t="inlineStr">
        <is>
          <t>KATRINEHOLM</t>
        </is>
      </c>
      <c r="G6550" t="n">
        <v>6.2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4978-2024</t>
        </is>
      </c>
      <c r="B6551" s="1" t="n">
        <v>45329</v>
      </c>
      <c r="C6551" s="1" t="n">
        <v>45343</v>
      </c>
      <c r="D6551" t="inlineStr">
        <is>
          <t>SÖDERMANLANDS LÄN</t>
        </is>
      </c>
      <c r="E6551" t="inlineStr">
        <is>
          <t>TROSA</t>
        </is>
      </c>
      <c r="G6551" t="n">
        <v>3.3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5029-2024</t>
        </is>
      </c>
      <c r="B6552" s="1" t="n">
        <v>45329</v>
      </c>
      <c r="C6552" s="1" t="n">
        <v>45343</v>
      </c>
      <c r="D6552" t="inlineStr">
        <is>
          <t>SÖDERMANLANDS LÄN</t>
        </is>
      </c>
      <c r="E6552" t="inlineStr">
        <is>
          <t>KATRINEHOLM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5041-2024</t>
        </is>
      </c>
      <c r="B6553" s="1" t="n">
        <v>45329</v>
      </c>
      <c r="C6553" s="1" t="n">
        <v>45343</v>
      </c>
      <c r="D6553" t="inlineStr">
        <is>
          <t>SÖDERMANLANDS LÄN</t>
        </is>
      </c>
      <c r="E6553" t="inlineStr">
        <is>
          <t>ESKILSTUNA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4872-2024</t>
        </is>
      </c>
      <c r="B6554" s="1" t="n">
        <v>45329</v>
      </c>
      <c r="C6554" s="1" t="n">
        <v>45343</v>
      </c>
      <c r="D6554" t="inlineStr">
        <is>
          <t>SÖDERMANLANDS LÄN</t>
        </is>
      </c>
      <c r="E6554" t="inlineStr">
        <is>
          <t>KATRINEHOLM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4885-2024</t>
        </is>
      </c>
      <c r="B6555" s="1" t="n">
        <v>45329</v>
      </c>
      <c r="C6555" s="1" t="n">
        <v>45343</v>
      </c>
      <c r="D6555" t="inlineStr">
        <is>
          <t>SÖDERMANLANDS LÄN</t>
        </is>
      </c>
      <c r="E6555" t="inlineStr">
        <is>
          <t>NYKÖPING</t>
        </is>
      </c>
      <c r="G6555" t="n">
        <v>4.2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4917-2024</t>
        </is>
      </c>
      <c r="B6556" s="1" t="n">
        <v>45329</v>
      </c>
      <c r="C6556" s="1" t="n">
        <v>45343</v>
      </c>
      <c r="D6556" t="inlineStr">
        <is>
          <t>SÖDERMANLANDS LÄN</t>
        </is>
      </c>
      <c r="E6556" t="inlineStr">
        <is>
          <t>NYKÖPING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45343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4987-2024</t>
        </is>
      </c>
      <c r="B6558" s="1" t="n">
        <v>45329</v>
      </c>
      <c r="C6558" s="1" t="n">
        <v>45343</v>
      </c>
      <c r="D6558" t="inlineStr">
        <is>
          <t>SÖDERMANLANDS LÄN</t>
        </is>
      </c>
      <c r="E6558" t="inlineStr">
        <is>
          <t>KATRINEHOLM</t>
        </is>
      </c>
      <c r="F6558" t="inlineStr">
        <is>
          <t>Allmännings- och besparingsskogar</t>
        </is>
      </c>
      <c r="G6558" t="n">
        <v>4.3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5032-2024</t>
        </is>
      </c>
      <c r="B6559" s="1" t="n">
        <v>45329</v>
      </c>
      <c r="C6559" s="1" t="n">
        <v>45343</v>
      </c>
      <c r="D6559" t="inlineStr">
        <is>
          <t>SÖDERMANLANDS LÄN</t>
        </is>
      </c>
      <c r="E6559" t="inlineStr">
        <is>
          <t>KATRINEHOLM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5044-2024</t>
        </is>
      </c>
      <c r="B6560" s="1" t="n">
        <v>45329</v>
      </c>
      <c r="C6560" s="1" t="n">
        <v>45343</v>
      </c>
      <c r="D6560" t="inlineStr">
        <is>
          <t>SÖDERMANLANDS LÄN</t>
        </is>
      </c>
      <c r="E6560" t="inlineStr">
        <is>
          <t>ESKILSTUNA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45343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4977-2024</t>
        </is>
      </c>
      <c r="B6562" s="1" t="n">
        <v>45329</v>
      </c>
      <c r="C6562" s="1" t="n">
        <v>45343</v>
      </c>
      <c r="D6562" t="inlineStr">
        <is>
          <t>SÖDERMANLANDS LÄN</t>
        </is>
      </c>
      <c r="E6562" t="inlineStr">
        <is>
          <t>ESKILSTUNA</t>
        </is>
      </c>
      <c r="F6562" t="inlineStr">
        <is>
          <t>Kyrkan</t>
        </is>
      </c>
      <c r="G6562" t="n">
        <v>12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5160-2024</t>
        </is>
      </c>
      <c r="B6563" s="1" t="n">
        <v>45330</v>
      </c>
      <c r="C6563" s="1" t="n">
        <v>45343</v>
      </c>
      <c r="D6563" t="inlineStr">
        <is>
          <t>SÖDERMANLANDS LÄN</t>
        </is>
      </c>
      <c r="E6563" t="inlineStr">
        <is>
          <t>FLEN</t>
        </is>
      </c>
      <c r="F6563" t="inlineStr">
        <is>
          <t>Övriga statliga verk och myndigheter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5194-2024</t>
        </is>
      </c>
      <c r="B6564" s="1" t="n">
        <v>45330</v>
      </c>
      <c r="C6564" s="1" t="n">
        <v>45343</v>
      </c>
      <c r="D6564" t="inlineStr">
        <is>
          <t>SÖDERMANLANDS LÄN</t>
        </is>
      </c>
      <c r="E6564" t="inlineStr">
        <is>
          <t>FLEN</t>
        </is>
      </c>
      <c r="F6564" t="inlineStr">
        <is>
          <t>Övriga statliga verk och myndigheter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5312-2024</t>
        </is>
      </c>
      <c r="B6565" s="1" t="n">
        <v>45330</v>
      </c>
      <c r="C6565" s="1" t="n">
        <v>45343</v>
      </c>
      <c r="D6565" t="inlineStr">
        <is>
          <t>SÖDERMANLANDS LÄN</t>
        </is>
      </c>
      <c r="E6565" t="inlineStr">
        <is>
          <t>NYKÖPING</t>
        </is>
      </c>
      <c r="G6565" t="n">
        <v>10.9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5306-2024</t>
        </is>
      </c>
      <c r="B6566" s="1" t="n">
        <v>45330</v>
      </c>
      <c r="C6566" s="1" t="n">
        <v>45343</v>
      </c>
      <c r="D6566" t="inlineStr">
        <is>
          <t>SÖDERMANLANDS LÄN</t>
        </is>
      </c>
      <c r="E6566" t="inlineStr">
        <is>
          <t>NYKÖPING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45343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5590-2024</t>
        </is>
      </c>
      <c r="B6568" s="1" t="n">
        <v>45332</v>
      </c>
      <c r="C6568" s="1" t="n">
        <v>45343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5591-2024</t>
        </is>
      </c>
      <c r="B6569" s="1" t="n">
        <v>45332</v>
      </c>
      <c r="C6569" s="1" t="n">
        <v>45343</v>
      </c>
      <c r="D6569" t="inlineStr">
        <is>
          <t>SÖDERMANLANDS LÄN</t>
        </is>
      </c>
      <c r="E6569" t="inlineStr">
        <is>
          <t>NYKÖPING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5555-2024</t>
        </is>
      </c>
      <c r="B6570" s="1" t="n">
        <v>45334</v>
      </c>
      <c r="C6570" s="1" t="n">
        <v>45343</v>
      </c>
      <c r="D6570" t="inlineStr">
        <is>
          <t>SÖDERMANLANDS LÄN</t>
        </is>
      </c>
      <c r="E6570" t="inlineStr">
        <is>
          <t>GNESTA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5641-2024</t>
        </is>
      </c>
      <c r="B6571" s="1" t="n">
        <v>45334</v>
      </c>
      <c r="C6571" s="1" t="n">
        <v>45343</v>
      </c>
      <c r="D6571" t="inlineStr">
        <is>
          <t>SÖDERMANLANDS LÄN</t>
        </is>
      </c>
      <c r="E6571" t="inlineStr">
        <is>
          <t>KATRINEHOLM</t>
        </is>
      </c>
      <c r="G6571" t="n">
        <v>6.5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5493-2024</t>
        </is>
      </c>
      <c r="B6572" s="1" t="n">
        <v>45334</v>
      </c>
      <c r="C6572" s="1" t="n">
        <v>45343</v>
      </c>
      <c r="D6572" t="inlineStr">
        <is>
          <t>SÖDERMANLANDS LÄN</t>
        </is>
      </c>
      <c r="E6572" t="inlineStr">
        <is>
          <t>KATRINEHOLM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5694-2024</t>
        </is>
      </c>
      <c r="B6573" s="1" t="n">
        <v>45334</v>
      </c>
      <c r="C6573" s="1" t="n">
        <v>45343</v>
      </c>
      <c r="D6573" t="inlineStr">
        <is>
          <t>SÖDERMANLANDS LÄN</t>
        </is>
      </c>
      <c r="E6573" t="inlineStr">
        <is>
          <t>ESKILSTUNA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5695-2024</t>
        </is>
      </c>
      <c r="B6574" s="1" t="n">
        <v>45334</v>
      </c>
      <c r="C6574" s="1" t="n">
        <v>45343</v>
      </c>
      <c r="D6574" t="inlineStr">
        <is>
          <t>SÖDERMANLANDS LÄN</t>
        </is>
      </c>
      <c r="E6574" t="inlineStr">
        <is>
          <t>ESKILSTUNA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5757-2024</t>
        </is>
      </c>
      <c r="B6575" s="1" t="n">
        <v>45335</v>
      </c>
      <c r="C6575" s="1" t="n">
        <v>45343</v>
      </c>
      <c r="D6575" t="inlineStr">
        <is>
          <t>SÖDERMANLANDS LÄN</t>
        </is>
      </c>
      <c r="E6575" t="inlineStr">
        <is>
          <t>ESKILSTUNA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5827-2024</t>
        </is>
      </c>
      <c r="B6576" s="1" t="n">
        <v>45335</v>
      </c>
      <c r="C6576" s="1" t="n">
        <v>45343</v>
      </c>
      <c r="D6576" t="inlineStr">
        <is>
          <t>SÖDERMANLANDS LÄN</t>
        </is>
      </c>
      <c r="E6576" t="inlineStr">
        <is>
          <t>ESKILSTUNA</t>
        </is>
      </c>
      <c r="G6576" t="n">
        <v>3.5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5835-2024</t>
        </is>
      </c>
      <c r="B6577" s="1" t="n">
        <v>45335</v>
      </c>
      <c r="C6577" s="1" t="n">
        <v>45343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Holmen skog AB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5866-2024</t>
        </is>
      </c>
      <c r="B6578" s="1" t="n">
        <v>45335</v>
      </c>
      <c r="C6578" s="1" t="n">
        <v>45343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5857-2024</t>
        </is>
      </c>
      <c r="B6579" s="1" t="n">
        <v>45335</v>
      </c>
      <c r="C6579" s="1" t="n">
        <v>45343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5865-2024</t>
        </is>
      </c>
      <c r="B6580" s="1" t="n">
        <v>45335</v>
      </c>
      <c r="C6580" s="1" t="n">
        <v>45343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5869-2024</t>
        </is>
      </c>
      <c r="B6581" s="1" t="n">
        <v>45335</v>
      </c>
      <c r="C6581" s="1" t="n">
        <v>45343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5868-2024</t>
        </is>
      </c>
      <c r="B6582" s="1" t="n">
        <v>45335</v>
      </c>
      <c r="C6582" s="1" t="n">
        <v>45343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45343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6104-2024</t>
        </is>
      </c>
      <c r="B6584" s="1" t="n">
        <v>45337</v>
      </c>
      <c r="C6584" s="1" t="n">
        <v>45343</v>
      </c>
      <c r="D6584" t="inlineStr">
        <is>
          <t>SÖDERMANLANDS LÄN</t>
        </is>
      </c>
      <c r="E6584" t="inlineStr">
        <is>
          <t>FLEN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6219-2024</t>
        </is>
      </c>
      <c r="B6585" s="1" t="n">
        <v>45337</v>
      </c>
      <c r="C6585" s="1" t="n">
        <v>45343</v>
      </c>
      <c r="D6585" t="inlineStr">
        <is>
          <t>SÖDERMANLANDS LÄN</t>
        </is>
      </c>
      <c r="E6585" t="inlineStr">
        <is>
          <t>GNESTA</t>
        </is>
      </c>
      <c r="G6585" t="n">
        <v>5.5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6109-2024</t>
        </is>
      </c>
      <c r="B6586" s="1" t="n">
        <v>45337</v>
      </c>
      <c r="C6586" s="1" t="n">
        <v>45343</v>
      </c>
      <c r="D6586" t="inlineStr">
        <is>
          <t>SÖDERMANLANDS LÄN</t>
        </is>
      </c>
      <c r="E6586" t="inlineStr">
        <is>
          <t>FLEN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6228-2024</t>
        </is>
      </c>
      <c r="B6587" s="1" t="n">
        <v>45337</v>
      </c>
      <c r="C6587" s="1" t="n">
        <v>45343</v>
      </c>
      <c r="D6587" t="inlineStr">
        <is>
          <t>SÖDERMANLANDS LÄN</t>
        </is>
      </c>
      <c r="E6587" t="inlineStr">
        <is>
          <t>GNESTA</t>
        </is>
      </c>
      <c r="G6587" t="n">
        <v>10.4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6298-2024</t>
        </is>
      </c>
      <c r="B6588" s="1" t="n">
        <v>45338</v>
      </c>
      <c r="C6588" s="1" t="n">
        <v>45343</v>
      </c>
      <c r="D6588" t="inlineStr">
        <is>
          <t>SÖDERMANLANDS LÄN</t>
        </is>
      </c>
      <c r="E6588" t="inlineStr">
        <is>
          <t>KATRINEHOLM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6427-2024</t>
        </is>
      </c>
      <c r="B6589" s="1" t="n">
        <v>45338</v>
      </c>
      <c r="C6589" s="1" t="n">
        <v>45343</v>
      </c>
      <c r="D6589" t="inlineStr">
        <is>
          <t>SÖDERMANLANDS LÄN</t>
        </is>
      </c>
      <c r="E6589" t="inlineStr">
        <is>
          <t>NYKÖPING</t>
        </is>
      </c>
      <c r="F6589" t="inlineStr">
        <is>
          <t>Holmen skog AB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6522-2024</t>
        </is>
      </c>
      <c r="B6590" s="1" t="n">
        <v>45341</v>
      </c>
      <c r="C6590" s="1" t="n">
        <v>45343</v>
      </c>
      <c r="D6590" t="inlineStr">
        <is>
          <t>SÖDERMANLANDS LÄN</t>
        </is>
      </c>
      <c r="E6590" t="inlineStr">
        <is>
          <t>GNESTA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6536-2024</t>
        </is>
      </c>
      <c r="B6591" s="1" t="n">
        <v>45341</v>
      </c>
      <c r="C6591" s="1" t="n">
        <v>45343</v>
      </c>
      <c r="D6591" t="inlineStr">
        <is>
          <t>SÖDERMANLANDS LÄN</t>
        </is>
      </c>
      <c r="E6591" t="inlineStr">
        <is>
          <t>GNESTA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6519-2024</t>
        </is>
      </c>
      <c r="B6592" s="1" t="n">
        <v>45341</v>
      </c>
      <c r="C6592" s="1" t="n">
        <v>45343</v>
      </c>
      <c r="D6592" t="inlineStr">
        <is>
          <t>SÖDERMANLANDS LÄN</t>
        </is>
      </c>
      <c r="E6592" t="inlineStr">
        <is>
          <t>GNESTA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6558-2024</t>
        </is>
      </c>
      <c r="B6593" s="1" t="n">
        <v>45341</v>
      </c>
      <c r="C6593" s="1" t="n">
        <v>45343</v>
      </c>
      <c r="D6593" t="inlineStr">
        <is>
          <t>SÖDERMANLANDS LÄN</t>
        </is>
      </c>
      <c r="E6593" t="inlineStr">
        <is>
          <t>ESKILSTUNA</t>
        </is>
      </c>
      <c r="G6593" t="n">
        <v>12.6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6562-2024</t>
        </is>
      </c>
      <c r="B6594" s="1" t="n">
        <v>45341</v>
      </c>
      <c r="C6594" s="1" t="n">
        <v>45343</v>
      </c>
      <c r="D6594" t="inlineStr">
        <is>
          <t>SÖDERMANLANDS LÄN</t>
        </is>
      </c>
      <c r="E6594" t="inlineStr">
        <is>
          <t>ESKILSTUNA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6598-2024</t>
        </is>
      </c>
      <c r="B6595" s="1" t="n">
        <v>45341</v>
      </c>
      <c r="C6595" s="1" t="n">
        <v>45343</v>
      </c>
      <c r="D6595" t="inlineStr">
        <is>
          <t>SÖDERMANLANDS LÄN</t>
        </is>
      </c>
      <c r="E6595" t="inlineStr">
        <is>
          <t>ESKILSTUNA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6520-2024</t>
        </is>
      </c>
      <c r="B6596" s="1" t="n">
        <v>45341</v>
      </c>
      <c r="C6596" s="1" t="n">
        <v>45343</v>
      </c>
      <c r="D6596" t="inlineStr">
        <is>
          <t>SÖDERMANLANDS LÄN</t>
        </is>
      </c>
      <c r="E6596" t="inlineStr">
        <is>
          <t>GNESTA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6530-2024</t>
        </is>
      </c>
      <c r="B6597" s="1" t="n">
        <v>45341</v>
      </c>
      <c r="C6597" s="1" t="n">
        <v>45343</v>
      </c>
      <c r="D6597" t="inlineStr">
        <is>
          <t>SÖDERMANLANDS LÄN</t>
        </is>
      </c>
      <c r="E6597" t="inlineStr">
        <is>
          <t>FLEN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6521-2024</t>
        </is>
      </c>
      <c r="B6598" s="1" t="n">
        <v>45341</v>
      </c>
      <c r="C6598" s="1" t="n">
        <v>45343</v>
      </c>
      <c r="D6598" t="inlineStr">
        <is>
          <t>SÖDERMANLANDS LÄN</t>
        </is>
      </c>
      <c r="E6598" t="inlineStr">
        <is>
          <t>GNESTA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45343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6713-2024</t>
        </is>
      </c>
      <c r="B6600" s="1" t="n">
        <v>45342</v>
      </c>
      <c r="C6600" s="1" t="n">
        <v>45343</v>
      </c>
      <c r="D6600" t="inlineStr">
        <is>
          <t>SÖDERMANLANDS LÄN</t>
        </is>
      </c>
      <c r="E6600" t="inlineStr">
        <is>
          <t>NYKÖPING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6714-2024</t>
        </is>
      </c>
      <c r="B6601" s="1" t="n">
        <v>45342</v>
      </c>
      <c r="C6601" s="1" t="n">
        <v>45343</v>
      </c>
      <c r="D6601" t="inlineStr">
        <is>
          <t>SÖDERMANLANDS LÄN</t>
        </is>
      </c>
      <c r="E6601" t="inlineStr">
        <is>
          <t>NYKÖPING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6712-2024</t>
        </is>
      </c>
      <c r="B6602" s="1" t="n">
        <v>45342</v>
      </c>
      <c r="C6602" s="1" t="n">
        <v>45343</v>
      </c>
      <c r="D6602" t="inlineStr">
        <is>
          <t>SÖDERMANLANDS LÄN</t>
        </is>
      </c>
      <c r="E6602" t="inlineStr">
        <is>
          <t>NYKÖPING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>
      <c r="A6603" t="inlineStr">
        <is>
          <t>A 6711-2024</t>
        </is>
      </c>
      <c r="B6603" s="1" t="n">
        <v>45342</v>
      </c>
      <c r="C6603" s="1" t="n">
        <v>45343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2024-02-21T07:02:47Z</dcterms:created>
  <dcterms:modified xmlns:dcterms="http://purl.org/dc/terms/" xmlns:xsi="http://www.w3.org/2001/XMLSchema-instance" xsi:type="dcterms:W3CDTF">2024-02-21T07:02:53Z</dcterms:modified>
</cp:coreProperties>
</file>