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45732</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45732</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45732</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45732</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45732</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45732</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45732</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45732</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45732</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45732</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45732</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45732</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45732</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45732</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45732</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45732</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45732</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45732</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45732</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45732</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45732</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45732</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45732</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45732</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45732</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45732</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45732</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45732</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8757-2023</t>
        </is>
      </c>
      <c r="B31" s="1" t="n">
        <v>44978</v>
      </c>
      <c r="C31" s="1" t="n">
        <v>45732</v>
      </c>
      <c r="D31" t="inlineStr">
        <is>
          <t>SÖDERMANLANDS LÄN</t>
        </is>
      </c>
      <c r="E31" t="inlineStr">
        <is>
          <t>ESKILSTUNA</t>
        </is>
      </c>
      <c r="F31" t="inlineStr">
        <is>
          <t>Övriga Aktiebolag</t>
        </is>
      </c>
      <c r="G31" t="n">
        <v>6.8</v>
      </c>
      <c r="H31" t="n">
        <v>9</v>
      </c>
      <c r="I31" t="n">
        <v>1</v>
      </c>
      <c r="J31" t="n">
        <v>4</v>
      </c>
      <c r="K31" t="n">
        <v>0</v>
      </c>
      <c r="L31" t="n">
        <v>1</v>
      </c>
      <c r="M31" t="n">
        <v>0</v>
      </c>
      <c r="N31" t="n">
        <v>0</v>
      </c>
      <c r="O31" t="n">
        <v>5</v>
      </c>
      <c r="P31" t="n">
        <v>1</v>
      </c>
      <c r="Q31" t="n">
        <v>10</v>
      </c>
      <c r="R31" s="2" t="inlineStr">
        <is>
          <t>Grönfink
Björktrast
Entita
Spillkråka
Talltita
Mindre märgborre
Gröngöling
Grönsiska
Kungsfågel
Trana</t>
        </is>
      </c>
      <c r="S31">
        <f>HYPERLINK("https://klasma.github.io/Logging_0484/artfynd/A 8757-2023 artfynd.xlsx", "A 8757-2023")</f>
        <v/>
      </c>
      <c r="T31">
        <f>HYPERLINK("https://klasma.github.io/Logging_0484/kartor/A 8757-2023 karta.png", "A 8757-2023")</f>
        <v/>
      </c>
      <c r="U31">
        <f>HYPERLINK("https://klasma.github.io/Logging_0484/knärot/A 8757-2023 karta knärot.png", "A 8757-2023")</f>
        <v/>
      </c>
      <c r="V31">
        <f>HYPERLINK("https://klasma.github.io/Logging_0484/klagomål/A 8757-2023 FSC-klagomål.docx", "A 8757-2023")</f>
        <v/>
      </c>
      <c r="W31">
        <f>HYPERLINK("https://klasma.github.io/Logging_0484/klagomålsmail/A 8757-2023 FSC-klagomål mail.docx", "A 8757-2023")</f>
        <v/>
      </c>
      <c r="X31">
        <f>HYPERLINK("https://klasma.github.io/Logging_0484/tillsyn/A 8757-2023 tillsynsbegäran.docx", "A 8757-2023")</f>
        <v/>
      </c>
      <c r="Y31">
        <f>HYPERLINK("https://klasma.github.io/Logging_0484/tillsynsmail/A 8757-2023 tillsynsbegäran mail.docx", "A 8757-2023")</f>
        <v/>
      </c>
      <c r="Z31">
        <f>HYPERLINK("https://klasma.github.io/Logging_0484/fåglar/A 8757-2023 prioriterade fågelarter.docx", "A 8757-2023")</f>
        <v/>
      </c>
    </row>
    <row r="32" ht="15" customHeight="1">
      <c r="A32" t="inlineStr">
        <is>
          <t>A 38251-2023</t>
        </is>
      </c>
      <c r="B32" s="1" t="n">
        <v>45160</v>
      </c>
      <c r="C32" s="1" t="n">
        <v>45732</v>
      </c>
      <c r="D32" t="inlineStr">
        <is>
          <t>SÖDERMANLANDS LÄN</t>
        </is>
      </c>
      <c r="E32" t="inlineStr">
        <is>
          <t>STRÄNGNÄS</t>
        </is>
      </c>
      <c r="G32" t="n">
        <v>14.7</v>
      </c>
      <c r="H32" t="n">
        <v>3</v>
      </c>
      <c r="I32" t="n">
        <v>6</v>
      </c>
      <c r="J32" t="n">
        <v>2</v>
      </c>
      <c r="K32" t="n">
        <v>1</v>
      </c>
      <c r="L32" t="n">
        <v>0</v>
      </c>
      <c r="M32" t="n">
        <v>0</v>
      </c>
      <c r="N32" t="n">
        <v>0</v>
      </c>
      <c r="O32" t="n">
        <v>3</v>
      </c>
      <c r="P32" t="n">
        <v>1</v>
      </c>
      <c r="Q32" t="n">
        <v>10</v>
      </c>
      <c r="R32" s="2" t="inlineStr">
        <is>
          <t>Vågticka
Spillkråka
Talltita
Brandticka
Bronshjon
Fransig jordstjärna
Hasselticka
Mindre märgborre
Trådticka
Blåsippa</t>
        </is>
      </c>
      <c r="S32">
        <f>HYPERLINK("https://klasma.github.io/Logging_0486/artfynd/A 38251-2023 artfynd.xlsx", "A 38251-2023")</f>
        <v/>
      </c>
      <c r="T32">
        <f>HYPERLINK("https://klasma.github.io/Logging_0486/kartor/A 38251-2023 karta.png", "A 38251-2023")</f>
        <v/>
      </c>
      <c r="V32">
        <f>HYPERLINK("https://klasma.github.io/Logging_0486/klagomål/A 38251-2023 FSC-klagomål.docx", "A 38251-2023")</f>
        <v/>
      </c>
      <c r="W32">
        <f>HYPERLINK("https://klasma.github.io/Logging_0486/klagomålsmail/A 38251-2023 FSC-klagomål mail.docx", "A 38251-2023")</f>
        <v/>
      </c>
      <c r="X32">
        <f>HYPERLINK("https://klasma.github.io/Logging_0486/tillsyn/A 38251-2023 tillsynsbegäran.docx", "A 38251-2023")</f>
        <v/>
      </c>
      <c r="Y32">
        <f>HYPERLINK("https://klasma.github.io/Logging_0486/tillsynsmail/A 38251-2023 tillsynsbegäran mail.docx", "A 38251-2023")</f>
        <v/>
      </c>
      <c r="Z32">
        <f>HYPERLINK("https://klasma.github.io/Logging_0486/fåglar/A 38251-2023 prioriterade fågelarter.docx", "A 38251-2023")</f>
        <v/>
      </c>
    </row>
    <row r="33" ht="15" customHeight="1">
      <c r="A33" t="inlineStr">
        <is>
          <t>A 30095-2021</t>
        </is>
      </c>
      <c r="B33" s="1" t="n">
        <v>44363</v>
      </c>
      <c r="C33" s="1" t="n">
        <v>45732</v>
      </c>
      <c r="D33" t="inlineStr">
        <is>
          <t>SÖDERMANLANDS LÄN</t>
        </is>
      </c>
      <c r="E33" t="inlineStr">
        <is>
          <t>FLEN</t>
        </is>
      </c>
      <c r="G33" t="n">
        <v>8.4</v>
      </c>
      <c r="H33" t="n">
        <v>1</v>
      </c>
      <c r="I33" t="n">
        <v>5</v>
      </c>
      <c r="J33" t="n">
        <v>3</v>
      </c>
      <c r="K33" t="n">
        <v>1</v>
      </c>
      <c r="L33" t="n">
        <v>0</v>
      </c>
      <c r="M33" t="n">
        <v>0</v>
      </c>
      <c r="N33" t="n">
        <v>0</v>
      </c>
      <c r="O33" t="n">
        <v>4</v>
      </c>
      <c r="P33" t="n">
        <v>1</v>
      </c>
      <c r="Q33" t="n">
        <v>9</v>
      </c>
      <c r="R33" s="2" t="inlineStr">
        <is>
          <t>Grangråticka
Grantaggsvamp
Orange taggsvamp
Svedjenäva
Blanksvart trämyra
Fjällig taggsvamp s.str.
Grön sköldmossa
Grönpyrola
Skarp dropptaggsvamp</t>
        </is>
      </c>
      <c r="S33">
        <f>HYPERLINK("https://klasma.github.io/Logging_0482/artfynd/A 30095-2021 artfynd.xlsx", "A 30095-2021")</f>
        <v/>
      </c>
      <c r="T33">
        <f>HYPERLINK("https://klasma.github.io/Logging_0482/kartor/A 30095-2021 karta.png", "A 30095-2021")</f>
        <v/>
      </c>
      <c r="V33">
        <f>HYPERLINK("https://klasma.github.io/Logging_0482/klagomål/A 30095-2021 FSC-klagomål.docx", "A 30095-2021")</f>
        <v/>
      </c>
      <c r="W33">
        <f>HYPERLINK("https://klasma.github.io/Logging_0482/klagomålsmail/A 30095-2021 FSC-klagomål mail.docx", "A 30095-2021")</f>
        <v/>
      </c>
      <c r="X33">
        <f>HYPERLINK("https://klasma.github.io/Logging_0482/tillsyn/A 30095-2021 tillsynsbegäran.docx", "A 30095-2021")</f>
        <v/>
      </c>
      <c r="Y33">
        <f>HYPERLINK("https://klasma.github.io/Logging_0482/tillsynsmail/A 30095-2021 tillsynsbegäran mail.docx", "A 30095-2021")</f>
        <v/>
      </c>
    </row>
    <row r="34" ht="15" customHeight="1">
      <c r="A34" t="inlineStr">
        <is>
          <t>A 71887-2021</t>
        </is>
      </c>
      <c r="B34" s="1" t="n">
        <v>44543</v>
      </c>
      <c r="C34" s="1" t="n">
        <v>45732</v>
      </c>
      <c r="D34" t="inlineStr">
        <is>
          <t>SÖDERMANLANDS LÄN</t>
        </is>
      </c>
      <c r="E34" t="inlineStr">
        <is>
          <t>NYKÖPING</t>
        </is>
      </c>
      <c r="G34" t="n">
        <v>4.2</v>
      </c>
      <c r="H34" t="n">
        <v>2</v>
      </c>
      <c r="I34" t="n">
        <v>5</v>
      </c>
      <c r="J34" t="n">
        <v>2</v>
      </c>
      <c r="K34" t="n">
        <v>0</v>
      </c>
      <c r="L34" t="n">
        <v>0</v>
      </c>
      <c r="M34" t="n">
        <v>0</v>
      </c>
      <c r="N34" t="n">
        <v>0</v>
      </c>
      <c r="O34" t="n">
        <v>2</v>
      </c>
      <c r="P34" t="n">
        <v>0</v>
      </c>
      <c r="Q34" t="n">
        <v>9</v>
      </c>
      <c r="R34" s="2" t="inlineStr">
        <is>
          <t>Granticka
Kandelabersvamp
Granbarkgnagare
Jättesvampmal
Stubbspretmossa
Trådticka
Vågbandad barkbock
Blåsippa
Gullviva</t>
        </is>
      </c>
      <c r="S34">
        <f>HYPERLINK("https://klasma.github.io/Logging_0480/artfynd/A 71887-2021 artfynd.xlsx", "A 71887-2021")</f>
        <v/>
      </c>
      <c r="T34">
        <f>HYPERLINK("https://klasma.github.io/Logging_0480/kartor/A 71887-2021 karta.png", "A 71887-2021")</f>
        <v/>
      </c>
      <c r="V34">
        <f>HYPERLINK("https://klasma.github.io/Logging_0480/klagomål/A 71887-2021 FSC-klagomål.docx", "A 71887-2021")</f>
        <v/>
      </c>
      <c r="W34">
        <f>HYPERLINK("https://klasma.github.io/Logging_0480/klagomålsmail/A 71887-2021 FSC-klagomål mail.docx", "A 71887-2021")</f>
        <v/>
      </c>
      <c r="X34">
        <f>HYPERLINK("https://klasma.github.io/Logging_0480/tillsyn/A 71887-2021 tillsynsbegäran.docx", "A 71887-2021")</f>
        <v/>
      </c>
      <c r="Y34">
        <f>HYPERLINK("https://klasma.github.io/Logging_0480/tillsynsmail/A 71887-2021 tillsynsbegäran mail.docx", "A 71887-2021")</f>
        <v/>
      </c>
    </row>
    <row r="35" ht="15" customHeight="1">
      <c r="A35" t="inlineStr">
        <is>
          <t>A 12018-2023</t>
        </is>
      </c>
      <c r="B35" s="1" t="n">
        <v>44995</v>
      </c>
      <c r="C35" s="1" t="n">
        <v>45732</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45732</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45732</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45732</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45732</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45732</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45732</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45732</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45732</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45732</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45732</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45732</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45732</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45732</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45732</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45732</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45732</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45732</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45732</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45732</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45732</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45732</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45732</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45732</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45732</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45732</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45732</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45732</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45732</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45732</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45732</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45732</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45732</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45732</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45732</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45732</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45732</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45732</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45732</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45732</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45732</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45732</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45732</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45732</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45732</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45732</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45732</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45732</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45732</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45732</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45732</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45732</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45732</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45732</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45732</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45732</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45732</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45732</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45732</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45732</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45732</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45732</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45732</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45732</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45732</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45732</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45732</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45732</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45732</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45732</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45732</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45732</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45732</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45732</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45732</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45732</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45732</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45732</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45732</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45732</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45732</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45732</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45732</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45732</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45732</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45732</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45732</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45732</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45732</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45732</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45732</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45732</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45732</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45732</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45732</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45732</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45732</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45732</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45732</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45732</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45732</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45732</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45732</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45732</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45732</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45732</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45732</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45732</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45732</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45732</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45732</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45732</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45732</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45732</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45732</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45732</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45732</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45732</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45732</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45732</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45732</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45732</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45732</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45732</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45732</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45732</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45732</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45732</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45732</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45732</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45732</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45732</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45732</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45732</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45732</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45732</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45732</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45732</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45732</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45732</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45732</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45732</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45732</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45732</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45732</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45732</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45732</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45732</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45732</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45732</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45732</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45732</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45732</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45732</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45732</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45732</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45732</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45732</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45732</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45732</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45732</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45732</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45732</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45732</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45732</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45732</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45732</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45732</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45732</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45732</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45732</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45732</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45732</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45732</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45732</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45732</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45732</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45732</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45732</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45732</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45732</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45732</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45732</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45732</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45732</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45732</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45732</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45732</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45732</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45732</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45732</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45732</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45732</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45732</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45732</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45732</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45732</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45732</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45732</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45732</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45732</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45732</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45732</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45732</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45732</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45732</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45732</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45732</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45732</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45732</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45732</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45732</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45732</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45732</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45732</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45732</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45732</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45732</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45732</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45732</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45732</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45732</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45732</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45732</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45732</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45732</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45732</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45732</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45732</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45732</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45732</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45732</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45732</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45732</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45732</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45732</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45732</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45732</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45732</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45732</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45732</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45732</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45732</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45732</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45732</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45732</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45732</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45732</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45732</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45732</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45732</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45732</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45732</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45732</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45732</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45732</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45732</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45732</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45732</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45732</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45732</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45732</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45732</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45732</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45732</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45732</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45732</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45732</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45732</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45732</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45732</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45732</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45732</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45732</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45732</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45732</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45732</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45732</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45732</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45732</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45732</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45732</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45732</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45732</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45732</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45732</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45732</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45732</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45732</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45732</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45732</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45732</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45732</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45732</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45732</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45732</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45732</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45732</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45732</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45732</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45732</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45732</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45732</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45732</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45732</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45732</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45732</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45732</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45732</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45732</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45732</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45732</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45732</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45732</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45732</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45732</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45732</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45732</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45732</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45732</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45732</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45732</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45732</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45732</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45732</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45732</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45732</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45732</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45732</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45732</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45732</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45732</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45732</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45732</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45732</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45732</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45732</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45732</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45732</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45732</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45732</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45732</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45732</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45732</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45732</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45732</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45732</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45732</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45732</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45732</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45732</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45732</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45732</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45732</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45732</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45732</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45732</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45732</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45732</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45732</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45732</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45732</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45732</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45732</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45732</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45732</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45732</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45732</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45732</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45732</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45732</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45732</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45732</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45732</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45732</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45732</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45732</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45732</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45732</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45732</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45732</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45732</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45732</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45732</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45732</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45732</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45732</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45732</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45732</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45732</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45732</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45732</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45732</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45732</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45732</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45732</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45732</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45732</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45732</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45732</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45732</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45732</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45732</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45732</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45732</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45732</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45732</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45732</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45732</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45732</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45732</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45732</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45732</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45732</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45732</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45732</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45732</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45732</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45732</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45732</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45732</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45732</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45732</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45732</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45732</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45732</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45732</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45732</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45732</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45732</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45732</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45732</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45732</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45732</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45732</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45732</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45732</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45732</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45732</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45732</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45732</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45732</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45732</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45732</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45732</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45732</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45732</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45732</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45732</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45732</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45732</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45732</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45732</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45732</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45732</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45732</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45732</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45732</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45732</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45732</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45732</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45732</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45732</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45732</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45732</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45732</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45732</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45732</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45732</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45732</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45732</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45732</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45732</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45732</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45732</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45732</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45732</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45732</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45732</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45732</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45732</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45732</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45732</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45732</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45732</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45732</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45732</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45732</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45732</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45732</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45732</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45732</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45732</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45732</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45732</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45732</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45732</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45732</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45732</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45732</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45732</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45732</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45732</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45732</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45732</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45732</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45732</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45732</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45732</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45732</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45732</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45732</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45732</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45732</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45732</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45732</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45732</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45732</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45732</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45732</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45732</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45732</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45732</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45732</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45732</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45732</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45732</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45732</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45732</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45732</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45732</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45732</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45732</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45732</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45732</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45732</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45732</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45732</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45732</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45732</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45732</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45732</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45732</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45732</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45732</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45732</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45732</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45732</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45732</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45732</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45732</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45732</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45732</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45732</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45732</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45732</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45732</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45732</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45732</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45732</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45732</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45732</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45732</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45732</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45732</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45732</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45732</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45732</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45732</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45732</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45732</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45732</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45732</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45732</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45732</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45732</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45732</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45732</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45732</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45732</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45732</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45732</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45732</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45732</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45732</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45732</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45732</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45732</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45732</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45732</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45732</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45732</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45732</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45732</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45732</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45732</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45732</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45732</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45732</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45732</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45732</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45732</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45732</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45732</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45732</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45732</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45732</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45732</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45732</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45732</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45732</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45732</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45732</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45732</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45732</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45732</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45732</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45732</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45732</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45732</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45732</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45732</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45732</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45732</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45732</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45732</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45732</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45732</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45732</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45732</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45732</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45732</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45732</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45732</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45732</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45732</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45732</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45732</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45732</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45732</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45732</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45732</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45732</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45732</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45732</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45732</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45732</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45732</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45732</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45732</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45732</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45732</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45732</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45732</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45732</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45732</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45732</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45732</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45732</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45732</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45732</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45732</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45732</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45732</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45732</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45732</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45732</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45732</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45732</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45732</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45732</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45732</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45732</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45732</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45732</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45732</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45732</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45732</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45732</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45732</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45732</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45732</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45732</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45732</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45732</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45732</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45732</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45732</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45732</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45732</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45732</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45732</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45732</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45732</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45732</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45732</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45732</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45732</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45732</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45732</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45732</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45732</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45732</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45732</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45732</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45732</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45732</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45732</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45732</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45732</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45732</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45732</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45732</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45732</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45732</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45732</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45732</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45732</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45732</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45732</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45732</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45732</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45732</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45732</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45732</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45732</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45732</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45732</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45732</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45732</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45732</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45732</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45732</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45732</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45732</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45732</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45732</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45732</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45732</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45732</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45732</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45732</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45732</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45732</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45732</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45732</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45732</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45732</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45732</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45732</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45732</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45732</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45732</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45732</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45732</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45732</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45732</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45732</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45732</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45732</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45732</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45732</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45732</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45732</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45732</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45732</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45732</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45732</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45732</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45732</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45732</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45732</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45732</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45732</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45732</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45732</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45732</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45732</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45732</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45732</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45732</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45732</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45732</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45732</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45732</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45732</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45732</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45732</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45732</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45732</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45732</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45732</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45732</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45732</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45732</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45732</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45732</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45732</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45732</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45732</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45732</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45732</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45732</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45732</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45732</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45732</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45732</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45732</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45732</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45732</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45732</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45732</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45732</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45732</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45732</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45732</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45732</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45732</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45732</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45732</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45732</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45732</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45732</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45732</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45732</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45732</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45732</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45732</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45732</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45732</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45732</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45732</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45732</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45732</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45732</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45732</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45732</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45732</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45732</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45732</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45732</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45732</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45732</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45732</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45732</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45732</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45732</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45732</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45732</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45732</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45732</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45732</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45732</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45732</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45732</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45732</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45732</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45732</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45732</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45732</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45732</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45732</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45732</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45732</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45732</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45732</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45732</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45732</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45732</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45732</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45732</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45732</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45732</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45732</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45732</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45732</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45732</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45732</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45732</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45732</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45732</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45732</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45732</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45732</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45732</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45732</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45732</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45732</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45732</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45732</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45732</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45732</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45732</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45732</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45732</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45732</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45732</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45732</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45732</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45732</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45732</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45732</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45732</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45732</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45732</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45732</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45732</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45732</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45732</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45732</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45732</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45732</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45732</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45732</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45732</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45732</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45732</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45732</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45732</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45732</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45732</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45732</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45732</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45732</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45732</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45732</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45732</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45732</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45732</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45732</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45732</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45732</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45732</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45732</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45732</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45732</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45732</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45732</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45732</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45732</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45732</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45732</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45732</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45732</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45732</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45732</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45732</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45732</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45732</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45732</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45732</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45732</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45732</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45732</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45732</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45732</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45732</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45732</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45732</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45732</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45732</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45732</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45732</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45732</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45732</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45732</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45732</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45732</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45732</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45732</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45732</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45732</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45732</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45732</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45732</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45732</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45732</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45732</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45732</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45732</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45732</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45732</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45732</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45732</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45732</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45732</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45732</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45732</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45732</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45732</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45732</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45732</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45732</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45732</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45732</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45732</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45732</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45732</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45732</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45732</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45732</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45732</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45732</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45732</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45732</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45732</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45732</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45732</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45732</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45732</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45732</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45732</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45732</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45732</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45732</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45732</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45732</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45732</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45732</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45732</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45732</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45732</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45732</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45732</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45732</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45732</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45732</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45732</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45732</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45732</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45732</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45732</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45732</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45732</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45732</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45732</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45732</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45732</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45732</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45732</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45732</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45732</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45732</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45732</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45732</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45732</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45732</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45732</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45732</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45732</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45732</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45732</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45732</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45732</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45732</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45732</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45732</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45732</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45732</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45732</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45732</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45732</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45732</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45732</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45732</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45732</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45732</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45732</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45732</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45732</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45732</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45732</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45732</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45732</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45732</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45732</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45732</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45732</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45732</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45732</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45732</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45732</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45732</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45732</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45732</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45732</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45732</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45732</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45732</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45732</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45732</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45732</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45732</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45732</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45732</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45732</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45732</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45732</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45732</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45732</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45732</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45732</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45732</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45732</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45732</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45732</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45732</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45732</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45732</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45732</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45732</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45732</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45732</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45732</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45732</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45732</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45732</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45732</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45732</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45732</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45732</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45732</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45732</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45732</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45732</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45732</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45732</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45732</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45732</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45732</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45732</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45732</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45732</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45732</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45732</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45732</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45732</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45732</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45732</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45732</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45732</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45732</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45732</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45732</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45732</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45732</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45732</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45732</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45732</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45732</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45732</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45732</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45732</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45732</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45732</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45732</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45732</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45732</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45732</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45732</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45732</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45732</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45732</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45732</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45732</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45732</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45732</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45732</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45732</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45732</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45732</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45732</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45732</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45732</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45732</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45732</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45732</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45732</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45732</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45732</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45732</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45732</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45732</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45732</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45732</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45732</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45732</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45732</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45732</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45732</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45732</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45732</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45732</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45732</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45732</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45732</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45732</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45732</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45732</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45732</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45732</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45732</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45732</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45732</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45732</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45732</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45732</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45732</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45732</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45732</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45732</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45732</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45732</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45732</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45732</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45732</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45732</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45732</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45732</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45732</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45732</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45732</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45732</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45732</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45732</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45732</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45732</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45732</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45732</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45732</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45732</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45732</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45732</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45732</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45732</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45732</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45732</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45732</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45732</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45732</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45732</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45732</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45732</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45732</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45732</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45732</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45732</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45732</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45732</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45732</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45732</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45732</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45732</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45732</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45732</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45732</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45732</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45732</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45732</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45732</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45732</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45732</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45732</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45732</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45732</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45732</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45732</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45732</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45732</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45732</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45732</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45732</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45732</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45732</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45732</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45732</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45732</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45732</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45732</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45732</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45732</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45732</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45732</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45732</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45732</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45732</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45732</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45732</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45732</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45732</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45732</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45732</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45732</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45732</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45732</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45732</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45732</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45732</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45732</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45732</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45732</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45732</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45732</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45732</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45732</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45732</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45732</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45732</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45732</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45732</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45732</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45732</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45732</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45732</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45732</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45732</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45732</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45732</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45732</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45732</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45732</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45732</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45732</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45732</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45732</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45732</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45732</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45732</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45732</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45732</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45732</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45732</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45732</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45732</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45732</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45732</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45732</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45732</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45732</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45732</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45732</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45732</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45732</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45732</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45732</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45732</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45732</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45732</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45732</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45732</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45732</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45732</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45732</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45732</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45732</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45732</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45732</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45732</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45732</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45732</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45732</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45732</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45732</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45732</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45732</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45732</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45732</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45732</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45732</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45732</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45732</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45732</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45732</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45732</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45732</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45732</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45732</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45732</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45732</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45732</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45732</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45732</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45732</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45732</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45732</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45732</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45732</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45732</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45732</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45732</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45732</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45732</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45732</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45732</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45732</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45732</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45732</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45732</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45732</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45732</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45732</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45732</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45732</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45732</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45732</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45732</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45732</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45732</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45732</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45732</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45732</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45732</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45732</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45732</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45732</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45732</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45732</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45732</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45732</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45732</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45732</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45732</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45732</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45732</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45732</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45732</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45732</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45732</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45732</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45732</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45732</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45732</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45732</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45732</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45732</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45732</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45732</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45732</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45732</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45732</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45732</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45732</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45732</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45732</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45732</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45732</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45732</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45732</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45732</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45732</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45732</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45732</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45732</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45732</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45732</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45732</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45732</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45732</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45732</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45732</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45732</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45732</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45732</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45732</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45732</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45732</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45732</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45732</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45732</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45732</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45732</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45732</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45732</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45732</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45732</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45732</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45732</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45732</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45732</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45732</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45732</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45732</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45732</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45732</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45732</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45732</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45732</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45732</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45732</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45732</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45732</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45732</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45732</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45732</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45732</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45732</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45732</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45732</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45732</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45732</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45732</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45732</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45732</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45732</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45732</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45732</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45732</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45732</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45732</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45732</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45732</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45732</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45732</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45732</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45732</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45732</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45732</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45732</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45732</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45732</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45732</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45732</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45732</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45732</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45732</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45732</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45732</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45732</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45732</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45732</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45732</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45732</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45732</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45732</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45732</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45732</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45732</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45732</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45732</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45732</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45732</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45732</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45732</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45732</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45732</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45732</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45732</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45732</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45732</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45732</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45732</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45732</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45732</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45732</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45732</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45732</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45732</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45732</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45732</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45732</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45732</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45732</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45732</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45732</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45732</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45732</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45732</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45732</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45732</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45732</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45732</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45732</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45732</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45732</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45732</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45732</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45732</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45732</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45732</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45732</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45732</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45732</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45732</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45732</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45732</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45732</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45732</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45732</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45732</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45732</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45732</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45732</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45732</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45732</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45732</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45732</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45732</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45732</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45732</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45732</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45732</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45732</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45732</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45732</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45732</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45732</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45732</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45732</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45732</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45732</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45732</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45732</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45732</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45732</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45732</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45732</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45732</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45732</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45732</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45732</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45732</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45732</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45732</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45732</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45732</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45732</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45732</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45732</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45732</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45732</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45732</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45732</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45732</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45732</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45732</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45732</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45732</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45732</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45732</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45732</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45732</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45732</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45732</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45732</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45732</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45732</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45732</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45732</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45732</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45732</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45732</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45732</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45732</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45732</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45732</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45732</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45732</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45732</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45732</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45732</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45732</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45732</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45732</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45732</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45732</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45732</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45732</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45732</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45732</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45732</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45732</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45732</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45732</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45732</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45732</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45732</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45732</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45732</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45732</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45732</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45732</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45732</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45732</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45732</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45732</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45732</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45732</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45732</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45732</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45732</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45732</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45732</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45732</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45732</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45732</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45732</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45732</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45732</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45732</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45732</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45732</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45732</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45732</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45732</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45732</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45732</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45732</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45732</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45732</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45732</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45732</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45732</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45732</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45732</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45732</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45732</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45732</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45732</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45732</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45732</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45732</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45732</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45732</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45732</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45732</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45732</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45732</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45732</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45732</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45732</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45732</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45732</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45732</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45732</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45732</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45732</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45732</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45732</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45732</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45732</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45732</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45732</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45732</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45732</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45732</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45732</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45732</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45732</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45732</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45732</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45732</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45732</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45732</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45732</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45732</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45732</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45732</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45732</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45732</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45732</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45732</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45732</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45732</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45732</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45732</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45732</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45732</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45732</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45732</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45732</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45732</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45732</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45732</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45732</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45732</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45732</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45732</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45732</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45732</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45732</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45732</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45732</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45732</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45732</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45732</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45732</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45732</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45732</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45732</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45732</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45732</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45732</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45732</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45732</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45732</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45732</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45732</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45732</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45732</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45732</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45732</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45732</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45732</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45732</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45732</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45732</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45732</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45732</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45732</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45732</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45732</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45732</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45732</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45732</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45732</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45732</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45732</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45732</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45732</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45732</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45732</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45732</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45732</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45732</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45732</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45732</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45732</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45732</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45732</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45732</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45732</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45732</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45732</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45732</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45732</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45732</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45732</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45732</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45732</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45732</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45732</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45732</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45732</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45732</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45732</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45732</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45732</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45732</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45732</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45732</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45732</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45732</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45732</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45732</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45732</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45732</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45732</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45732</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45732</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45732</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45732</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45732</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45732</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45732</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45732</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45732</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45732</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45732</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45732</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45732</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45732</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45732</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45732</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45732</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45732</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45732</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45732</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45732</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45732</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45732</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45732</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45732</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45732</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45732</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45732</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45732</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45732</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45732</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45732</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45732</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45732</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45732</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45732</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45732</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45732</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45732</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45732</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45732</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45732</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45732</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45732</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45732</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45732</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45732</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45732</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45732</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45732</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45732</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45732</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45732</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45732</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45732</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45732</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45732</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45732</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45732</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45732</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45732</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45732</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45732</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45732</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45732</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45732</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45732</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45732</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45732</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45732</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45732</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45732</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45732</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45732</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45732</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45732</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45732</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45732</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45732</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45732</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45732</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45732</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45732</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45732</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45732</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45732</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45732</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45732</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45732</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45732</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45732</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45732</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45732</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45732</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45732</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45732</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45732</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45732</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45732</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45732</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45732</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45732</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45732</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45732</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45732</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45732</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45732</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45732</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45732</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45732</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45732</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45732</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45732</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45732</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45732</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45732</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45732</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45732</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45732</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45732</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45732</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45732</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45732</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45732</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45732</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45732</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45732</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45732</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45732</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45732</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45732</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45732</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45732</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45732</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45732</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45732</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45732</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45732</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45732</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45732</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45732</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45732</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45732</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45732</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45732</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45732</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45732</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45732</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45732</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45732</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45732</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45732</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45732</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45732</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45732</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45732</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45732</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45732</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45732</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45732</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45732</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45732</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45732</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45732</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45732</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45732</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45732</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45732</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45732</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45732</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45732</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45732</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45732</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45732</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45732</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45732</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45732</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45732</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45732</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45732</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45732</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45732</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45732</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45732</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45732</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45732</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45732</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45732</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45732</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45732</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45732</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45732</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45732</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45732</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45732</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45732</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45732</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45732</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45732</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45732</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45732</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45732</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45732</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45732</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45732</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45732</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45732</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45732</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45732</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45732</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45732</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45732</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45732</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45732</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45732</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45732</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45732</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45732</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45732</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45732</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45732</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45732</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45732</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45732</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45732</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45732</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45732</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45732</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45732</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45732</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45732</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45732</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45732</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45732</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45732</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45732</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45732</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45732</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45732</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45732</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45732</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45732</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45732</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45732</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45732</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45732</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45732</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45732</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45732</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45732</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45732</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45732</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45732</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45732</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45732</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45732</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45732</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45732</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45732</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45732</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45732</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45732</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45732</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45732</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45732</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45732</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45732</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45732</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45732</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45732</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45732</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45732</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45732</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45732</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45732</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45732</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45732</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45732</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45732</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45732</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45732</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45732</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45732</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45732</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45732</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45732</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45732</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45732</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45732</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45732</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45732</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45732</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45732</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45732</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45732</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45732</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45732</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45732</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45732</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45732</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45732</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45732</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45732</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45732</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45732</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45732</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45732</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45732</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45732</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45732</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45732</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45732</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45732</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45732</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45732</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45732</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45732</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45732</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45732</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45732</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45732</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45732</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45732</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45732</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45732</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45732</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45732</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45732</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45732</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45732</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45732</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45732</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45732</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45732</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45732</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45732</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45732</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45732</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45732</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45732</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45732</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45732</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45732</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45732</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45732</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45732</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45732</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45732</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45732</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45732</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45732</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45732</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45732</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45732</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45732</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45732</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45732</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45732</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45732</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45732</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45732</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45732</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45732</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45732</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45732</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45732</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45732</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45732</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45732</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45732</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45732</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45732</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45732</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45732</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45732</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45732</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45732</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45732</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45732</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45732</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45732</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45732</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45732</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45732</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45732</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45732</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45732</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45732</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45732</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45732</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45732</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45732</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45732</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45732</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45732</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45732</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45732</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45732</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45732</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45732</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45732</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45732</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45732</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45732</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45732</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45732</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45732</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45732</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45732</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45732</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45732</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45732</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45732</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45732</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45732</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45732</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45732</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45732</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45732</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45732</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45732</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45732</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45732</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45732</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45732</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45732</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45732</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45732</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45732</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45732</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45732</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45732</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45732</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45732</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45732</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45732</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45732</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45732</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45732</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45732</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45732</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45732</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45732</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45732</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45732</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45732</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45732</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45732</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45732</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45732</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45732</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45732</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45732</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45732</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45732</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45732</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45732</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45732</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45732</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45732</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45732</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45732</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45732</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45732</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45732</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45732</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45732</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45732</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45732</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45732</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45732</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45732</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45732</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45732</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45732</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45732</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45732</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45732</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45732</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45732</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45732</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45732</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45732</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45732</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45732</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45732</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45732</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45732</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45732</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45732</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45732</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45732</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45732</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45732</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45732</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45732</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45732</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45732</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45732</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45732</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45732</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45732</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45732</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45732</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45732</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45732</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45732</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45732</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45732</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45732</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45732</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45732</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45732</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45732</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45732</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45732</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45732</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45732</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45732</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45732</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45732</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45732</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45732</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45732</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45732</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45732</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45732</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45732</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45732</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45732</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45732</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45732</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45732</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45732</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45732</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45732</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45732</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45732</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45732</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45732</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45732</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45732</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45732</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45732</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45732</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45732</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45732</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45732</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45732</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45732</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45732</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45732</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45732</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45732</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45732</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45732</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45732</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45732</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45732</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45732</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45732</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45732</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45732</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45732</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45732</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45732</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45732</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45732</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45732</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45732</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45732</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45732</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45732</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45732</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45732</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45732</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45732</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45732</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45732</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45732</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45732</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45732</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45732</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45732</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45732</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45732</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45732</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45732</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45732</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45732</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45732</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45732</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45732</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45732</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45732</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45732</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45732</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45732</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45732</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45732</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45732</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45732</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45732</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45732</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45732</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45732</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45732</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45732</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45732</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45732</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45732</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45732</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45732</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45732</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45732</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45732</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45732</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45732</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45732</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45732</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45732</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45732</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45732</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45732</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45732</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45732</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45732</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45732</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45732</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45732</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45732</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45732</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45732</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45732</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45732</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45732</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45732</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45732</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45732</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45732</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45732</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45732</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45732</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45732</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45732</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45732</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45732</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45732</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45732</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45732</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45732</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45732</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45732</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45732</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45732</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45732</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45732</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45732</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45732</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45732</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45732</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45732</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45732</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45732</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45732</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45732</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45732</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45732</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45732</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45732</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45732</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45732</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45732</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45732</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45732</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45732</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45732</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45732</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45732</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45732</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45732</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45732</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45732</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45732</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45732</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45732</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45732</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45732</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45732</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45732</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45732</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45732</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45732</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45732</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45732</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45732</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45732</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45732</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45732</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45732</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45732</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45732</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45732</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45732</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45732</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45732</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45732</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45732</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45732</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45732</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45732</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45732</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45732</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45732</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45732</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45732</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45732</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45732</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45732</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45732</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45732</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45732</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45732</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45732</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45732</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45732</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45732</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45732</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45732</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45732</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45732</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45732</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45732</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45732</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45732</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45732</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45732</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45732</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45732</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45732</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45732</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45732</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45732</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45732</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45732</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45732</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45732</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45732</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45732</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45732</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45732</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45732</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45732</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45732</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45732</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45732</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45732</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45732</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45732</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45732</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45732</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45732</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45732</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45732</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45732</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45732</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45732</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45732</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45732</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45732</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45732</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45732</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45732</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45732</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45732</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45732</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45732</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45732</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45732</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45732</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45732</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45732</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45732</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45732</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45732</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45732</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45732</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45732</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45732</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45732</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45732</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45732</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45732</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45732</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45732</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45732</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45732</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45732</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45732</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45732</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45732</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45732</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45732</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45732</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45732</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45732</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45732</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45732</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45732</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45732</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45732</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45732</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45732</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45732</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45732</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45732</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45732</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45732</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45732</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45732</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45732</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45732</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45732</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45732</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45732</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45732</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45732</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45732</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45732</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45732</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45732</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45732</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45732</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45732</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45732</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45732</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45732</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45732</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45732</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45732</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45732</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45732</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45732</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45732</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45732</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45732</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45732</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45732</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45732</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45732</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45732</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45732</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45732</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45732</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45732</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45732</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45732</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45732</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45732</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45732</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45732</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45732</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45732</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45732</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45732</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45732</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45732</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45732</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45732</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45732</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45732</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45732</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45732</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45732</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45732</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45732</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45732</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45732</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45732</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45732</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45732</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45732</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45732</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45732</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45732</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45732</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45732</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45732</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45732</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45732</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45732</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45732</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45732</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45732</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45732</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45732</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45732</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45732</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45732</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45732</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45732</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45732</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45732</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45732</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45732</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45732</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45732</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45732</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45732</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45732</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45732</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45732</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45732</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45732</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45732</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45732</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45732</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45732</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45732</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45732</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45732</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45732</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45732</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45732</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45732</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45732</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45732</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45732</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45732</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45732</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45732</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45732</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45732</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45732</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45732</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45732</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45732</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45732</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45732</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45732</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45732</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45732</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45732</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45732</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45732</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45732</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45732</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45732</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45732</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45732</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45732</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45732</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45732</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45732</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45732</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45732</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45732</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45732</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45732</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45732</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45732</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45732</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45732</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45732</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45732</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45732</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45732</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45732</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45732</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45732</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45732</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45732</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45732</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45732</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45732</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45732</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45732</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45732</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45732</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45732</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45732</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45732</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45732</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45732</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45732</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45732</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45732</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45732</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45732</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45732</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45732</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45732</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45732</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45732</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45732</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45732</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45732</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45732</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45732</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45732</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45732</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45732</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45732</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45732</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45732</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45732</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45732</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45732</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45732</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45732</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45732</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45732</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45732</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45732</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45732</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45732</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45732</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45732</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45732</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45732</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45732</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45732</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45732</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45732</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45732</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45732</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45732</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45732</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45732</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45732</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45732</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45732</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45732</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45732</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45732</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45732</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45732</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45732</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45732</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45732</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45732</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45732</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45732</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45732</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45732</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45732</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45732</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45732</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45732</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45732</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45732</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45732</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45732</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45732</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45732</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45732</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45732</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45732</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45732</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45732</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45732</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45732</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45732</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45732</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45732</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45732</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45732</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45732</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45732</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45732</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45732</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45732</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45732</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45732</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45732</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45732</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45732</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45732</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45732</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45732</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45732</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45732</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45732</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45732</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45732</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45732</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45732</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45732</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45732</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45732</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45732</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45732</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45732</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45732</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45732</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45732</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45732</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45732</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45732</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45732</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45732</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45732</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45732</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45732</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45732</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45732</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45732</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45732</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45732</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45732</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45732</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45732</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45732</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45732</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45732</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45732</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45732</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45732</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45732</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45732</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45732</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45732</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45732</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45732</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45732</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45732</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45732</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45732</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45732</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45732</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45732</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45732</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45732</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45732</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45732</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45732</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45732</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45732</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45732</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45732</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45732</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45732</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45732</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45732</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45732</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45732</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45732</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45732</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45732</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45732</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45732</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45732</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45732</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45732</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45732</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45732</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45732</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45732</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45732</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45732</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45732</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45732</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45732</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45732</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45732</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45732</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45732</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45732</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45732</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45732</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45732</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45732</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45732</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45732</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45732</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45732</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45732</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45732</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45732</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45732</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45732</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45732</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45732</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45732</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45732</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45732</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45732</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45732</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45732</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45732</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45732</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45732</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45732</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45732</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45732</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45732</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45732</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45732</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45732</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45732</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45732</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45732</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45732</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45732</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45732</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45732</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45732</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45732</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45732</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45732</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45732</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45732</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45732</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45732</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45732</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45732</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45732</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45732</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45732</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45732</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45732</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45732</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45732</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45732</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45732</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45732</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45732</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45732</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45732</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45732</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45732</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45732</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45732</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45732</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45732</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45732</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45732</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45732</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45732</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45732</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45732</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45732</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45732</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45732</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45732</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45732</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45732</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45732</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45732</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45732</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45732</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45732</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45732</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45732</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45732</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45732</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45732</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45732</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45732</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45732</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45732</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45732</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45732</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45732</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45732</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45732</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45732</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45732</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45732</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45732</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45732</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45732</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45732</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45732</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45732</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45732</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45732</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45732</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45732</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45732</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45732</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45732</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45732</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45732</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45732</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45732</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45732</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45732</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45732</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45732</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45732</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45732</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45732</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45732</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45732</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45732</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45732</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45732</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45732</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45732</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45732</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45732</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45732</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45732</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45732</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45732</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45732</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45732</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45732</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45732</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45732</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45732</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45732</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45732</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45732</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45732</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45732</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45732</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45732</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45732</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45732</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45732</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45732</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45732</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45732</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45732</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45732</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45732</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45732</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45732</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45732</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45732</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45732</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45732</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45732</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45732</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45732</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45732</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45732</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45732</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45732</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45732</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45732</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45732</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45732</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45732</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45732</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45732</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45732</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45732</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45732</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45732</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45732</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45732</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45732</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45732</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45732</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45732</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45732</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45732</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45732</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45732</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45732</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45732</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45732</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45732</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45732</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45732</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45732</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45732</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45732</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45732</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45732</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45732</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45732</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45732</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45732</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45732</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45732</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45732</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45732</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45732</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45732</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45732</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45732</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45732</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45732</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45732</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45732</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45732</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45732</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45732</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45732</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45732</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45732</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45732</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45732</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45732</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45732</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45732</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45732</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45732</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45732</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45732</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45732</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45732</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45732</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45732</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45732</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45732</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45732</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45732</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45732</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45732</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45732</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45732</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45732</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45732</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45732</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45732</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45732</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45732</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45732</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45732</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45732</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45732</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45732</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45732</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45732</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45732</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45732</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45732</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45732</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45732</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45732</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45732</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45732</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45732</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45732</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45732</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45732</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45732</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45732</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45732</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45732</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45732</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45732</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45732</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45732</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45732</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45732</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45732</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45732</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45732</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45732</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45732</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45732</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45732</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45732</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45732</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45732</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45732</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45732</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45732</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45732</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45732</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45732</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45732</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45732</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45732</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45732</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45732</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45732</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45732</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45732</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45732</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45732</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45732</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45732</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45732</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45732</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45732</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45732</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45732</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45732</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45732</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45732</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45732</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45732</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45732</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45732</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45732</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45732</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45732</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45732</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45732</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45732</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45732</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45732</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45732</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45732</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45732</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45732</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45732</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45732</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45732</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45732</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45732</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45732</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45732</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45732</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45732</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45732</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45732</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45732</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45732</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45732</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45732</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45732</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45732</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45732</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45732</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45732</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45732</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45732</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45732</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45732</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45732</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45732</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45732</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45732</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45732</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45732</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45732</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45732</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45732</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45732</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45732</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45732</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45732</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45732</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45732</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45732</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45732</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45732</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45732</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45732</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45732</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45732</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45732</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45732</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45732</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45732</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45732</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45732</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45732</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45732</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45732</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45732</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45732</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45732</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45732</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45732</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45732</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45732</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45732</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45732</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45732</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45732</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45732</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45732</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45732</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45732</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45732</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45732</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45732</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45732</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45732</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45732</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45732</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45732</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45732</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45732</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45732</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45732</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45732</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45732</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45732</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45732</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45732</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45732</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45732</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45732</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45732</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45732</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45732</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45732</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45732</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45732</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45732</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45732</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45732</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45732</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45732</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45732</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45732</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45732</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45732</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45732</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45732</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45732</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45732</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45732</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45732</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45732</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45732</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45732</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45732</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45732</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45732</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45732</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45732</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45732</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45732</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45732</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45732</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45732</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45732</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45732</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45732</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45732</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45732</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45732</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45732</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45732</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45732</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45732</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45732</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45732</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45732</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45732</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45732</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45732</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45732</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45732</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45732</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45732</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45732</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45732</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45732</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45732</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45732</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45732</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45732</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45732</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45732</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45732</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45732</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45732</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45732</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45732</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45732</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45732</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45732</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45732</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45732</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45732</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45732</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45732</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45732</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45732</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45732</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45732</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45732</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45732</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45732</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45732</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45732</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45732</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45732</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45732</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45732</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45732</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45732</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45732</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45732</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45732</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45732</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45732</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45732</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45732</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45732</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45732</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45732</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45732</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45732</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45732</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45732</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45732</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45732</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45732</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45732</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45732</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45732</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45732</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45732</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45732</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45732</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45732</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45732</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45732</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45732</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45732</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45732</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45732</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45732</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45732</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45732</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45732</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45732</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45732</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45732</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45732</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45732</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45732</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45732</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45732</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45732</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45732</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45732</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45732</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45732</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45732</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45732</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45732</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45732</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45732</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45732</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45732</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45732</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45732</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45732</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45732</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45732</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45732</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45732</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45732</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45732</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45732</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45732</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45732</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45732</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45732</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45732</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45732</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45732</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45732</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45732</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45732</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45732</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45732</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45732</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45732</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45732</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45732</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45732</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45732</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45732</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45732</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45732</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45732</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45732</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45732</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45732</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45732</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45732</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45732</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45732</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45732</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45732</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45732</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45732</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45732</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45732</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45732</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45732</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45732</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45732</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45732</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45732</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45732</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45732</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45732</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45732</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45732</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45732</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45732</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45732</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45732</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45732</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45732</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45732</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45732</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45732</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45732</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45732</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45732</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45732</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45732</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45732</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45732</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45732</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45732</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45732</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45732</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45732</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45732</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45732</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45732</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45732</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45732</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45732</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45732</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45732</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45732</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45732</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45732</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45732</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45732</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45732</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45732</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45732</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45732</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45732</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45732</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45732</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45732</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45732</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45732</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45732</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45732</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45732</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45732</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45732</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45732</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45732</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45732</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45732</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45732</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45732</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45732</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45732</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45732</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45732</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45732</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45732</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45732</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45732</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45732</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45732</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45732</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45732</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45732</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45732</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45732</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45732</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45732</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45732</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45732</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45732</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45732</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45732</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45732</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45732</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45732</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45732</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45732</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45732</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45732</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45732</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45732</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45732</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45732</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45732</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45732</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45732</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45732</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45732</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45732</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45732</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45732</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45732</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45732</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45732</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45732</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45732</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45732</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45732</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45732</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45732</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45732</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45732</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45732</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45732</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45732</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45732</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45732</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45732</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45732</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45732</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45732</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45732</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45732</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45732</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45732</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45732</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45732</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45732</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45732</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45732</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45732</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45732</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45732</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45732</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45732</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45732</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45732</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45732</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45732</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45732</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45732</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45732</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45732</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45732</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45732</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45732</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45732</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45732</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45732</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45732</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45732</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45732</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45732</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45732</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45732</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45732</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45732</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45732</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45732</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45732</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45732</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45732</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45732</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45732</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45732</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45732</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45732</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45732</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45732</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45732</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45732</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45732</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45732</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45732</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45732</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45732</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45732</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45732</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45732</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45732</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45732</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45732</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45732</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45732</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45732</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45732</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45732</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45732</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45732</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45732</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45732</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45732</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45732</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45732</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45732</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45732</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45732</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45732</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45732</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45732</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45732</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45732</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45732</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45732</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45732</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45732</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45732</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45732</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45732</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45732</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45732</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45732</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45732</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45732</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45732</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45732</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45732</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45732</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45732</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45732</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45732</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45732</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45732</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45732</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45732</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45732</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45732</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45732</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45732</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45732</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45732</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45732</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45732</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45732</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45732</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45732</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45732</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45732</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45732</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45732</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45732</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45732</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45732</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45732</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45732</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45732</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45732</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45732</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45732</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45732</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45732</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45732</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45732</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45732</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45732</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45732</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45732</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45732</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45732</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45732</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45732</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45732</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45732</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45732</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45732</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45732</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45732</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45732</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45732</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45732</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45732</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45732</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45732</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45732</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45732</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45732</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45732</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45732</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45732</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45732</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45732</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45732</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45732</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45732</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45732</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45732</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45732</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45732</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45732</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45732</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45732</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45732</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45732</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45732</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45732</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45732</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45732</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45732</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45732</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45732</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45732</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45732</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45732</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45732</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45732</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45732</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45732</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45732</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45732</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45732</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45732</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45732</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45732</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45732</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45732</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45732</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45732</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45732</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45732</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45732</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45732</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45732</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45732</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45732</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45732</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45732</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45732</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45732</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45732</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45732</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45732</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45732</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45732</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45732</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45732</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45732</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45732</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45732</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45732</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45732</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45732</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45732</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45732</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45732</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45732</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45732</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45732</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45732</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45732</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45732</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45732</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45732</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45732</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45732</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45732</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45732</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45732</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45732</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45732</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45732</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45732</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45732</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45732</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45732</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45732</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45732</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45732</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45732</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45732</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45732</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45732</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45732</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45732</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45732</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45732</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45732</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45732</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45732</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45732</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45732</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45732</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45732</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45732</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45732</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45732</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45732</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45732</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45732</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45732</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45732</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45732</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45732</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45732</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45732</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45732</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45732</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45732</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45732</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45732</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45732</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45732</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45732</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45732</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45732</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45732</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45732</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45732</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45732</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45732</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45732</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45732</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45732</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45732</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45732</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45732</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45732</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45732</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45732</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45732</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45732</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45732</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45732</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45732</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45732</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45732</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45732</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45732</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45732</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45732</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45732</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45732</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45732</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45732</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45732</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45732</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45732</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45732</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45732</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45732</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45732</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45732</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45732</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45732</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45732</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45732</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45732</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45732</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45732</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45732</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45732</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45732</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45732</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45732</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45732</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45732</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45732</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45732</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45732</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45732</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45732</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45732</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45732</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45732</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45732</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45732</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45732</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45732</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45732</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45732</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45732</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45732</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45732</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45732</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45732</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45732</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45732</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45732</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45732</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45732</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45732</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45732</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45732</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45732</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45732</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45732</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45732</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45732</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45732</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45732</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45732</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45732</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45732</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45732</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45732</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45732</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45732</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45732</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45732</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45732</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45732</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45732</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45732</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45732</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45732</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45732</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45732</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45732</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45732</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45732</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45732</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45732</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45732</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45732</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45732</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45732</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45732</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45732</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45732</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45732</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45732</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45732</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45732</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45732</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45732</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45732</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45732</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45732</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45732</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45732</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45732</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45732</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45732</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45732</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45732</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45732</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45732</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45732</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45732</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45732</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45732</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45732</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45732</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45732</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45732</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45732</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45732</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45732</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45732</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45732</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45732</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45732</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45732</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45732</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45732</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45732</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45732</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45732</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45732</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45732</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45732</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45732</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45732</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45732</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45732</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45732</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45732</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45732</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45732</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45732</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45732</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45732</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45732</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45732</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45732</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45732</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45732</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45732</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45732</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45732</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45732</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45732</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45732</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45732</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45732</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45732</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45732</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45732</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45732</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45732</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45732</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45732</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45732</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45732</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45732</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45732</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45732</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45732</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45732</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45732</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45732</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45732</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45732</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45732</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45732</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45732</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45732</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45732</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45732</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45732</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45732</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45732</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45732</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45732</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45732</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45732</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45732</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45732</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45732</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45732</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45732</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45732</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45732</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45732</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45732</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45732</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45732</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45732</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45732</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45732</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45732</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45732</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45732</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45732</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45732</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45732</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45732</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45732</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45732</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45732</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45732</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45732</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45732</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45732</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45732</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45732</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45732</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45732</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45732</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45732</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45732</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45732</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45732</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45732</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45732</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45732</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45732</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45732</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45732</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45732</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45732</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45732</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45732</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45732</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45732</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45732</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45732</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45732</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45732</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45732</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45732</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45732</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45732</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45732</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45732</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45732</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45732</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45732</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45732</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45732</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45732</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45732</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45732</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45732</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45732</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45732</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45732</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45732</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45732</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45732</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45732</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45732</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45732</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45732</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45732</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45732</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45732</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45732</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45732</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45732</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45732</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45732</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45732</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45732</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45732</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45732</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45732</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45732</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45732</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45732</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45732</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45732</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45732</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45732</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45732</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45732</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45732</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45732</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45732</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45732</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45732</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45732</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45732</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45732</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45732</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45732</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45732</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45732</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45732</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45732</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45732</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45732</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45732</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45732</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45732</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45732</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45732</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45732</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45732</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45732</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45732</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45732</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45732</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45732</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45732</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45732</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45732</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45732</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45732</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45732</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45732</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45732</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45732</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45732</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45732</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45732</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45732</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45732</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45732</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45732</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45732</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45732</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45732</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45732</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45732</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45732</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45732</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45732</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45732</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45732</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45732</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45732</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45732</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45732</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45732</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45732</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45732</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45732</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45732</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45732</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45732</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45732</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45732</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45732</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45732</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45732</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45732</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45732</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45732</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45732</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45732</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45732</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45732</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45732</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45732</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45732</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45732</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45732</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45732</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45732</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45732</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45732</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45732</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45732</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45732</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45732</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45732</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45732</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45732</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45732</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45732</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45732</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45732</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45732</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45732</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45732</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45732</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45732</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45732</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45732</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45732</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45732</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45732</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45732</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45732</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45732</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45732</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45732</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45732</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45732</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45732</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45732</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45732</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45732</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45732</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45732</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45732</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45732</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45732</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45732</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45732</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45732</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45732</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45732</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45732</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45732</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45732</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45732</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45732</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45732</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45732</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45732</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45732</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45732</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45732</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45732</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45732</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45732</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45732</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45732</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45732</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45732</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45732</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45732</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45732</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45732</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45732</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45732</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45732</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45732</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45732</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45732</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45732</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45732</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45732</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45732</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45732</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45732</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45732</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45732</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45732</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45732</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45732</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45732</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45732</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45732</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45732</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45732</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45732</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45732</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45732</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45732</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45732</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45732</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45732</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45732</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45732</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45732</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45732</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45732</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45732</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45732</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45732</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45732</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45732</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45732</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45732</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45732</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45732</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45732</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45732</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45732</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45732</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45732</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45732</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45732</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45732</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45732</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45732</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45732</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45732</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45732</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45732</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45732</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45732</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45732</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45732</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45732</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45732</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45732</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45732</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45732</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45732</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45732</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45732</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45732</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45732</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45732</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45732</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45732</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45732</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45732</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45732</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45732</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45732</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45732</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45732</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45732</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45732</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45732</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45732</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45732</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45732</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45732</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45732</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45732</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45732</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45732</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45732</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45732</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45732</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45732</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45732</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45732</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45732</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45732</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45732</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45732</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45732</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45732</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45732</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45732</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45732</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45732</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45732</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45732</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45732</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45732</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45732</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45732</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45732</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45732</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45732</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45732</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45732</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45732</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45732</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45732</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45732</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45732</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45732</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45732</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45732</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45732</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45732</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45732</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45732</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45732</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45732</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45732</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45732</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45732</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45732</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45732</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45732</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45732</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45732</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45732</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45732</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45732</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45732</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45732</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45732</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45732</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45732</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45732</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45732</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45732</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45732</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45732</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45732</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45732</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45732</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45732</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45732</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45732</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45732</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45732</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45732</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45732</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45732</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45732</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45732</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45732</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45732</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45732</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45732</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45732</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45732</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45732</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45732</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45732</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45732</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45732</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45732</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45732</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45732</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45732</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45732</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45732</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45732</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45732</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45732</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45732</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45732</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45732</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45732</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45732</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45732</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45732</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45732</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45732</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45732</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45732</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45732</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45732</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45732</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45732</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45732</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45732</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45732</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45732</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45732</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45732</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45732</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45732</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45732</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45732</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45732</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45732</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45732</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45732</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45732</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45732</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45732</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45732</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45732</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45732</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45732</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45732</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45732</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45732</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45732</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45732</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45732</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45732</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45732</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45732</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45732</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45732</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45732</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45732</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45732</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45732</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45732</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45732</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45732</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45732</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45732</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45732</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45732</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45732</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45732</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45732</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45732</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45732</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45732</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45732</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45732</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45732</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45732</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45732</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45732</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45732</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45732</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45732</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45732</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45732</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45732</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45732</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45732</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45732</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45732</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45732</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45732</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45732</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45732</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45732</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45732</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45732</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45732</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45732</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45732</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45732</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45732</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45732</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45732</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45732</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45732</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45732</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45732</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45732</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45732</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45732</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45732</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45732</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45732</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45732</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45732</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45732</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45732</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45732</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45732</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45732</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45732</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45732</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45732</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45732</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45732</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45732</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45732</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45732</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45732</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45732</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45732</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45732</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45732</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45732</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45732</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45732</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45732</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45732</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45732</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45732</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45732</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45732</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45732</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45732</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45732</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45732</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45732</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45732</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45732</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45732</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45732</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45732</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45732</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45732</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45732</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45732</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45732</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45732</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45732</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45732</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45732</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45732</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45732</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45732</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45732</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45732</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45732</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45732</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45732</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45732</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45732</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45732</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45732</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45732</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45732</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45732</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45732</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45732</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45732</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45732</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45732</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45732</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45732</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45732</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45732</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45732</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45732</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45732</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45732</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45732</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45732</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45732</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45732</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45732</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45732</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45732</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45732</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45732</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45732</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45732</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45732</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45732</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45732</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45732</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45732</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45732</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45732</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45732</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45732</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45732</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45732</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45732</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45732</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45732</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45732</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45732</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45732</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45732</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45732</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45732</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45732</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45732</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45732</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45732</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45732</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45732</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45732</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45732</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45732</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45732</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45732</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45732</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45732</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45732</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45732</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45732</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45732</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45732</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45732</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45732</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45732</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45732</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45732</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45732</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45732</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45732</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45732</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45732</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45732</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45732</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45732</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45732</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45732</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45732</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45732</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45732</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45732</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45732</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45732</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45732</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45732</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45732</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45732</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45732</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45732</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45732</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45732</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45732</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45732</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45732</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45732</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45732</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45732</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45732</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45732</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45732</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45732</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45732</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45732</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45732</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45732</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45732</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45732</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45732</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45732</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45732</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45732</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45732</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45732</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45732</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45732</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45732</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45732</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45732</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45732</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45732</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45732</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45732</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45732</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45732</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45732</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45732</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45732</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45732</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45732</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45732</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45732</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45732</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45732</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45732</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45732</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45732</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45732</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45732</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45732</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45732</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45732</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45732</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45732</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45732</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45732</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45732</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45732</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45732</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45732</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45732</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45732</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45732</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45732</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45732</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45732</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45732</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45732</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45732</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45732</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45732</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45732</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45732</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45732</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45732</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45732</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45732</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45732</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45732</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45732</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45732</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45732</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45732</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45732</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45732</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45732</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45732</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45732</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45732</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45732</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45732</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45732</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45732</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45732</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45732</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45732</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45732</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45732</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45732</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45732</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45732</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45732</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45732</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45732</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45732</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45732</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45732</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45732</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45732</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45732</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45732</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45732</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45732</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45732</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45732</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45732</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45732</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45732</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45732</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45732</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45732</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45732</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45732</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45732</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45732</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45732</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45732</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45732</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45732</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45732</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45732</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45732</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45732</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45732</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45732</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45732</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45732</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45732</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45732</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45732</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45732</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45732</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45732</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45732</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45732</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45732</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45732</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45732</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45732</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45732</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45732</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45732</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45732</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45732</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45732</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45732</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45732</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45732</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45732</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45732</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45732</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45732</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45732</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45732</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45732</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45732</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45732</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45732</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45732</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45732</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45732</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45732</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45732</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45732</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45732</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45732</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45732</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45732</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45732</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45732</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45732</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45732</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45732</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45732</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45732</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45732</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45732</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45732</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45732</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45732</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45732</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45732</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45732</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45732</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45732</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45732</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45732</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45732</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45732</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45732</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45732</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45732</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45732</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45732</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45732</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45732</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45732</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45732</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45732</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45732</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45732</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45732</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45732</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45732</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45732</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45732</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45732</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45732</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45732</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45732</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45732</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45732</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45732</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45732</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45732</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45732</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45732</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45732</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45732</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45732</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45732</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45732</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45732</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45732</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45732</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45732</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45732</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45732</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45732</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45732</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45732</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45732</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45732</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45732</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45732</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45732</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45732</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45732</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45732</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45732</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45732</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45732</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45732</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45732</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45732</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45732</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45732</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45732</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45732</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45732</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45732</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45732</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45732</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45732</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45732</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45732</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45732</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45732</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45732</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45732</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45732</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45732</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45732</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45732</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45732</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45732</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45732</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45732</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45732</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45732</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45732</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45732</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45732</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45732</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45732</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45732</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45732</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45732</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45732</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45732</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45732</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45732</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45732</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45732</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45732</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45732</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45732</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45732</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45732</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45732</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45732</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45732</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45732</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45732</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45732</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45732</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45732</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45732</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45732</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45732</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45732</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45732</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45732</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45732</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45732</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45732</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45732</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45732</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45732</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45732</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45732</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45732</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45732</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45732</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45732</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45732</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45732</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45732</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45732</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45732</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45732</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45732</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45732</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45732</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45732</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45732</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45732</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45732</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45732</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45732</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45732</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45732</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45732</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45732</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45732</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45732</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45732</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45732</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45732</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45732</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45732</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45732</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45732</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45732</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45732</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45732</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45732</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45732</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45732</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45732</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45732</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45732</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45732</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45732</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45732</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45732</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45732</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45732</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45732</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45732</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45732</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45732</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45732</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45732</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45732</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45732</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45732</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45732</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45732</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45732</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45732</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45732</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45732</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45732</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45732</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45732</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45732</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45732</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45732</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45732</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45732</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45732</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45732</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45732</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45732</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45732</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45732</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45732</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45732</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45732</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45732</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45732</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45732</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45732</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45732</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45732</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45732</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45732</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45732</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45732</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45732</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45732</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45732</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45732</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45732</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45732</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45732</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45732</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45732</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45732</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45732</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45732</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45732</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45732</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45732</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45732</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45732</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45732</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45732</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45732</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45732</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45732</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45732</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45732</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45732</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45732</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45732</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45732</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45732</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45732</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45732</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45732</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45732</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45732</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45732</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45732</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45732</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45732</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45732</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45732</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45732</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45732</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45732</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45732</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45732</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45732</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45732</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45732</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45732</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45732</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45732</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45732</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45732</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45732</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45732</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45732</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45732</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45732</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45732</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45732</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45732</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45732</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45732</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45732</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45732</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45732</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45732</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45732</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45732</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45732</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45732</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45732</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45732</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45732</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45732</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45732</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45732</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45732</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45732</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45732</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45732</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45732</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45732</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45732</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45732</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45732</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45732</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45732</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45732</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45732</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45732</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45732</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45732</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45732</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45732</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45732</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45732</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45732</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45732</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45732</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45732</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45732</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45732</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45732</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45732</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45732</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45732</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45732</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45732</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45732</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45732</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45732</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45732</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45732</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45732</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45732</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45732</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45732</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45732</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45732</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45732</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45732</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45732</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45732</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45732</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45732</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45732</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45732</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45732</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45732</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45732</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45732</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45732</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45732</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45732</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45732</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45732</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45732</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45732</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45732</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45732</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45732</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45732</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45732</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45732</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45732</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45732</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45732</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45732</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45732</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45732</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45732</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45732</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45732</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45732</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45732</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45732</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45732</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45732</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45732</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45732</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45732</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45732</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45732</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45732</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45732</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45732</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45732</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45732</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45732</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45732</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45732</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45732</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45732</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45732</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45732</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45732</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45732</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45732</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45732</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45732</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45732</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45732</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45732</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45732</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45732</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45732</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45732</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45732</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45732</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45732</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45732</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45732</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45732</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45732</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45732</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45732</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45732</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45732</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45732</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45732</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45732</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45732</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45732</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45732</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45732</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45732</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45732</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45732</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45732</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45732</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45732</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45732</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45732</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45732</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45732</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45732</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45732</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45732</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45732</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45732</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45732</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45732</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45732</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45732</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45732</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45732</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45732</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45732</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45732</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45732</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45732</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45732</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45732</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45732</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45732</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45732</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45732</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45732</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45732</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45732</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45732</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45732</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45732</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45732</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45732</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45732</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45732</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45732</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45732</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45732</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45732</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45732</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45732</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45732</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45732</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45732</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45732</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45732</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45732</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45732</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45732</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45732</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45732</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45732</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45732</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45732</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45732</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45732</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45732</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45732</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45732</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45732</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45732</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45732</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45732</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45732</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45732</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45732</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45732</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45732</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45732</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45732</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45732</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45732</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45732</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45732</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45732</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45732</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45732</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45732</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45732</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45732</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45732</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45732</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45732</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45732</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45732</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45732</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45732</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45732</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45732</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45732</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45732</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45732</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45732</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45732</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45732</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45732</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45732</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45732</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45732</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45732</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45732</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45732</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45732</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45732</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45732</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45732</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45732</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45732</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45732</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45732</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45732</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45732</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45732</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45732</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45732</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45732</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45732</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45732</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45732</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45732</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45732</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45732</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45732</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45732</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45732</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45732</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45732</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45732</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45732</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45732</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45732</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45732</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45732</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45732</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45732</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45732</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45732</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45732</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45732</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45732</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45732</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45732</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45732</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45732</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45732</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45732</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45732</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45732</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45732</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45732</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45732</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45732</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45732</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45732</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45732</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45732</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45732</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45732</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45732</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45732</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45732</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45732</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45732</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45732</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45732</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45732</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45732</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45732</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45732</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45732</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45732</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45732</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45732</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45732</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45732</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45732</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45732</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45732</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45732</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45732</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45732</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45732</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45732</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45732</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45732</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45732</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45732</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45732</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45732</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45732</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45732</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45732</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45732</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45732</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45732</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45732</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45732</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45732</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45732</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45732</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45732</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45732</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45732</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45732</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45732</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45732</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45732</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45732</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45732</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45732</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45732</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45732</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45732</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45732</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45732</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45732</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45732</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45732</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45732</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45732</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45732</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45732</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45732</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45732</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45732</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45732</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45732</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45732</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45732</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45732</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45732</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45732</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45732</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45732</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45732</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45732</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45732</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45732</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45732</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45732</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45732</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45732</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45732</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45732</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45732</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45732</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45732</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45732</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45732</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45732</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45732</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45732</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45732</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45732</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45732</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45732</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45732</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45732</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45732</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45732</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45732</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45732</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45732</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45732</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45732</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45732</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45732</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45732</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45732</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45732</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45732</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45732</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45732</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45732</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45732</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45732</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45732</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45732</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45732</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45732</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45732</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45732</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45732</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45732</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45732</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45732</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45732</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45732</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45732</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45732</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45732</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45732</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45732</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45732</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45732</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45732</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45732</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45732</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45732</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45732</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45732</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45732</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45732</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45732</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45732</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45732</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45732</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45732</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45732</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45732</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45732</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45732</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45732</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45732</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45732</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45732</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45732</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45732</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45732</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45732</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45732</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45732</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45732</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45732</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45732</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45732</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45732</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45732</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45732</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45732</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45732</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45732</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45732</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45732</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45732</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45732</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45732</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45732</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45732</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45732</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45732</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45732</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45732</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45732</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45732</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45732</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45732</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45732</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45732</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45732</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45732</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45732</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45732</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45732</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45732</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45732</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45732</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45732</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45732</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45732</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45732</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45732</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45732</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45732</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45732</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45732</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45732</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45732</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45732</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45732</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45732</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45732</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45732</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45732</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45732</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45732</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45732</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45732</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45732</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45732</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45732</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45732</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45732</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45732</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45732</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45732</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45732</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45732</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45732</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45732</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45732</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45732</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45732</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45732</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45732</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45732</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45732</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45732</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45732</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45732</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45732</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45732</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45732</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45732</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45732</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45732</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45732</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45732</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45732</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45732</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45732</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45732</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45732</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45732</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45732</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45732</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45732</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45732</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45732</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45732</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45732</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45732</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45732</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45732</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45732</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45732</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45732</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45732</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45732</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45732</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45732</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45732</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45732</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45732</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45732</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45732</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45732</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45732</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45732</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45732</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45732</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45732</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45732</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45732</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45732</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45732</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45732</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45732</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45732</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45732</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45732</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45732</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45732</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45732</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45732</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45732</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45732</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45732</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45732</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45732</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45732</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45732</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45732</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45732</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45732</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45732</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45732</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45732</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45732</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45732</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45732</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45732</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45732</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45732</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45732</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45732</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45732</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45732</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45732</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45732</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45732</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45732</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45732</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45732</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45732</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45732</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45732</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45732</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45732</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45732</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45732</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45732</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45732</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45732</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45732</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45732</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45732</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45732</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45732</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45732</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45732</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45732</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45732</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45732</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45732</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45732</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45732</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45732</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45732</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45732</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45732</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45732</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45732</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45732</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45732</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45732</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45732</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45732</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45732</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45732</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45732</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45732</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45732</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45732</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45732</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45732</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45732</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45732</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45732</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45732</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45732</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45732</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45732</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45732</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45732</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45732</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45732</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45732</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45732</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45732</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45732</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45732</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45732</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45732</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45732</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45732</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45732</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45732</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45732</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45732</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45732</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45732</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45732</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45732</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45732</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45732</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45732</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45732</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45732</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45732</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45732</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45732</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45732</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45732</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45732</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45732</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45732</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45732</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45732</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45732</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45732</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45732</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45732</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45732</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45732</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45732</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45732</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45732</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45732</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45732</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45732</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45732</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45732</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45732</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45732</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45732</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45732</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45732</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45732</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45732</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45732</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45732</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45732</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45732</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45732</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45732</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45732</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45732</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45732</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45732</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45732</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45732</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45732</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45732</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45732</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45732</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45732</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45732</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45732</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45732</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45732</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45732</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45732</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45732</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45732</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45732</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45732</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45732</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45732</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45732</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45732</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45732</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45732</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45732</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45732</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45732</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45732</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45732</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45732</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45732</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45732</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45732</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45732</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45732</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45732</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45732</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45732</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45732</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45732</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45732</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45732</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45732</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45732</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45732</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45732</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45732</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45732</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45732</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45732</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45732</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45732</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45732</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45732</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45732</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45732</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45732</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45732</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45732</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45732</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45732</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45732</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45732</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45732</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45732</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45732</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45732</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45732</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45732</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45732</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45732</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45732</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45732</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45732</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45732</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45732</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45732</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45732</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45732</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45732</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45732</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45732</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45732</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45732</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45732</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45732</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45732</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45732</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45732</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45732</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45732</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45732</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45732</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45732</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45732</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45732</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45732</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45732</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45732</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45732</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45732</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45732</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45732</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45732</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45732</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45732</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45732</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45732</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45732</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45732</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45732</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45732</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45732</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45732</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45732</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45732</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45732</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45732</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45732</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45732</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45732</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45732</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45732</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45732</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45732</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45732</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45732</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45732</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45732</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45732</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45732</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45732</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45732</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45732</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45732</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45732</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45732</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45732</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45732</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45732</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45732</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45732</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45732</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45732</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45732</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45732</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45732</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45732</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45732</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45732</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45732</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45732</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45732</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45732</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45732</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45732</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45732</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45732</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45732</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45732</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45732</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45732</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45732</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45732</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45732</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45732</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45732</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45732</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45732</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45732</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45732</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45732</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45732</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45732</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45732</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45732</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45732</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45732</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45732</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45732</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45732</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45732</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45732</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45732</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45732</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45732</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45732</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45732</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45732</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45732</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45732</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45732</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45732</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45732</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45732</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45732</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45732</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45732</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45732</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45732</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45732</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45732</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45732</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45732</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45732</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45732</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45732</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45732</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45732</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45732</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45732</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45732</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45732</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45732</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45732</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45732</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45732</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45732</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45732</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45732</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45732</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45732</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45732</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45732</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45732</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45732</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45732</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45732</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45732</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45732</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45732</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45732</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45732</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45732</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45732</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45732</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45732</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45732</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45732</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45732</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45732</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45732</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45732</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45732</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45732</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45732</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45732</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45732</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45732</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45732</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45732</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45732</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45732</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45732</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45732</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45732</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45732</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45732</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45732</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45732</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45732</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45732</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45732</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45732</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45732</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45732</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45732</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45732</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45732</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45732</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45732</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45732</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45732</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45732</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45732</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45732</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45732</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45732</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45732</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45732</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45732</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45732</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45732</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45732</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45732</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45732</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45732</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45732</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45732</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45732</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45732</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45732</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45732</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45732</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45732</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45732</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45732</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45732</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45732</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45732</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45732</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45732</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45732</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45732</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45732</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45732</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45732</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45732</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45732</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45732</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45732</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45732</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45732</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45732</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45732</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45732</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45732</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45732</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45732</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45732</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45732</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45732</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45732</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45732</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45732</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45732</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45732</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45732</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45732</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45732</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45732</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45732</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45732</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45732</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45732</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45732</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45732</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45732</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45732</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45732</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45732</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45732</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45732</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45732</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45732</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45732</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45732</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45732</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45732</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45732</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45732</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45732</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45732</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45732</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45732</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45732</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45732</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45732</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45732</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45732</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45732</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45732</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45732</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45732</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45732</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45732</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45732</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45732</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45732</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45732</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45732</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45732</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45732</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45732</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45732</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45732</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45732</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45732</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45732</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45732</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45732</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45732</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45732</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45732</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45732</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45732</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45732</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45732</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45732</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45732</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45732</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45732</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45732</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45732</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45732</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45732</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45732</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45732</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45732</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45732</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45732</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45732</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45732</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45732</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45732</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45732</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45732</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45732</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45732</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45732</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45732</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45732</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45732</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45732</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45732</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45732</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45732</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45732</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45732</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45732</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45732</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45732</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45732</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45732</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45732</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45732</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45732</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45732</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45732</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45732</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45732</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45732</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45732</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45732</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45732</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45732</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45732</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45732</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45732</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45732</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45732</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45732</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45732</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45732</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45732</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45732</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45732</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45732</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45732</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45732</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45732</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45732</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45732</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45732</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45732</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45732</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45732</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45732</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45732</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45732</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45732</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45732</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45732</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45732</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45732</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45732</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45732</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45732</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45732</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45732</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45732</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45732</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45732</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45732</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45732</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45732</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45732</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45732</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45732</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45732</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45732</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45732</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45732</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45732</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45732</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45732</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45732</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45732</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45732</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45732</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45732</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45732</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45732</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45732</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45732</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45732</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45732</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45732</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45732</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45732</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45732</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45732</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45732</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45732</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45732</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45732</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45732</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45732</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45732</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45732</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45732</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45732</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45732</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45732</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45732</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45732</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45732</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45732</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45732</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45732</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45732</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45732</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45732</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45732</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45732</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45732</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45732</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45732</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45732</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45732</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45732</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45732</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45732</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45732</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45732</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45732</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45732</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45732</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45732</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45732</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45732</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45732</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45732</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45732</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45732</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45732</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45732</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45732</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45732</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45732</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45732</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45732</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45732</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45732</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45732</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45732</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45732</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45732</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45732</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45732</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45732</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45732</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45732</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45732</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45732</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45732</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45732</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45732</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45732</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45732</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45732</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45732</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45732</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45732</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45732</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45732</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45732</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45732</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45732</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45732</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45732</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45732</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45732</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45732</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45732</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45732</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45732</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45732</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45732</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45732</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45732</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45732</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45732</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45732</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45732</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45732</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45732</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45732</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45732</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45732</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45732</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45732</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45732</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45732</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45732</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45732</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45732</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45732</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45732</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45732</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45732</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45732</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45732</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45732</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45732</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45732</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45732</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45732</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45732</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45732</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45732</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45732</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45732</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45732</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45732</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45732</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45732</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45732</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45732</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45732</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45732</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45732</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45732</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45732</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45732</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45732</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45732</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45732</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45732</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45732</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45732</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45732</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45732</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45732</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45732</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45732</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45732</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45732</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45732</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45732</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45732</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45732</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45732</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45732</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45732</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45732</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45732</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45732</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45732</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45732</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45732</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45732</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45732</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45732</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45732</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45732</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45732</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45732</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45732</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45732</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45732</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45732</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45732</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45732</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45732</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45732</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45732</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45732</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45732</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45732</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45732</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45732</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45732</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45732</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45732</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45732</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45732</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45732</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45732</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45732</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45732</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45732</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45732</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45732</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45732</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45732</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45732</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45732</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45732</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45732</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45732</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45732</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45732</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45732</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45732</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45732</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45732</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45732</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45732</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45732</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45732</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45732</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45732</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45732</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45732</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45732</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45732</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45732</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45732</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45732</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45732</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45732</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45732</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45732</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45732</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45732</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45732</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45732</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45732</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45732</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45732</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45732</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45732</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45732</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45732</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45732</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45732</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45732</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45732</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45732</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45732</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45732</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45732</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45732</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45732</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45732</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45732</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45732</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45732</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45732</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45732</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45732</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45732</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45732</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45732</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45732</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45732</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45732</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45732</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45732</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45732</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45732</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45732</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45732</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45732</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45732</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45732</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45732</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45732</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45732</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45732</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45732</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45732</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45732</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45732</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45732</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45732</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45732</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45732</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45732</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45732</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45732</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45732</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45732</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45732</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45732</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45732</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45732</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45732</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45732</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45732</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45732</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45732</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45732</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45732</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45732</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45732</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45732</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45732</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45732</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45732</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45732</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45732</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45732</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45732</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45732</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45732</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45732</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45732</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45732</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45732</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45732</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45732</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45732</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45732</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45732</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45732</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45732</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45732</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45732</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45732</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45732</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45732</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45732</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45732</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45732</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45732</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45732</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45732</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45732</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45732</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45732</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45732</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45732</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45732</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45732</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45732</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45732</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45732</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45732</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45732</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45732</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45732</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45732</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45732</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45732</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45732</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45732</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45732</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45732</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45732</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45732</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45732</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45732</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45732</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45732</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45732</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45732</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45732</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45732</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45732</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45732</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45732</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45732</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45732</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45732</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45732</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45732</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45732</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45732</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45732</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45732</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45732</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45732</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45732</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45732</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45732</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45732</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45732</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45732</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45732</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45732</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45732</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45732</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45732</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45732</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45732</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45732</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45732</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45732</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45732</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45732</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45732</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45732</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45732</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45732</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45732</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45732</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45732</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45732</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45732</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45732</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45732</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45732</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45732</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45732</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45732</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45732</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45732</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45732</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45732</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45732</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45732</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45732</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45732</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45732</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45732</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45732</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45732</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45732</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45732</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45732</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45732</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45732</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45732</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45732</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45732</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45732</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45732</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45732</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45732</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45732</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45732</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45732</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45732</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45732</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45732</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45732</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45732</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45732</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45732</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45732</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45732</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45732</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45732</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45732</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45732</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45732</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45732</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45732</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45732</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45732</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45732</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45732</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45732</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45732</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45732</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45732</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45732</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45732</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45732</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45732</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45732</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45732</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45732</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45732</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45732</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45732</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45732</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45732</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45732</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45732</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45732</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45732</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45732</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45732</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45732</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45732</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45732</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45732</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45732</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45732</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45732</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45732</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45732</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45732</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45732</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45732</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45732</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45732</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45732</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45732</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45732</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45732</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45732</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45732</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45732</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45732</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45732</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45732</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45732</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45732</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45732</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45732</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45732</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45732</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45732</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45732</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45732</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45732</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45732</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45732</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45732</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45732</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45732</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45732</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45732</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45732</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45732</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45732</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45732</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45732</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45732</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45732</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45732</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45732</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45732</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45732</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45732</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45732</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45732</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45732</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45732</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45732</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45732</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45732</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45732</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45732</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45732</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45732</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45732</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45732</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45732</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45732</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45732</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45732</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45732</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45732</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45732</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45732</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45732</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45732</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45732</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45732</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45732</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45732</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45732</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45732</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45732</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45732</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45732</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45732</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45732</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45732</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45732</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45732</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45732</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45732</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45732</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45732</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45732</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45732</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45732</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45732</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45732</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45732</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45732</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45732</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45732</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45732</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45732</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45732</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45732</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45732</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45732</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45732</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45732</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45732</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45732</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45732</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45732</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45732</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45732</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45732</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45732</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45732</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45732</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45732</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45732</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45732</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45732</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45732</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45732</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45732</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45732</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45732</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45732</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45732</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45732</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45732</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45732</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45732</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45732</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45732</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45732</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45732</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45732</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45732</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45732</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45732</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45732</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45732</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45732</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45732</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45732</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45732</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45732</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45732</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45732</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45732</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45732</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45732</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45732</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45732</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45732</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45732</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45732</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45732</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45732</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45732</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45732</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45732</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45732</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45732</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45732</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45732</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45732</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45732</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45732</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45732</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45732</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45732</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45732</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45732</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45732</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45732</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45732</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45732</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45732</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45732</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45732</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45732</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45732</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45732</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45732</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45732</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45732</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45732</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45732</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45732</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45732</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45732</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45732</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45732</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45732</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45732</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45732</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45732</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45732</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45732</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45732</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45732</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45732</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6770-2025</t>
        </is>
      </c>
      <c r="B7395" s="1" t="n">
        <v>45700</v>
      </c>
      <c r="C7395" s="1" t="n">
        <v>45732</v>
      </c>
      <c r="D7395" t="inlineStr">
        <is>
          <t>SÖDERMANLANDS LÄN</t>
        </is>
      </c>
      <c r="E7395" t="inlineStr">
        <is>
          <t>FLEN</t>
        </is>
      </c>
      <c r="G7395" t="n">
        <v>3.4</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45732</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6817-2025</t>
        </is>
      </c>
      <c r="B7397" s="1" t="n">
        <v>45700</v>
      </c>
      <c r="C7397" s="1" t="n">
        <v>45732</v>
      </c>
      <c r="D7397" t="inlineStr">
        <is>
          <t>SÖDERMANLANDS LÄN</t>
        </is>
      </c>
      <c r="E7397" t="inlineStr">
        <is>
          <t>ESKILSTUNA</t>
        </is>
      </c>
      <c r="F7397" t="inlineStr">
        <is>
          <t>Allmännings- och besparingsskogar</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45732</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7251-2025</t>
        </is>
      </c>
      <c r="B7399" s="1" t="n">
        <v>45702</v>
      </c>
      <c r="C7399" s="1" t="n">
        <v>45732</v>
      </c>
      <c r="D7399" t="inlineStr">
        <is>
          <t>SÖDERMANLANDS LÄN</t>
        </is>
      </c>
      <c r="E7399" t="inlineStr">
        <is>
          <t>NYKÖPING</t>
        </is>
      </c>
      <c r="G7399" t="n">
        <v>1</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45732</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45732</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7312-2025</t>
        </is>
      </c>
      <c r="B7402" s="1" t="n">
        <v>45702</v>
      </c>
      <c r="C7402" s="1" t="n">
        <v>45732</v>
      </c>
      <c r="D7402" t="inlineStr">
        <is>
          <t>SÖDERMANLANDS LÄN</t>
        </is>
      </c>
      <c r="E7402" t="inlineStr">
        <is>
          <t>FLEN</t>
        </is>
      </c>
      <c r="G7402" t="n">
        <v>7.4</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45732</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7270-2025</t>
        </is>
      </c>
      <c r="B7404" s="1" t="n">
        <v>45702</v>
      </c>
      <c r="C7404" s="1" t="n">
        <v>45732</v>
      </c>
      <c r="D7404" t="inlineStr">
        <is>
          <t>SÖDERMANLANDS LÄN</t>
        </is>
      </c>
      <c r="E7404" t="inlineStr">
        <is>
          <t>NYKÖPING</t>
        </is>
      </c>
      <c r="F7404" t="inlineStr">
        <is>
          <t>Övriga Aktiebolag</t>
        </is>
      </c>
      <c r="G7404" t="n">
        <v>1.2</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45732</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45732</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7425-2025</t>
        </is>
      </c>
      <c r="B7407" s="1" t="n">
        <v>45705</v>
      </c>
      <c r="C7407" s="1" t="n">
        <v>45732</v>
      </c>
      <c r="D7407" t="inlineStr">
        <is>
          <t>SÖDERMANLANDS LÄN</t>
        </is>
      </c>
      <c r="E7407" t="inlineStr">
        <is>
          <t>NYKÖPING</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7537-2025</t>
        </is>
      </c>
      <c r="B7408" s="1" t="n">
        <v>45705</v>
      </c>
      <c r="C7408" s="1" t="n">
        <v>45732</v>
      </c>
      <c r="D7408" t="inlineStr">
        <is>
          <t>SÖDERMANLANDS LÄN</t>
        </is>
      </c>
      <c r="E7408" t="inlineStr">
        <is>
          <t>VINGÅKER</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7539-2025</t>
        </is>
      </c>
      <c r="B7409" s="1" t="n">
        <v>45705</v>
      </c>
      <c r="C7409" s="1" t="n">
        <v>45732</v>
      </c>
      <c r="D7409" t="inlineStr">
        <is>
          <t>SÖDERMANLANDS LÄN</t>
        </is>
      </c>
      <c r="E7409" t="inlineStr">
        <is>
          <t>VINGÅKER</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45732</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45732</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45732</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45732</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45732</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45732</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45732</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45732</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45732</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45732</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45732</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45732</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45732</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8920-2025</t>
        </is>
      </c>
      <c r="B7423" s="1" t="n">
        <v>45713</v>
      </c>
      <c r="C7423" s="1" t="n">
        <v>45732</v>
      </c>
      <c r="D7423" t="inlineStr">
        <is>
          <t>SÖDERMANLANDS LÄN</t>
        </is>
      </c>
      <c r="E7423" t="inlineStr">
        <is>
          <t>ESKILSTUNA</t>
        </is>
      </c>
      <c r="F7423" t="inlineStr">
        <is>
          <t>Allmännings- och besparingsskogar</t>
        </is>
      </c>
      <c r="G7423" t="n">
        <v>1.6</v>
      </c>
      <c r="H7423" t="n">
        <v>0</v>
      </c>
      <c r="I7423" t="n">
        <v>0</v>
      </c>
      <c r="J7423" t="n">
        <v>0</v>
      </c>
      <c r="K7423" t="n">
        <v>0</v>
      </c>
      <c r="L7423" t="n">
        <v>0</v>
      </c>
      <c r="M7423" t="n">
        <v>0</v>
      </c>
      <c r="N7423" t="n">
        <v>0</v>
      </c>
      <c r="O7423" t="n">
        <v>0</v>
      </c>
      <c r="P7423" t="n">
        <v>0</v>
      </c>
      <c r="Q7423" t="n">
        <v>0</v>
      </c>
      <c r="R7423" s="2" t="inlineStr"/>
    </row>
    <row r="7424" ht="15" customHeight="1">
      <c r="A7424" t="inlineStr">
        <is>
          <t>A 8856-2025</t>
        </is>
      </c>
      <c r="B7424" s="1" t="n">
        <v>45713</v>
      </c>
      <c r="C7424" s="1" t="n">
        <v>45732</v>
      </c>
      <c r="D7424" t="inlineStr">
        <is>
          <t>SÖDERMANLANDS LÄN</t>
        </is>
      </c>
      <c r="E7424" t="inlineStr">
        <is>
          <t>NYKÖPING</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8969-2025</t>
        </is>
      </c>
      <c r="B7425" s="1" t="n">
        <v>45713</v>
      </c>
      <c r="C7425" s="1" t="n">
        <v>45732</v>
      </c>
      <c r="D7425" t="inlineStr">
        <is>
          <t>SÖDERMANLANDS LÄN</t>
        </is>
      </c>
      <c r="E7425" t="inlineStr">
        <is>
          <t>FLEN</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8958-2025</t>
        </is>
      </c>
      <c r="B7426" s="1" t="n">
        <v>45713</v>
      </c>
      <c r="C7426" s="1" t="n">
        <v>45732</v>
      </c>
      <c r="D7426" t="inlineStr">
        <is>
          <t>SÖDERMANLANDS LÄN</t>
        </is>
      </c>
      <c r="E7426" t="inlineStr">
        <is>
          <t>NYKÖPING</t>
        </is>
      </c>
      <c r="F7426" t="inlineStr">
        <is>
          <t>Kyrkan</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8976-2025</t>
        </is>
      </c>
      <c r="B7427" s="1" t="n">
        <v>45713</v>
      </c>
      <c r="C7427" s="1" t="n">
        <v>45732</v>
      </c>
      <c r="D7427" t="inlineStr">
        <is>
          <t>SÖDERMANLANDS LÄN</t>
        </is>
      </c>
      <c r="E7427" t="inlineStr">
        <is>
          <t>NYKÖPING</t>
        </is>
      </c>
      <c r="F7427" t="inlineStr">
        <is>
          <t>Kyrkan</t>
        </is>
      </c>
      <c r="G7427" t="n">
        <v>4.1</v>
      </c>
      <c r="H7427" t="n">
        <v>0</v>
      </c>
      <c r="I7427" t="n">
        <v>0</v>
      </c>
      <c r="J7427" t="n">
        <v>0</v>
      </c>
      <c r="K7427" t="n">
        <v>0</v>
      </c>
      <c r="L7427" t="n">
        <v>0</v>
      </c>
      <c r="M7427" t="n">
        <v>0</v>
      </c>
      <c r="N7427" t="n">
        <v>0</v>
      </c>
      <c r="O7427" t="n">
        <v>0</v>
      </c>
      <c r="P7427" t="n">
        <v>0</v>
      </c>
      <c r="Q7427" t="n">
        <v>0</v>
      </c>
      <c r="R7427" s="2" t="inlineStr"/>
    </row>
    <row r="7428" ht="15" customHeight="1">
      <c r="A7428" t="inlineStr">
        <is>
          <t>A 8998-2025</t>
        </is>
      </c>
      <c r="B7428" s="1" t="n">
        <v>45713</v>
      </c>
      <c r="C7428" s="1" t="n">
        <v>45732</v>
      </c>
      <c r="D7428" t="inlineStr">
        <is>
          <t>SÖDERMANLANDS LÄN</t>
        </is>
      </c>
      <c r="E7428" t="inlineStr">
        <is>
          <t>STRÄNGNÄS</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9074-2025</t>
        </is>
      </c>
      <c r="B7429" s="1" t="n">
        <v>45713</v>
      </c>
      <c r="C7429" s="1" t="n">
        <v>45732</v>
      </c>
      <c r="D7429" t="inlineStr">
        <is>
          <t>SÖDERMANLANDS LÄN</t>
        </is>
      </c>
      <c r="E7429" t="inlineStr">
        <is>
          <t>FLEN</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8959-2025</t>
        </is>
      </c>
      <c r="B7430" s="1" t="n">
        <v>45713</v>
      </c>
      <c r="C7430" s="1" t="n">
        <v>45732</v>
      </c>
      <c r="D7430" t="inlineStr">
        <is>
          <t>SÖDERMANLANDS LÄN</t>
        </is>
      </c>
      <c r="E7430" t="inlineStr">
        <is>
          <t>NYKÖPING</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9079-2025</t>
        </is>
      </c>
      <c r="B7431" s="1" t="n">
        <v>45713</v>
      </c>
      <c r="C7431" s="1" t="n">
        <v>45732</v>
      </c>
      <c r="D7431" t="inlineStr">
        <is>
          <t>SÖDERMANLANDS LÄN</t>
        </is>
      </c>
      <c r="E7431" t="inlineStr">
        <is>
          <t>FLEN</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45732</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45732</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9547-2025</t>
        </is>
      </c>
      <c r="B7434" s="1" t="n">
        <v>45715</v>
      </c>
      <c r="C7434" s="1" t="n">
        <v>45732</v>
      </c>
      <c r="D7434" t="inlineStr">
        <is>
          <t>SÖDERMANLANDS LÄN</t>
        </is>
      </c>
      <c r="E7434" t="inlineStr">
        <is>
          <t>NYKÖPING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9515-2025</t>
        </is>
      </c>
      <c r="B7435" s="1" t="n">
        <v>45715</v>
      </c>
      <c r="C7435" s="1" t="n">
        <v>45732</v>
      </c>
      <c r="D7435" t="inlineStr">
        <is>
          <t>SÖDERMANLANDS LÄN</t>
        </is>
      </c>
      <c r="E7435" t="inlineStr">
        <is>
          <t>ESKILSTUNA</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9815-2025</t>
        </is>
      </c>
      <c r="B7436" s="1" t="n">
        <v>45715</v>
      </c>
      <c r="C7436" s="1" t="n">
        <v>45732</v>
      </c>
      <c r="D7436" t="inlineStr">
        <is>
          <t>SÖDERMANLANDS LÄN</t>
        </is>
      </c>
      <c r="E7436" t="inlineStr">
        <is>
          <t>VINGÅKER</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9711-2025</t>
        </is>
      </c>
      <c r="B7437" s="1" t="n">
        <v>45715</v>
      </c>
      <c r="C7437" s="1" t="n">
        <v>45732</v>
      </c>
      <c r="D7437" t="inlineStr">
        <is>
          <t>SÖDERMANLANDS LÄN</t>
        </is>
      </c>
      <c r="E7437" t="inlineStr">
        <is>
          <t>ESKILSTUNA</t>
        </is>
      </c>
      <c r="G7437" t="n">
        <v>3.7</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45732</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45732</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45732</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45732</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45732</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10331-2025</t>
        </is>
      </c>
      <c r="B7443" s="1" t="n">
        <v>45720</v>
      </c>
      <c r="C7443" s="1" t="n">
        <v>45732</v>
      </c>
      <c r="D7443" t="inlineStr">
        <is>
          <t>SÖDERMANLANDS LÄN</t>
        </is>
      </c>
      <c r="E7443" t="inlineStr">
        <is>
          <t>GNESTA</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10246-2025</t>
        </is>
      </c>
      <c r="B7444" s="1" t="n">
        <v>45720</v>
      </c>
      <c r="C7444" s="1" t="n">
        <v>45732</v>
      </c>
      <c r="D7444" t="inlineStr">
        <is>
          <t>SÖDERMANLANDS LÄN</t>
        </is>
      </c>
      <c r="E7444" t="inlineStr">
        <is>
          <t>FLEN</t>
        </is>
      </c>
      <c r="G7444" t="n">
        <v>6.1</v>
      </c>
      <c r="H7444" t="n">
        <v>0</v>
      </c>
      <c r="I7444" t="n">
        <v>0</v>
      </c>
      <c r="J7444" t="n">
        <v>0</v>
      </c>
      <c r="K7444" t="n">
        <v>0</v>
      </c>
      <c r="L7444" t="n">
        <v>0</v>
      </c>
      <c r="M7444" t="n">
        <v>0</v>
      </c>
      <c r="N7444" t="n">
        <v>0</v>
      </c>
      <c r="O7444" t="n">
        <v>0</v>
      </c>
      <c r="P7444" t="n">
        <v>0</v>
      </c>
      <c r="Q7444" t="n">
        <v>0</v>
      </c>
      <c r="R7444" s="2" t="inlineStr"/>
    </row>
    <row r="7445" ht="15" customHeight="1">
      <c r="A7445" t="inlineStr">
        <is>
          <t>A 10441-2025</t>
        </is>
      </c>
      <c r="B7445" s="1" t="n">
        <v>45720</v>
      </c>
      <c r="C7445" s="1" t="n">
        <v>45732</v>
      </c>
      <c r="D7445" t="inlineStr">
        <is>
          <t>SÖDERMANLANDS LÄN</t>
        </is>
      </c>
      <c r="E7445" t="inlineStr">
        <is>
          <t>GNESTA</t>
        </is>
      </c>
      <c r="F7445" t="inlineStr">
        <is>
          <t>Allmännings- och besparingsskogar</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10324-2025</t>
        </is>
      </c>
      <c r="B7446" s="1" t="n">
        <v>45720</v>
      </c>
      <c r="C7446" s="1" t="n">
        <v>45732</v>
      </c>
      <c r="D7446" t="inlineStr">
        <is>
          <t>SÖDERMANLANDS LÄN</t>
        </is>
      </c>
      <c r="E7446" t="inlineStr">
        <is>
          <t>FLEN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10281-2025</t>
        </is>
      </c>
      <c r="B7447" s="1" t="n">
        <v>45720</v>
      </c>
      <c r="C7447" s="1" t="n">
        <v>45732</v>
      </c>
      <c r="D7447" t="inlineStr">
        <is>
          <t>SÖDERMANLANDS LÄN</t>
        </is>
      </c>
      <c r="E7447" t="inlineStr">
        <is>
          <t>FLEN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10293-2025</t>
        </is>
      </c>
      <c r="B7448" s="1" t="n">
        <v>45720</v>
      </c>
      <c r="C7448" s="1" t="n">
        <v>45732</v>
      </c>
      <c r="D7448" t="inlineStr">
        <is>
          <t>SÖDERMANLANDS LÄN</t>
        </is>
      </c>
      <c r="E7448" t="inlineStr">
        <is>
          <t>KATRINEHOLM</t>
        </is>
      </c>
      <c r="F7448" t="inlineStr">
        <is>
          <t>Övriga Aktiebolag</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10353-2025</t>
        </is>
      </c>
      <c r="B7449" s="1" t="n">
        <v>45720</v>
      </c>
      <c r="C7449" s="1" t="n">
        <v>45732</v>
      </c>
      <c r="D7449" t="inlineStr">
        <is>
          <t>SÖDERMANLANDS LÄN</t>
        </is>
      </c>
      <c r="E7449" t="inlineStr">
        <is>
          <t>NYKÖPING</t>
        </is>
      </c>
      <c r="G7449" t="n">
        <v>7.8</v>
      </c>
      <c r="H7449" t="n">
        <v>0</v>
      </c>
      <c r="I7449" t="n">
        <v>0</v>
      </c>
      <c r="J7449" t="n">
        <v>0</v>
      </c>
      <c r="K7449" t="n">
        <v>0</v>
      </c>
      <c r="L7449" t="n">
        <v>0</v>
      </c>
      <c r="M7449" t="n">
        <v>0</v>
      </c>
      <c r="N7449" t="n">
        <v>0</v>
      </c>
      <c r="O7449" t="n">
        <v>0</v>
      </c>
      <c r="P7449" t="n">
        <v>0</v>
      </c>
      <c r="Q7449" t="n">
        <v>0</v>
      </c>
      <c r="R7449" s="2" t="inlineStr"/>
    </row>
    <row r="7450" ht="15" customHeight="1">
      <c r="A7450" t="inlineStr">
        <is>
          <t>A 10439-2025</t>
        </is>
      </c>
      <c r="B7450" s="1" t="n">
        <v>45720</v>
      </c>
      <c r="C7450" s="1" t="n">
        <v>45732</v>
      </c>
      <c r="D7450" t="inlineStr">
        <is>
          <t>SÖDERMANLANDS LÄN</t>
        </is>
      </c>
      <c r="E7450" t="inlineStr">
        <is>
          <t>GNESTA</t>
        </is>
      </c>
      <c r="F7450" t="inlineStr">
        <is>
          <t>Allmännings- och besparingsskogar</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10469-2025</t>
        </is>
      </c>
      <c r="B7451" s="1" t="n">
        <v>45720</v>
      </c>
      <c r="C7451" s="1" t="n">
        <v>45732</v>
      </c>
      <c r="D7451" t="inlineStr">
        <is>
          <t>SÖDERMANLANDS LÄN</t>
        </is>
      </c>
      <c r="E7451" t="inlineStr">
        <is>
          <t>NYKÖPING</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10616-2025</t>
        </is>
      </c>
      <c r="B7452" s="1" t="n">
        <v>45721</v>
      </c>
      <c r="C7452" s="1" t="n">
        <v>45732</v>
      </c>
      <c r="D7452" t="inlineStr">
        <is>
          <t>SÖDERMANLANDS LÄN</t>
        </is>
      </c>
      <c r="E7452" t="inlineStr">
        <is>
          <t>NYKÖPING</t>
        </is>
      </c>
      <c r="G7452" t="n">
        <v>6.4</v>
      </c>
      <c r="H7452" t="n">
        <v>0</v>
      </c>
      <c r="I7452" t="n">
        <v>0</v>
      </c>
      <c r="J7452" t="n">
        <v>0</v>
      </c>
      <c r="K7452" t="n">
        <v>0</v>
      </c>
      <c r="L7452" t="n">
        <v>0</v>
      </c>
      <c r="M7452" t="n">
        <v>0</v>
      </c>
      <c r="N7452" t="n">
        <v>0</v>
      </c>
      <c r="O7452" t="n">
        <v>0</v>
      </c>
      <c r="P7452" t="n">
        <v>0</v>
      </c>
      <c r="Q7452" t="n">
        <v>0</v>
      </c>
      <c r="R7452" s="2" t="inlineStr"/>
    </row>
    <row r="7453" ht="15" customHeight="1">
      <c r="A7453" t="inlineStr">
        <is>
          <t>A 10637-2025</t>
        </is>
      </c>
      <c r="B7453" s="1" t="n">
        <v>45721</v>
      </c>
      <c r="C7453" s="1" t="n">
        <v>45732</v>
      </c>
      <c r="D7453" t="inlineStr">
        <is>
          <t>SÖDERMANLANDS LÄN</t>
        </is>
      </c>
      <c r="E7453" t="inlineStr">
        <is>
          <t>NYKÖPING</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10534-2025</t>
        </is>
      </c>
      <c r="B7454" s="1" t="n">
        <v>45721</v>
      </c>
      <c r="C7454" s="1" t="n">
        <v>45732</v>
      </c>
      <c r="D7454" t="inlineStr">
        <is>
          <t>SÖDERMANLANDS LÄN</t>
        </is>
      </c>
      <c r="E7454" t="inlineStr">
        <is>
          <t>NYKÖPING</t>
        </is>
      </c>
      <c r="F7454" t="inlineStr">
        <is>
          <t>Kyrkan</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10558-2025</t>
        </is>
      </c>
      <c r="B7455" s="1" t="n">
        <v>45721</v>
      </c>
      <c r="C7455" s="1" t="n">
        <v>45732</v>
      </c>
      <c r="D7455" t="inlineStr">
        <is>
          <t>SÖDERMANLANDS LÄN</t>
        </is>
      </c>
      <c r="E7455" t="inlineStr">
        <is>
          <t>STRÄNGNÄS</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10622-2025</t>
        </is>
      </c>
      <c r="B7456" s="1" t="n">
        <v>45721</v>
      </c>
      <c r="C7456" s="1" t="n">
        <v>45732</v>
      </c>
      <c r="D7456" t="inlineStr">
        <is>
          <t>SÖDERMANLANDS LÄN</t>
        </is>
      </c>
      <c r="E7456" t="inlineStr">
        <is>
          <t>NYKÖPING</t>
        </is>
      </c>
      <c r="G7456" t="n">
        <v>7</v>
      </c>
      <c r="H7456" t="n">
        <v>0</v>
      </c>
      <c r="I7456" t="n">
        <v>0</v>
      </c>
      <c r="J7456" t="n">
        <v>0</v>
      </c>
      <c r="K7456" t="n">
        <v>0</v>
      </c>
      <c r="L7456" t="n">
        <v>0</v>
      </c>
      <c r="M7456" t="n">
        <v>0</v>
      </c>
      <c r="N7456" t="n">
        <v>0</v>
      </c>
      <c r="O7456" t="n">
        <v>0</v>
      </c>
      <c r="P7456" t="n">
        <v>0</v>
      </c>
      <c r="Q7456" t="n">
        <v>0</v>
      </c>
      <c r="R7456" s="2" t="inlineStr"/>
    </row>
    <row r="7457" ht="15" customHeight="1">
      <c r="A7457" t="inlineStr">
        <is>
          <t>A 10634-2025</t>
        </is>
      </c>
      <c r="B7457" s="1" t="n">
        <v>45721</v>
      </c>
      <c r="C7457" s="1" t="n">
        <v>45732</v>
      </c>
      <c r="D7457" t="inlineStr">
        <is>
          <t>SÖDERMANLANDS LÄN</t>
        </is>
      </c>
      <c r="E7457" t="inlineStr">
        <is>
          <t>NYKÖPING</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10639-2025</t>
        </is>
      </c>
      <c r="B7458" s="1" t="n">
        <v>45721</v>
      </c>
      <c r="C7458" s="1" t="n">
        <v>45732</v>
      </c>
      <c r="D7458" t="inlineStr">
        <is>
          <t>SÖDERMANLANDS LÄN</t>
        </is>
      </c>
      <c r="E7458" t="inlineStr">
        <is>
          <t>NYKÖPING</t>
        </is>
      </c>
      <c r="G7458" t="n">
        <v>2.5</v>
      </c>
      <c r="H7458" t="n">
        <v>0</v>
      </c>
      <c r="I7458" t="n">
        <v>0</v>
      </c>
      <c r="J7458" t="n">
        <v>0</v>
      </c>
      <c r="K7458" t="n">
        <v>0</v>
      </c>
      <c r="L7458" t="n">
        <v>0</v>
      </c>
      <c r="M7458" t="n">
        <v>0</v>
      </c>
      <c r="N7458" t="n">
        <v>0</v>
      </c>
      <c r="O7458" t="n">
        <v>0</v>
      </c>
      <c r="P7458" t="n">
        <v>0</v>
      </c>
      <c r="Q7458" t="n">
        <v>0</v>
      </c>
      <c r="R7458" s="2" t="inlineStr"/>
    </row>
    <row r="7459" ht="15" customHeight="1">
      <c r="A7459" t="inlineStr">
        <is>
          <t>A 10613-2025</t>
        </is>
      </c>
      <c r="B7459" s="1" t="n">
        <v>45721</v>
      </c>
      <c r="C7459" s="1" t="n">
        <v>45732</v>
      </c>
      <c r="D7459" t="inlineStr">
        <is>
          <t>SÖDERMANLANDS LÄN</t>
        </is>
      </c>
      <c r="E7459" t="inlineStr">
        <is>
          <t>NYKÖPING</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10619-2025</t>
        </is>
      </c>
      <c r="B7460" s="1" t="n">
        <v>45721</v>
      </c>
      <c r="C7460" s="1" t="n">
        <v>45732</v>
      </c>
      <c r="D7460" t="inlineStr">
        <is>
          <t>SÖDERMANLANDS LÄN</t>
        </is>
      </c>
      <c r="E7460" t="inlineStr">
        <is>
          <t>NYKÖPING</t>
        </is>
      </c>
      <c r="G7460" t="n">
        <v>1.6</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45732</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11128-2025</t>
        </is>
      </c>
      <c r="B7462" s="1" t="n">
        <v>45723</v>
      </c>
      <c r="C7462" s="1" t="n">
        <v>45732</v>
      </c>
      <c r="D7462" t="inlineStr">
        <is>
          <t>SÖDERMANLANDS LÄN</t>
        </is>
      </c>
      <c r="E7462" t="inlineStr">
        <is>
          <t>ESKILSTUNA</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10999-2025</t>
        </is>
      </c>
      <c r="B7463" s="1" t="n">
        <v>45723</v>
      </c>
      <c r="C7463" s="1" t="n">
        <v>45732</v>
      </c>
      <c r="D7463" t="inlineStr">
        <is>
          <t>SÖDERMANLANDS LÄN</t>
        </is>
      </c>
      <c r="E7463" t="inlineStr">
        <is>
          <t>FLEN</t>
        </is>
      </c>
      <c r="F7463" t="inlineStr">
        <is>
          <t>Holmen skog AB</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11114-2025</t>
        </is>
      </c>
      <c r="B7464" s="1" t="n">
        <v>45723</v>
      </c>
      <c r="C7464" s="1" t="n">
        <v>45732</v>
      </c>
      <c r="D7464" t="inlineStr">
        <is>
          <t>SÖDERMANLANDS LÄN</t>
        </is>
      </c>
      <c r="E7464" t="inlineStr">
        <is>
          <t>ESKILSTUNA</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11014-2025</t>
        </is>
      </c>
      <c r="B7465" s="1" t="n">
        <v>45723</v>
      </c>
      <c r="C7465" s="1" t="n">
        <v>45732</v>
      </c>
      <c r="D7465" t="inlineStr">
        <is>
          <t>SÖDERMANLANDS LÄN</t>
        </is>
      </c>
      <c r="E7465" t="inlineStr">
        <is>
          <t>ESKILSTUNA</t>
        </is>
      </c>
      <c r="F7465" t="inlineStr">
        <is>
          <t>Holmen skog AB</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45732</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11125-2025</t>
        </is>
      </c>
      <c r="B7467" s="1" t="n">
        <v>45723</v>
      </c>
      <c r="C7467" s="1" t="n">
        <v>45732</v>
      </c>
      <c r="D7467" t="inlineStr">
        <is>
          <t>SÖDERMANLANDS LÄN</t>
        </is>
      </c>
      <c r="E7467" t="inlineStr">
        <is>
          <t>ESKILSTUNA</t>
        </is>
      </c>
      <c r="G7467" t="n">
        <v>4.1</v>
      </c>
      <c r="H7467" t="n">
        <v>0</v>
      </c>
      <c r="I7467" t="n">
        <v>0</v>
      </c>
      <c r="J7467" t="n">
        <v>0</v>
      </c>
      <c r="K7467" t="n">
        <v>0</v>
      </c>
      <c r="L7467" t="n">
        <v>0</v>
      </c>
      <c r="M7467" t="n">
        <v>0</v>
      </c>
      <c r="N7467" t="n">
        <v>0</v>
      </c>
      <c r="O7467" t="n">
        <v>0</v>
      </c>
      <c r="P7467" t="n">
        <v>0</v>
      </c>
      <c r="Q7467" t="n">
        <v>0</v>
      </c>
      <c r="R7467" s="2" t="inlineStr"/>
    </row>
    <row r="7468" ht="15" customHeight="1">
      <c r="A7468" t="inlineStr">
        <is>
          <t>A 11454-2025</t>
        </is>
      </c>
      <c r="B7468" s="1" t="n">
        <v>45726</v>
      </c>
      <c r="C7468" s="1" t="n">
        <v>45732</v>
      </c>
      <c r="D7468" t="inlineStr">
        <is>
          <t>SÖDERMANLANDS LÄN</t>
        </is>
      </c>
      <c r="E7468" t="inlineStr">
        <is>
          <t>KATRINEHOLM</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11281-2025</t>
        </is>
      </c>
      <c r="B7469" s="1" t="n">
        <v>45726</v>
      </c>
      <c r="C7469" s="1" t="n">
        <v>45732</v>
      </c>
      <c r="D7469" t="inlineStr">
        <is>
          <t>SÖDERMANLANDS LÄN</t>
        </is>
      </c>
      <c r="E7469" t="inlineStr">
        <is>
          <t>STRÄNGNÄS</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11500-2025</t>
        </is>
      </c>
      <c r="B7470" s="1" t="n">
        <v>45726</v>
      </c>
      <c r="C7470" s="1" t="n">
        <v>45732</v>
      </c>
      <c r="D7470" t="inlineStr">
        <is>
          <t>SÖDERMANLANDS LÄN</t>
        </is>
      </c>
      <c r="E7470" t="inlineStr">
        <is>
          <t>VINGÅKER</t>
        </is>
      </c>
      <c r="G7470" t="n">
        <v>1.9</v>
      </c>
      <c r="H7470" t="n">
        <v>0</v>
      </c>
      <c r="I7470" t="n">
        <v>0</v>
      </c>
      <c r="J7470" t="n">
        <v>0</v>
      </c>
      <c r="K7470" t="n">
        <v>0</v>
      </c>
      <c r="L7470" t="n">
        <v>0</v>
      </c>
      <c r="M7470" t="n">
        <v>0</v>
      </c>
      <c r="N7470" t="n">
        <v>0</v>
      </c>
      <c r="O7470" t="n">
        <v>0</v>
      </c>
      <c r="P7470" t="n">
        <v>0</v>
      </c>
      <c r="Q7470" t="n">
        <v>0</v>
      </c>
      <c r="R7470" s="2" t="inlineStr"/>
    </row>
    <row r="7471" ht="15" customHeight="1">
      <c r="A7471" t="inlineStr">
        <is>
          <t>A 11543-2025</t>
        </is>
      </c>
      <c r="B7471" s="1" t="n">
        <v>45727</v>
      </c>
      <c r="C7471" s="1" t="n">
        <v>45732</v>
      </c>
      <c r="D7471" t="inlineStr">
        <is>
          <t>SÖDERMANLANDS LÄN</t>
        </is>
      </c>
      <c r="E7471" t="inlineStr">
        <is>
          <t>KATRINEHOLM</t>
        </is>
      </c>
      <c r="G7471" t="n">
        <v>3.6</v>
      </c>
      <c r="H7471" t="n">
        <v>0</v>
      </c>
      <c r="I7471" t="n">
        <v>0</v>
      </c>
      <c r="J7471" t="n">
        <v>0</v>
      </c>
      <c r="K7471" t="n">
        <v>0</v>
      </c>
      <c r="L7471" t="n">
        <v>0</v>
      </c>
      <c r="M7471" t="n">
        <v>0</v>
      </c>
      <c r="N7471" t="n">
        <v>0</v>
      </c>
      <c r="O7471" t="n">
        <v>0</v>
      </c>
      <c r="P7471" t="n">
        <v>0</v>
      </c>
      <c r="Q7471" t="n">
        <v>0</v>
      </c>
      <c r="R7471" s="2" t="inlineStr"/>
    </row>
    <row r="7472" ht="15" customHeight="1">
      <c r="A7472" t="inlineStr">
        <is>
          <t>A 11554-2025</t>
        </is>
      </c>
      <c r="B7472" s="1" t="n">
        <v>45727</v>
      </c>
      <c r="C7472" s="1" t="n">
        <v>45732</v>
      </c>
      <c r="D7472" t="inlineStr">
        <is>
          <t>SÖDERMANLANDS LÄN</t>
        </is>
      </c>
      <c r="E7472" t="inlineStr">
        <is>
          <t>NYKÖPING</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11828-2025</t>
        </is>
      </c>
      <c r="B7473" s="1" t="n">
        <v>45727</v>
      </c>
      <c r="C7473" s="1" t="n">
        <v>45732</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12227-2025</t>
        </is>
      </c>
      <c r="B7474" s="1" t="n">
        <v>45729</v>
      </c>
      <c r="C7474" s="1" t="n">
        <v>45732</v>
      </c>
      <c r="D7474" t="inlineStr">
        <is>
          <t>SÖDERMANLANDS LÄN</t>
        </is>
      </c>
      <c r="E7474" t="inlineStr">
        <is>
          <t>KATRINEHOLM</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12144-2025</t>
        </is>
      </c>
      <c r="B7475" s="1" t="n">
        <v>45729</v>
      </c>
      <c r="C7475" s="1" t="n">
        <v>45732</v>
      </c>
      <c r="D7475" t="inlineStr">
        <is>
          <t>SÖDERMANLANDS LÄN</t>
        </is>
      </c>
      <c r="E7475" t="inlineStr">
        <is>
          <t>NYKÖPING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12140-2025</t>
        </is>
      </c>
      <c r="B7476" s="1" t="n">
        <v>45729</v>
      </c>
      <c r="C7476" s="1" t="n">
        <v>45732</v>
      </c>
      <c r="D7476" t="inlineStr">
        <is>
          <t>SÖDERMANLANDS LÄN</t>
        </is>
      </c>
      <c r="E7476" t="inlineStr">
        <is>
          <t>NYKÖPING</t>
        </is>
      </c>
      <c r="G7476" t="n">
        <v>6.3</v>
      </c>
      <c r="H7476" t="n">
        <v>0</v>
      </c>
      <c r="I7476" t="n">
        <v>0</v>
      </c>
      <c r="J7476" t="n">
        <v>0</v>
      </c>
      <c r="K7476" t="n">
        <v>0</v>
      </c>
      <c r="L7476" t="n">
        <v>0</v>
      </c>
      <c r="M7476" t="n">
        <v>0</v>
      </c>
      <c r="N7476" t="n">
        <v>0</v>
      </c>
      <c r="O7476" t="n">
        <v>0</v>
      </c>
      <c r="P7476" t="n">
        <v>0</v>
      </c>
      <c r="Q7476" t="n">
        <v>0</v>
      </c>
      <c r="R7476" s="2" t="inlineStr"/>
    </row>
    <row r="7477" ht="15" customHeight="1">
      <c r="A7477" t="inlineStr">
        <is>
          <t>A 12295-2025</t>
        </is>
      </c>
      <c r="B7477" s="1" t="n">
        <v>45729</v>
      </c>
      <c r="C7477" s="1" t="n">
        <v>45732</v>
      </c>
      <c r="D7477" t="inlineStr">
        <is>
          <t>SÖDERMANLANDS LÄN</t>
        </is>
      </c>
      <c r="E7477" t="inlineStr">
        <is>
          <t>FLEN</t>
        </is>
      </c>
      <c r="G7477" t="n">
        <v>4</v>
      </c>
      <c r="H7477" t="n">
        <v>0</v>
      </c>
      <c r="I7477" t="n">
        <v>0</v>
      </c>
      <c r="J7477" t="n">
        <v>0</v>
      </c>
      <c r="K7477" t="n">
        <v>0</v>
      </c>
      <c r="L7477" t="n">
        <v>0</v>
      </c>
      <c r="M7477" t="n">
        <v>0</v>
      </c>
      <c r="N7477" t="n">
        <v>0</v>
      </c>
      <c r="O7477" t="n">
        <v>0</v>
      </c>
      <c r="P7477" t="n">
        <v>0</v>
      </c>
      <c r="Q7477" t="n">
        <v>0</v>
      </c>
      <c r="R7477" s="2" t="inlineStr"/>
    </row>
    <row r="7478" ht="15" customHeight="1">
      <c r="A7478" t="inlineStr">
        <is>
          <t>A 12139-2025</t>
        </is>
      </c>
      <c r="B7478" s="1" t="n">
        <v>45729</v>
      </c>
      <c r="C7478" s="1" t="n">
        <v>45732</v>
      </c>
      <c r="D7478" t="inlineStr">
        <is>
          <t>SÖDERMANLANDS LÄN</t>
        </is>
      </c>
      <c r="E7478" t="inlineStr">
        <is>
          <t>NYKÖPING</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12135-2025</t>
        </is>
      </c>
      <c r="B7479" s="1" t="n">
        <v>45729</v>
      </c>
      <c r="C7479" s="1" t="n">
        <v>45732</v>
      </c>
      <c r="D7479" t="inlineStr">
        <is>
          <t>SÖDERMANLANDS LÄN</t>
        </is>
      </c>
      <c r="E7479" t="inlineStr">
        <is>
          <t>NYKÖPING</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12157-2025</t>
        </is>
      </c>
      <c r="B7480" s="1" t="n">
        <v>45729</v>
      </c>
      <c r="C7480" s="1" t="n">
        <v>45732</v>
      </c>
      <c r="D7480" t="inlineStr">
        <is>
          <t>SÖDERMANLANDS LÄN</t>
        </is>
      </c>
      <c r="E7480" t="inlineStr">
        <is>
          <t>NYKÖPING</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12153-2025</t>
        </is>
      </c>
      <c r="B7481" s="1" t="n">
        <v>45729</v>
      </c>
      <c r="C7481" s="1" t="n">
        <v>45732</v>
      </c>
      <c r="D7481" t="inlineStr">
        <is>
          <t>SÖDERMANLANDS LÄN</t>
        </is>
      </c>
      <c r="E7481" t="inlineStr">
        <is>
          <t>NYKÖPING</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12451-2025</t>
        </is>
      </c>
      <c r="B7482" s="1" t="n">
        <v>45730</v>
      </c>
      <c r="C7482" s="1" t="n">
        <v>45732</v>
      </c>
      <c r="D7482" t="inlineStr">
        <is>
          <t>SÖDERMANLANDS LÄN</t>
        </is>
      </c>
      <c r="E7482" t="inlineStr">
        <is>
          <t>NYKÖPING</t>
        </is>
      </c>
      <c r="G7482" t="n">
        <v>6.9</v>
      </c>
      <c r="H7482" t="n">
        <v>0</v>
      </c>
      <c r="I7482" t="n">
        <v>0</v>
      </c>
      <c r="J7482" t="n">
        <v>0</v>
      </c>
      <c r="K7482" t="n">
        <v>0</v>
      </c>
      <c r="L7482" t="n">
        <v>0</v>
      </c>
      <c r="M7482" t="n">
        <v>0</v>
      </c>
      <c r="N7482" t="n">
        <v>0</v>
      </c>
      <c r="O7482" t="n">
        <v>0</v>
      </c>
      <c r="P7482" t="n">
        <v>0</v>
      </c>
      <c r="Q7482" t="n">
        <v>0</v>
      </c>
      <c r="R7482" s="2" t="inlineStr"/>
    </row>
    <row r="7483" ht="15" customHeight="1">
      <c r="A7483" t="inlineStr">
        <is>
          <t>A 12456-2025</t>
        </is>
      </c>
      <c r="B7483" s="1" t="n">
        <v>45730</v>
      </c>
      <c r="C7483" s="1" t="n">
        <v>45732</v>
      </c>
      <c r="D7483" t="inlineStr">
        <is>
          <t>SÖDERMANLANDS LÄN</t>
        </is>
      </c>
      <c r="E7483" t="inlineStr">
        <is>
          <t>NYKÖPING</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12460-2025</t>
        </is>
      </c>
      <c r="B7484" s="1" t="n">
        <v>45730</v>
      </c>
      <c r="C7484" s="1" t="n">
        <v>45732</v>
      </c>
      <c r="D7484" t="inlineStr">
        <is>
          <t>SÖDERMANLANDS LÄN</t>
        </is>
      </c>
      <c r="E7484" t="inlineStr">
        <is>
          <t>NYKÖPING</t>
        </is>
      </c>
      <c r="G7484" t="n">
        <v>1.5</v>
      </c>
      <c r="H7484" t="n">
        <v>0</v>
      </c>
      <c r="I7484" t="n">
        <v>0</v>
      </c>
      <c r="J7484" t="n">
        <v>0</v>
      </c>
      <c r="K7484" t="n">
        <v>0</v>
      </c>
      <c r="L7484" t="n">
        <v>0</v>
      </c>
      <c r="M7484" t="n">
        <v>0</v>
      </c>
      <c r="N7484" t="n">
        <v>0</v>
      </c>
      <c r="O7484" t="n">
        <v>0</v>
      </c>
      <c r="P7484" t="n">
        <v>0</v>
      </c>
      <c r="Q7484" t="n">
        <v>0</v>
      </c>
      <c r="R7484" s="2" t="inlineStr"/>
    </row>
    <row r="7485" ht="15" customHeight="1">
      <c r="A7485" t="inlineStr">
        <is>
          <t>A 12537-2025</t>
        </is>
      </c>
      <c r="B7485" s="1" t="n">
        <v>45730</v>
      </c>
      <c r="C7485" s="1" t="n">
        <v>45732</v>
      </c>
      <c r="D7485" t="inlineStr">
        <is>
          <t>SÖDERMANLANDS LÄN</t>
        </is>
      </c>
      <c r="E7485" t="inlineStr">
        <is>
          <t>NYKÖPING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12469-2025</t>
        </is>
      </c>
      <c r="B7486" s="1" t="n">
        <v>45730</v>
      </c>
      <c r="C7486" s="1" t="n">
        <v>45732</v>
      </c>
      <c r="D7486" t="inlineStr">
        <is>
          <t>SÖDERMANLANDS LÄN</t>
        </is>
      </c>
      <c r="E7486" t="inlineStr">
        <is>
          <t>NYKÖPING</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12538-2025</t>
        </is>
      </c>
      <c r="B7487" s="1" t="n">
        <v>45730</v>
      </c>
      <c r="C7487" s="1" t="n">
        <v>45732</v>
      </c>
      <c r="D7487" t="inlineStr">
        <is>
          <t>SÖDERMANLANDS LÄN</t>
        </is>
      </c>
      <c r="E7487" t="inlineStr">
        <is>
          <t>NYKÖPING</t>
        </is>
      </c>
      <c r="G7487" t="n">
        <v>0.4</v>
      </c>
      <c r="H7487" t="n">
        <v>0</v>
      </c>
      <c r="I7487" t="n">
        <v>0</v>
      </c>
      <c r="J7487" t="n">
        <v>0</v>
      </c>
      <c r="K7487" t="n">
        <v>0</v>
      </c>
      <c r="L7487" t="n">
        <v>0</v>
      </c>
      <c r="M7487" t="n">
        <v>0</v>
      </c>
      <c r="N7487" t="n">
        <v>0</v>
      </c>
      <c r="O7487" t="n">
        <v>0</v>
      </c>
      <c r="P7487" t="n">
        <v>0</v>
      </c>
      <c r="Q7487" t="n">
        <v>0</v>
      </c>
      <c r="R7487" s="2" t="inlineStr"/>
    </row>
    <row r="7488" ht="15" customHeight="1">
      <c r="A7488" t="inlineStr">
        <is>
          <t>A 12546-2025</t>
        </is>
      </c>
      <c r="B7488" s="1" t="n">
        <v>45730</v>
      </c>
      <c r="C7488" s="1" t="n">
        <v>45732</v>
      </c>
      <c r="D7488" t="inlineStr">
        <is>
          <t>SÖDERMANLANDS LÄN</t>
        </is>
      </c>
      <c r="E7488" t="inlineStr">
        <is>
          <t>STRÄNGNÄS</t>
        </is>
      </c>
      <c r="G7488" t="n">
        <v>9</v>
      </c>
      <c r="H7488" t="n">
        <v>0</v>
      </c>
      <c r="I7488" t="n">
        <v>0</v>
      </c>
      <c r="J7488" t="n">
        <v>0</v>
      </c>
      <c r="K7488" t="n">
        <v>0</v>
      </c>
      <c r="L7488" t="n">
        <v>0</v>
      </c>
      <c r="M7488" t="n">
        <v>0</v>
      </c>
      <c r="N7488" t="n">
        <v>0</v>
      </c>
      <c r="O7488" t="n">
        <v>0</v>
      </c>
      <c r="P7488" t="n">
        <v>0</v>
      </c>
      <c r="Q7488" t="n">
        <v>0</v>
      </c>
      <c r="R7488" s="2" t="inlineStr"/>
    </row>
    <row r="7489" ht="15" customHeight="1">
      <c r="A7489" t="inlineStr">
        <is>
          <t>A 12467-2025</t>
        </is>
      </c>
      <c r="B7489" s="1" t="n">
        <v>45730</v>
      </c>
      <c r="C7489" s="1" t="n">
        <v>45732</v>
      </c>
      <c r="D7489" t="inlineStr">
        <is>
          <t>SÖDERMANLANDS LÄN</t>
        </is>
      </c>
      <c r="E7489" t="inlineStr">
        <is>
          <t>NYKÖPING</t>
        </is>
      </c>
      <c r="G7489" t="n">
        <v>0.8</v>
      </c>
      <c r="H7489" t="n">
        <v>0</v>
      </c>
      <c r="I7489" t="n">
        <v>0</v>
      </c>
      <c r="J7489" t="n">
        <v>0</v>
      </c>
      <c r="K7489" t="n">
        <v>0</v>
      </c>
      <c r="L7489" t="n">
        <v>0</v>
      </c>
      <c r="M7489" t="n">
        <v>0</v>
      </c>
      <c r="N7489" t="n">
        <v>0</v>
      </c>
      <c r="O7489" t="n">
        <v>0</v>
      </c>
      <c r="P7489" t="n">
        <v>0</v>
      </c>
      <c r="Q7489" t="n">
        <v>0</v>
      </c>
      <c r="R7489" s="2" t="inlineStr"/>
    </row>
    <row r="7490">
      <c r="A7490" t="inlineStr">
        <is>
          <t>A 12570-2025</t>
        </is>
      </c>
      <c r="B7490" s="1" t="n">
        <v>45731</v>
      </c>
      <c r="C7490" s="1" t="n">
        <v>45732</v>
      </c>
      <c r="D7490" t="inlineStr">
        <is>
          <t>SÖDERMANLANDS LÄN</t>
        </is>
      </c>
      <c r="E7490" t="inlineStr">
        <is>
          <t>KATRINEHOLM</t>
        </is>
      </c>
      <c r="G7490" t="n">
        <v>14</v>
      </c>
      <c r="H7490" t="n">
        <v>0</v>
      </c>
      <c r="I7490" t="n">
        <v>0</v>
      </c>
      <c r="J7490" t="n">
        <v>0</v>
      </c>
      <c r="K7490" t="n">
        <v>0</v>
      </c>
      <c r="L7490" t="n">
        <v>0</v>
      </c>
      <c r="M7490" t="n">
        <v>0</v>
      </c>
      <c r="N7490" t="n">
        <v>0</v>
      </c>
      <c r="O7490" t="n">
        <v>0</v>
      </c>
      <c r="P7490" t="n">
        <v>0</v>
      </c>
      <c r="Q7490" t="n">
        <v>0</v>
      </c>
      <c r="R74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2025-03-16T17:01:52Z</dcterms:created>
  <dcterms:modified xmlns:dcterms="http://purl.org/dc/terms/" xmlns:xsi="http://www.w3.org/2001/XMLSchema-instance" xsi:type="dcterms:W3CDTF">2025-03-16T17:01:58Z</dcterms:modified>
</cp:coreProperties>
</file>