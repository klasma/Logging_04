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45637</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45637</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45637</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45637</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45637</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45637</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45637</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45637</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45637</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45637</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45637</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45637</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45637</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45637</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45637</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45637</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45637</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45637</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45637</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45637</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45637</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45637</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45637</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45637</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45637</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45637</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45637</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45637</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45637</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45637</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45637</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45637</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45637</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45637</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45637</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45637</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45637</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45637</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45637</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45637</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45637</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45637</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45637</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45637</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45637</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45637</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45637</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45637</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45637</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45637</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45637</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45637</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45637</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45637</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45637</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45637</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45637</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45637</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45637</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45637</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45637</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45637</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45637</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45637</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45637</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45637</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45637</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45637</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45637</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45637</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45637</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45637</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45637</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45637</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45637</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45637</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45637</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45637</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45637</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45637</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45637</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45637</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45637</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45637</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45637</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45637</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45637</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45637</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45637</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45637</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45637</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45637</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45637</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45637</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45637</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45637</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45637</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45637</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45637</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45637</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45637</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45637</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45637</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45637</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45637</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45637</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45637</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45637</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45637</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45637</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45637</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45637</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45637</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45637</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45637</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45637</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45637</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45637</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45637</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45637</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45637</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45637</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45637</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45637</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45637</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45637</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45637</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45637</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45637</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45637</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45637</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45637</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45637</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45637</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45637</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45637</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45637</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45637</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45637</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45637</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45637</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45637</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45637</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45637</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45637</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45637</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45637</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45637</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45637</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45637</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45637</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45637</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45637</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45637</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45637</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45637</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45637</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45637</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45637</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45637</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45637</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45637</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45637</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45637</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45637</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45637</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45637</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45637</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45637</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45637</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45637</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45637</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45637</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45637</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45637</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45637</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45637</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45637</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45637</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45637</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45637</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45637</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45637</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45637</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45637</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45637</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45637</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45637</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45637</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45637</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45637</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45637</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45637</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45637</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45637</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45637</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45637</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45637</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45637</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45637</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45637</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45637</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45637</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45637</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45637</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45637</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45637</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45637</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45637</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45637</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45637</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45637</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45637</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45637</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45637</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45637</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45637</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45637</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45637</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45637</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45637</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45637</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45637</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45637</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45637</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45637</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45637</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45637</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45637</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45637</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45637</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45637</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45637</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45637</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45637</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45637</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45637</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45637</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45637</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45637</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45637</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45637</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45637</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45637</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45637</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45637</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45637</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45637</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45637</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45637</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45637</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45637</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45637</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45637</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45637</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45637</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45637</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45637</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45637</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45637</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45637</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45637</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45637</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45637</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45637</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45637</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45637</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45637</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45637</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45637</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45637</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45637</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45637</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45637</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45637</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45637</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45637</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45637</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45637</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45637</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45637</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45637</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45637</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45637</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45637</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45637</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45637</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45637</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45637</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45637</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45637</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45637</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45637</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45637</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45637</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45637</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45637</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45637</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45637</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45637</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45637</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45637</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45637</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45637</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45637</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45637</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45637</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45637</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45637</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45637</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45637</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45637</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45637</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45637</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45637</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45637</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45637</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45637</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45637</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45637</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45637</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45637</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45637</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45637</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45637</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45637</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45637</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45637</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45637</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45637</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45637</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45637</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45637</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45637</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45637</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45637</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45637</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45637</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45637</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45637</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45637</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45637</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45637</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45637</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45637</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45637</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45637</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45637</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45637</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45637</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45637</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45637</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45637</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45637</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45637</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45637</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45637</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45637</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45637</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45637</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45637</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45637</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45637</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45637</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45637</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45637</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45637</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45637</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45637</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45637</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45637</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45637</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45637</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45637</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45637</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45637</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45637</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45637</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45637</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45637</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45637</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45637</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45637</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45637</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45637</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45637</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45637</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45637</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45637</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45637</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45637</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45637</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45637</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45637</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45637</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45637</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45637</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45637</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45637</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45637</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45637</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45637</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45637</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45637</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45637</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45637</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45637</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45637</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45637</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45637</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45637</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45637</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45637</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45637</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45637</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45637</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45637</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45637</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45637</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45637</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45637</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45637</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45637</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45637</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45637</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45637</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45637</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45637</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45637</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45637</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45637</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45637</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45637</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45637</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45637</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45637</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45637</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45637</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45637</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45637</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45637</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45637</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45637</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45637</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45637</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45637</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45637</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45637</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45637</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45637</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45637</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45637</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45637</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45637</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45637</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45637</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45637</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45637</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45637</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45637</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45637</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45637</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45637</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45637</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45637</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45637</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45637</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45637</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45637</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45637</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45637</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45637</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45637</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45637</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45637</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45637</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45637</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45637</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45637</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45637</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45637</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45637</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45637</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45637</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45637</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45637</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45637</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45637</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45637</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45637</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45637</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45637</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45637</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45637</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45637</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45637</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45637</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45637</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45637</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45637</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45637</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45637</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45637</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45637</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45637</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45637</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45637</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45637</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45637</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45637</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45637</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45637</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45637</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45637</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45637</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45637</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45637</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45637</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45637</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45637</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45637</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45637</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45637</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45637</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45637</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45637</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45637</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45637</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45637</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45637</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45637</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45637</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45637</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45637</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45637</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45637</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45637</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45637</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45637</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45637</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45637</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45637</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45637</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45637</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45637</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45637</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45637</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45637</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45637</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45637</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45637</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45637</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45637</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45637</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45637</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45637</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45637</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45637</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45637</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45637</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45637</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45637</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45637</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45637</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45637</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45637</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45637</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45637</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45637</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45637</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45637</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45637</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45637</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45637</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45637</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45637</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45637</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45637</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45637</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45637</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45637</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45637</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45637</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45637</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45637</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45637</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45637</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45637</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45637</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45637</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45637</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45637</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45637</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45637</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45637</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45637</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45637</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45637</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45637</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45637</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45637</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45637</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45637</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45637</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45637</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45637</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45637</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45637</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45637</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45637</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45637</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45637</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45637</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45637</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45637</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45637</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45637</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45637</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45637</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45637</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45637</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45637</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45637</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45637</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45637</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45637</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45637</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45637</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45637</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45637</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45637</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45637</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45637</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45637</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45637</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45637</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45637</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45637</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45637</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45637</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45637</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45637</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45637</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45637</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45637</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45637</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45637</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45637</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45637</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45637</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45637</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45637</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45637</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45637</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45637</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45637</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45637</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45637</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45637</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45637</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45637</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45637</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45637</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45637</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45637</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45637</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45637</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45637</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45637</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45637</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45637</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45637</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45637</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45637</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45637</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45637</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45637</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45637</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45637</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45637</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45637</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45637</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45637</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45637</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45637</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45637</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45637</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45637</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45637</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45637</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45637</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45637</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45637</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45637</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45637</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45637</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45637</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45637</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45637</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45637</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45637</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45637</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45637</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45637</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45637</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45637</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45637</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45637</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45637</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45637</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45637</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45637</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45637</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45637</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45637</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45637</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45637</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45637</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45637</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45637</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45637</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45637</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45637</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45637</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45637</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45637</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45637</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45637</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45637</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45637</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45637</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45637</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45637</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45637</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45637</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45637</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45637</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45637</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45637</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45637</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45637</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45637</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45637</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45637</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45637</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45637</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45637</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45637</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45637</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45637</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45637</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45637</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45637</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45637</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45637</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45637</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45637</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45637</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45637</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45637</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45637</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45637</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45637</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45637</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45637</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45637</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45637</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45637</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45637</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45637</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45637</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45637</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45637</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45637</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45637</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45637</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45637</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45637</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45637</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45637</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45637</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45637</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45637</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45637</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45637</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45637</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45637</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45637</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45637</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45637</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45637</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45637</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45637</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45637</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45637</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45637</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45637</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45637</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45637</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45637</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45637</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45637</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45637</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45637</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45637</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45637</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45637</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45637</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45637</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45637</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45637</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45637</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45637</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45637</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45637</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45637</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45637</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45637</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45637</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45637</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45637</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45637</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45637</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45637</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45637</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45637</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45637</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45637</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45637</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45637</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45637</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45637</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45637</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45637</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45637</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45637</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45637</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45637</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45637</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45637</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45637</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45637</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45637</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45637</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45637</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45637</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45637</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45637</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45637</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45637</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45637</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45637</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45637</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45637</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45637</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45637</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45637</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45637</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45637</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45637</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45637</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45637</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45637</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45637</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45637</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45637</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45637</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45637</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45637</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45637</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45637</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45637</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45637</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45637</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45637</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45637</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45637</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45637</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45637</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45637</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45637</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45637</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45637</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45637</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45637</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45637</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45637</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45637</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45637</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45637</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45637</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45637</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45637</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45637</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45637</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45637</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45637</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45637</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45637</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45637</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45637</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45637</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45637</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45637</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45637</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45637</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45637</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45637</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45637</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45637</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45637</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45637</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45637</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45637</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45637</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45637</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45637</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45637</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45637</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45637</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45637</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45637</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45637</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45637</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45637</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45637</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45637</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45637</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45637</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45637</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45637</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45637</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45637</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45637</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45637</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45637</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45637</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45637</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45637</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45637</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45637</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45637</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45637</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45637</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45637</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45637</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45637</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45637</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45637</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45637</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45637</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45637</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45637</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45637</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45637</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45637</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45637</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45637</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45637</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45637</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45637</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45637</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45637</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45637</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45637</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45637</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45637</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45637</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45637</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45637</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45637</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45637</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45637</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45637</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45637</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45637</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45637</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45637</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45637</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45637</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45637</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45637</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45637</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45637</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45637</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45637</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45637</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45637</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45637</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45637</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45637</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45637</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45637</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45637</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45637</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45637</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45637</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45637</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45637</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45637</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45637</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45637</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45637</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45637</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45637</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45637</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45637</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45637</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45637</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45637</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45637</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45637</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45637</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45637</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45637</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45637</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45637</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45637</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45637</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45637</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45637</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45637</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45637</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45637</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45637</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45637</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45637</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45637</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45637</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45637</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45637</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45637</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45637</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45637</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45637</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45637</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45637</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45637</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45637</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45637</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45637</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45637</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45637</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45637</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45637</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45637</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45637</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45637</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45637</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45637</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45637</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45637</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45637</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45637</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45637</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45637</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45637</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45637</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45637</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45637</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45637</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45637</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45637</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45637</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45637</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45637</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45637</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45637</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45637</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45637</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45637</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45637</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45637</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45637</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45637</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45637</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45637</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45637</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45637</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45637</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45637</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45637</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45637</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45637</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45637</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45637</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45637</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45637</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45637</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45637</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45637</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45637</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45637</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45637</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45637</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45637</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45637</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45637</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45637</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45637</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45637</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45637</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45637</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45637</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45637</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45637</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45637</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45637</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45637</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45637</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45637</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45637</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45637</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45637</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45637</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45637</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45637</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45637</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45637</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45637</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45637</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45637</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45637</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45637</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45637</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45637</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45637</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45637</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45637</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45637</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45637</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45637</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45637</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45637</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45637</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45637</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45637</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45637</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45637</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45637</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45637</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45637</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45637</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45637</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45637</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45637</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45637</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45637</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45637</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45637</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45637</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45637</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45637</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45637</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45637</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45637</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45637</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45637</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45637</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45637</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45637</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45637</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45637</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45637</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45637</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45637</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45637</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45637</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45637</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45637</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45637</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45637</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45637</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45637</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45637</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45637</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45637</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45637</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45637</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45637</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45637</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45637</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45637</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45637</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45637</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45637</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45637</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45637</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45637</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45637</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45637</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45637</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45637</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45637</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45637</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45637</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45637</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45637</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45637</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45637</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45637</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45637</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45637</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45637</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45637</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45637</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45637</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45637</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45637</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45637</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45637</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45637</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45637</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45637</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45637</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45637</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45637</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45637</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45637</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45637</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45637</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45637</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45637</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45637</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45637</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45637</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45637</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45637</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45637</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45637</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45637</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45637</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45637</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45637</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45637</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45637</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45637</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45637</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45637</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45637</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45637</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45637</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45637</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45637</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45637</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45637</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45637</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45637</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45637</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45637</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45637</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45637</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45637</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45637</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45637</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45637</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45637</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45637</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45637</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45637</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45637</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45637</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45637</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45637</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45637</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45637</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45637</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45637</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45637</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45637</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45637</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45637</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45637</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45637</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45637</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45637</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45637</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45637</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45637</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45637</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45637</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45637</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45637</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45637</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45637</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45637</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45637</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45637</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45637</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45637</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45637</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45637</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45637</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45637</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45637</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45637</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45637</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45637</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45637</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45637</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45637</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45637</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45637</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45637</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45637</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45637</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45637</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45637</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45637</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45637</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45637</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45637</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45637</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45637</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45637</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45637</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45637</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45637</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45637</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45637</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45637</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45637</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45637</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45637</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45637</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45637</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45637</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45637</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45637</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45637</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45637</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45637</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45637</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45637</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45637</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45637</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45637</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45637</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45637</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45637</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45637</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45637</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45637</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45637</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45637</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45637</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45637</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45637</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45637</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45637</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45637</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45637</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45637</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45637</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45637</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45637</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45637</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45637</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45637</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45637</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45637</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45637</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45637</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45637</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45637</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45637</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45637</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45637</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45637</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45637</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45637</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45637</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45637</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45637</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45637</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45637</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45637</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45637</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45637</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45637</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45637</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45637</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45637</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45637</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45637</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45637</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45637</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45637</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45637</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45637</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45637</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45637</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45637</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45637</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45637</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45637</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45637</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45637</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45637</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45637</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45637</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45637</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45637</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45637</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45637</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45637</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45637</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45637</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45637</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45637</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45637</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45637</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45637</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45637</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45637</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45637</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45637</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45637</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45637</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45637</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45637</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45637</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45637</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45637</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45637</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45637</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45637</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45637</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45637</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45637</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45637</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45637</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45637</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45637</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45637</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45637</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45637</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45637</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45637</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45637</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45637</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45637</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45637</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45637</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45637</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45637</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45637</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45637</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45637</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45637</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45637</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45637</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45637</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45637</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45637</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45637</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45637</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45637</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45637</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45637</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45637</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45637</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45637</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45637</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45637</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45637</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45637</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45637</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45637</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45637</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45637</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45637</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45637</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45637</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45637</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45637</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45637</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45637</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45637</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45637</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45637</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45637</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45637</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45637</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45637</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45637</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45637</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45637</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45637</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45637</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45637</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45637</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45637</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45637</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45637</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45637</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45637</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45637</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45637</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45637</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45637</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45637</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45637</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45637</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45637</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45637</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45637</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45637</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45637</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45637</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45637</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45637</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45637</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45637</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45637</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45637</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45637</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45637</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45637</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45637</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45637</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45637</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45637</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45637</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45637</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45637</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45637</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45637</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45637</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45637</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45637</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45637</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45637</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45637</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45637</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45637</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45637</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45637</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45637</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45637</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45637</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45637</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45637</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45637</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45637</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45637</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45637</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45637</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45637</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45637</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45637</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45637</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45637</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45637</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45637</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45637</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45637</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45637</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45637</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45637</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45637</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45637</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45637</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45637</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45637</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45637</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45637</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45637</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45637</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45637</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45637</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45637</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45637</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45637</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45637</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45637</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45637</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45637</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45637</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45637</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45637</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45637</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45637</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45637</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45637</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45637</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45637</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45637</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45637</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45637</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45637</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45637</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45637</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45637</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45637</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45637</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45637</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45637</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45637</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45637</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45637</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45637</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45637</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45637</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45637</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45637</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45637</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45637</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45637</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45637</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45637</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45637</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45637</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45637</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45637</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45637</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45637</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45637</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45637</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45637</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45637</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45637</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45637</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45637</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45637</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45637</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45637</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45637</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45637</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45637</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45637</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45637</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45637</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45637</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45637</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45637</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45637</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45637</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45637</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45637</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45637</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45637</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45637</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45637</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45637</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45637</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45637</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45637</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45637</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45637</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45637</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45637</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45637</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45637</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45637</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45637</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45637</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45637</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45637</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45637</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45637</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45637</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45637</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45637</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45637</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45637</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45637</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45637</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45637</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45637</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45637</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45637</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45637</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45637</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45637</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45637</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45637</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45637</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45637</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45637</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45637</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45637</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45637</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45637</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45637</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45637</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45637</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45637</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45637</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45637</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45637</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45637</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45637</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45637</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45637</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45637</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45637</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45637</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45637</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45637</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45637</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45637</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45637</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45637</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45637</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45637</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45637</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45637</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45637</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45637</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45637</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45637</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45637</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45637</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45637</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45637</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45637</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45637</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45637</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45637</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45637</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45637</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45637</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45637</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45637</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45637</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45637</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45637</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45637</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45637</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45637</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45637</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45637</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45637</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45637</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45637</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45637</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45637</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45637</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45637</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45637</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45637</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45637</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45637</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45637</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45637</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45637</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45637</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45637</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45637</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45637</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45637</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45637</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45637</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45637</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45637</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45637</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45637</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45637</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45637</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45637</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45637</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45637</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45637</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45637</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45637</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45637</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45637</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45637</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45637</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45637</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45637</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45637</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45637</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45637</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45637</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45637</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45637</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45637</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45637</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45637</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45637</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45637</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45637</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45637</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45637</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45637</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45637</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45637</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45637</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45637</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45637</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45637</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45637</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45637</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45637</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45637</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45637</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45637</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45637</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45637</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45637</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45637</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45637</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45637</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45637</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45637</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45637</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45637</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45637</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45637</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45637</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45637</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45637</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45637</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45637</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45637</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45637</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45637</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45637</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45637</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45637</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45637</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45637</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45637</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45637</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45637</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45637</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45637</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45637</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45637</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45637</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45637</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45637</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45637</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45637</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45637</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45637</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45637</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45637</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45637</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45637</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45637</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45637</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45637</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45637</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45637</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45637</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45637</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45637</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45637</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45637</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45637</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45637</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45637</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45637</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45637</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45637</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45637</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45637</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45637</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45637</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45637</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45637</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45637</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45637</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45637</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45637</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45637</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45637</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45637</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45637</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45637</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45637</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45637</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45637</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45637</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45637</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45637</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45637</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45637</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45637</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45637</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45637</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45637</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45637</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45637</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45637</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45637</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45637</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45637</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45637</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45637</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45637</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45637</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45637</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45637</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45637</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45637</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45637</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45637</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45637</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45637</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45637</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45637</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45637</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45637</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45637</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45637</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45637</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45637</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45637</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45637</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45637</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45637</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45637</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45637</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45637</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45637</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45637</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45637</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45637</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45637</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45637</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45637</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45637</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45637</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45637</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45637</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45637</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45637</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45637</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45637</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45637</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45637</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45637</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45637</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45637</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45637</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45637</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45637</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45637</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45637</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45637</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45637</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45637</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45637</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45637</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45637</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45637</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45637</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45637</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45637</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45637</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45637</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45637</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45637</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45637</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45637</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45637</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45637</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45637</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45637</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45637</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45637</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45637</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45637</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45637</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45637</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45637</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45637</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45637</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45637</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45637</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45637</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45637</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45637</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45637</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45637</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45637</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45637</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45637</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45637</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45637</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45637</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45637</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45637</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45637</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45637</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45637</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45637</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45637</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45637</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45637</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45637</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45637</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45637</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45637</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45637</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45637</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45637</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45637</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45637</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45637</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45637</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45637</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45637</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45637</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45637</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45637</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45637</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45637</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45637</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45637</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45637</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45637</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45637</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45637</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45637</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45637</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45637</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45637</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45637</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45637</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45637</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45637</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45637</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45637</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45637</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45637</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45637</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45637</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45637</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45637</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45637</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45637</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45637</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45637</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45637</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45637</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45637</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45637</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45637</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45637</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45637</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45637</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45637</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45637</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45637</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45637</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45637</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45637</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45637</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45637</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45637</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45637</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45637</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45637</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45637</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45637</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45637</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45637</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45637</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45637</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45637</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45637</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45637</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45637</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45637</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45637</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45637</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45637</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45637</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45637</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45637</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45637</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45637</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45637</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45637</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45637</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45637</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45637</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45637</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45637</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45637</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45637</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45637</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45637</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45637</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45637</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45637</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45637</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45637</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45637</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45637</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45637</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45637</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45637</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45637</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45637</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45637</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45637</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45637</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45637</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45637</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45637</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45637</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45637</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45637</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45637</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45637</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45637</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45637</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45637</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45637</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45637</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45637</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45637</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45637</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45637</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45637</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45637</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45637</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45637</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45637</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45637</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45637</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45637</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45637</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45637</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45637</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45637</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45637</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45637</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45637</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45637</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45637</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45637</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45637</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45637</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45637</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45637</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45637</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45637</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45637</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45637</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45637</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45637</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45637</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45637</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45637</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45637</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45637</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45637</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45637</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45637</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45637</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45637</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45637</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45637</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45637</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45637</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45637</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45637</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45637</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45637</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45637</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45637</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45637</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45637</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45637</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45637</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45637</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45637</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45637</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45637</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45637</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45637</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45637</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45637</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45637</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45637</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45637</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45637</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45637</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45637</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45637</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45637</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45637</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45637</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45637</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45637</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45637</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45637</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45637</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45637</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45637</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45637</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45637</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45637</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45637</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45637</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45637</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45637</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45637</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45637</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45637</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45637</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45637</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45637</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45637</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45637</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45637</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45637</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45637</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45637</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45637</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45637</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45637</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45637</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45637</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45637</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45637</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45637</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45637</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45637</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45637</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45637</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45637</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45637</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45637</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45637</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45637</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45637</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45637</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45637</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45637</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45637</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45637</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45637</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45637</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45637</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45637</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45637</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45637</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45637</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45637</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45637</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45637</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45637</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45637</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45637</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45637</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45637</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45637</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45637</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45637</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45637</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45637</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45637</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45637</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45637</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45637</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45637</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45637</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45637</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45637</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45637</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45637</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45637</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45637</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45637</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45637</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45637</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45637</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45637</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45637</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45637</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45637</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45637</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45637</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45637</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45637</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45637</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45637</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45637</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45637</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45637</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45637</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45637</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45637</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45637</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45637</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45637</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45637</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45637</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45637</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45637</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45637</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45637</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45637</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45637</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45637</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45637</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45637</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45637</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45637</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45637</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45637</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45637</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45637</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45637</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45637</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45637</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45637</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45637</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45637</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45637</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45637</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45637</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45637</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45637</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45637</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45637</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45637</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45637</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45637</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45637</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45637</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45637</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45637</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45637</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45637</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45637</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45637</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45637</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45637</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45637</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45637</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45637</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45637</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45637</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45637</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45637</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45637</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45637</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45637</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45637</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45637</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45637</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45637</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45637</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45637</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45637</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45637</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45637</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45637</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45637</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45637</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45637</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45637</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45637</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45637</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45637</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45637</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45637</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45637</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45637</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45637</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45637</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45637</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45637</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45637</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45637</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45637</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45637</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45637</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45637</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45637</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45637</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45637</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45637</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45637</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45637</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45637</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45637</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45637</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45637</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45637</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45637</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45637</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45637</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45637</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45637</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45637</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45637</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45637</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45637</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45637</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45637</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45637</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45637</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45637</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45637</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45637</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45637</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45637</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45637</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45637</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45637</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45637</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45637</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45637</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45637</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45637</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45637</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45637</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45637</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45637</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45637</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45637</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45637</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45637</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45637</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45637</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45637</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45637</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45637</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45637</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45637</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45637</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45637</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45637</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45637</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45637</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45637</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45637</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45637</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45637</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45637</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45637</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45637</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45637</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45637</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45637</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45637</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45637</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45637</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45637</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45637</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45637</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45637</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45637</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45637</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45637</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45637</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45637</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45637</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45637</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45637</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45637</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45637</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45637</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45637</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45637</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45637</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45637</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45637</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45637</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45637</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45637</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45637</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45637</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45637</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45637</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45637</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45637</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45637</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45637</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45637</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45637</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45637</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45637</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45637</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45637</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45637</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45637</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45637</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45637</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45637</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45637</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45637</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45637</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45637</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45637</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45637</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45637</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45637</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45637</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45637</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45637</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45637</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45637</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45637</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45637</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45637</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45637</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45637</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45637</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45637</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45637</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45637</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45637</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45637</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45637</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45637</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45637</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45637</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45637</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45637</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45637</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45637</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45637</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45637</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45637</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45637</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45637</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45637</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45637</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45637</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45637</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45637</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45637</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45637</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45637</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45637</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45637</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45637</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45637</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45637</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45637</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45637</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45637</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45637</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45637</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45637</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45637</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45637</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45637</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45637</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45637</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45637</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45637</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45637</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45637</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45637</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45637</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45637</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45637</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45637</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45637</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45637</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45637</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45637</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45637</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45637</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45637</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45637</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45637</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45637</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45637</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45637</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45637</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45637</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45637</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45637</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45637</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45637</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45637</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45637</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45637</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45637</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45637</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45637</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45637</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45637</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45637</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45637</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45637</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45637</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45637</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45637</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45637</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45637</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45637</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45637</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45637</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45637</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45637</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45637</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45637</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45637</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45637</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45637</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45637</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45637</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45637</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45637</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45637</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45637</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45637</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45637</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45637</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45637</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45637</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45637</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45637</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45637</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45637</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45637</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45637</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45637</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45637</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45637</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45637</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45637</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45637</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45637</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45637</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45637</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45637</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45637</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45637</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45637</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45637</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45637</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45637</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45637</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45637</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45637</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45637</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45637</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45637</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45637</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45637</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45637</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45637</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45637</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45637</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45637</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45637</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45637</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45637</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45637</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45637</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45637</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45637</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45637</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45637</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45637</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45637</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45637</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45637</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45637</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45637</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45637</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45637</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45637</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45637</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45637</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45637</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45637</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45637</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45637</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45637</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45637</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45637</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45637</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45637</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45637</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45637</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45637</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45637</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45637</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45637</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45637</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45637</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45637</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45637</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45637</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45637</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45637</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45637</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45637</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45637</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45637</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45637</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45637</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45637</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45637</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45637</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45637</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45637</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45637</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45637</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45637</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45637</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45637</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45637</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45637</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45637</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45637</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45637</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45637</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45637</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45637</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45637</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45637</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45637</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45637</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45637</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45637</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45637</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45637</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45637</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45637</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45637</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45637</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45637</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45637</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45637</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45637</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45637</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45637</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45637</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45637</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45637</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45637</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45637</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45637</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45637</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45637</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45637</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45637</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45637</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45637</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45637</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45637</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45637</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45637</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45637</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45637</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45637</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45637</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45637</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45637</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45637</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45637</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45637</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45637</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45637</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45637</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45637</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45637</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45637</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45637</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45637</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45637</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45637</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45637</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45637</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45637</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45637</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45637</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45637</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45637</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45637</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45637</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45637</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45637</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45637</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45637</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45637</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45637</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45637</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45637</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45637</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45637</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45637</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45637</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45637</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45637</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45637</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45637</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45637</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45637</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45637</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45637</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45637</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45637</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45637</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45637</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45637</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45637</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45637</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45637</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45637</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45637</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45637</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45637</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45637</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45637</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45637</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45637</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45637</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45637</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45637</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45637</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45637</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45637</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45637</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45637</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45637</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45637</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45637</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45637</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45637</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45637</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45637</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45637</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45637</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45637</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45637</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45637</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45637</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45637</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45637</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45637</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45637</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45637</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45637</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45637</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45637</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45637</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45637</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45637</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45637</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45637</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45637</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45637</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45637</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45637</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45637</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45637</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45637</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45637</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45637</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45637</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45637</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45637</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45637</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45637</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45637</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45637</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45637</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45637</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45637</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45637</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45637</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45637</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45637</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45637</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45637</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45637</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45637</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45637</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45637</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45637</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45637</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45637</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45637</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45637</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45637</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45637</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45637</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45637</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45637</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45637</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45637</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45637</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45637</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45637</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45637</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45637</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45637</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45637</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45637</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45637</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45637</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45637</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45637</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45637</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45637</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45637</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45637</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45637</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45637</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45637</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45637</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45637</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45637</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45637</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45637</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45637</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45637</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45637</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45637</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45637</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45637</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45637</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45637</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45637</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45637</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45637</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45637</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45637</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45637</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45637</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45637</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45637</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45637</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45637</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45637</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45637</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45637</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45637</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45637</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45637</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45637</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45637</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45637</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45637</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45637</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45637</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45637</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45637</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45637</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45637</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45637</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45637</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45637</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45637</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45637</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45637</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45637</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45637</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45637</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45637</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45637</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45637</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45637</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45637</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45637</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45637</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45637</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45637</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45637</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45637</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45637</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45637</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45637</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45637</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45637</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45637</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45637</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45637</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45637</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45637</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45637</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45637</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45637</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45637</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45637</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45637</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45637</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45637</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45637</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45637</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45637</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45637</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45637</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45637</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45637</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45637</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45637</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45637</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45637</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45637</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45637</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45637</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45637</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45637</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45637</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45637</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45637</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45637</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45637</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45637</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45637</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45637</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45637</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45637</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45637</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45637</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45637</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45637</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45637</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45637</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45637</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45637</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45637</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45637</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45637</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45637</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45637</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45637</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45637</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45637</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45637</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45637</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45637</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45637</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45637</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45637</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45637</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45637</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45637</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45637</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45637</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45637</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45637</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45637</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45637</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45637</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45637</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45637</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45637</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45637</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45637</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45637</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45637</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45637</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45637</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45637</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45637</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45637</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45637</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45637</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45637</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45637</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45637</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45637</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45637</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45637</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45637</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45637</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45637</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45637</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45637</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45637</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45637</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45637</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45637</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45637</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45637</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45637</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45637</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45637</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45637</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45637</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45637</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45637</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45637</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45637</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45637</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45637</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45637</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45637</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45637</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45637</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45637</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45637</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45637</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45637</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45637</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45637</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45637</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45637</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45637</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45637</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45637</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45637</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45637</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45637</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45637</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45637</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45637</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45637</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45637</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45637</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45637</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45637</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45637</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45637</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45637</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45637</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45637</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45637</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45637</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45637</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45637</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45637</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45637</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45637</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45637</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45637</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45637</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45637</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45637</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45637</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45637</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45637</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45637</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45637</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45637</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45637</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45637</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45637</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45637</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45637</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45637</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45637</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45637</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45637</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45637</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45637</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45637</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45637</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45637</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45637</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45637</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45637</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45637</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45637</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45637</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45637</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45637</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45637</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45637</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45637</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45637</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45637</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45637</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45637</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45637</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45637</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45637</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45637</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45637</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45637</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45637</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45637</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45637</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45637</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45637</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45637</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45637</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45637</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45637</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45637</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45637</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45637</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45637</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45637</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45637</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45637</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45637</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45637</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45637</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45637</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45637</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45637</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45637</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45637</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45637</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45637</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45637</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45637</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45637</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45637</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45637</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45637</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45637</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45637</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45637</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45637</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45637</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45637</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45637</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45637</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45637</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45637</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45637</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45637</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45637</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45637</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45637</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45637</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45637</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45637</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45637</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45637</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45637</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45637</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45637</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45637</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45637</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45637</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45637</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45637</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45637</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45637</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45637</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45637</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45637</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45637</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45637</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45637</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45637</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45637</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45637</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45637</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45637</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45637</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45637</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45637</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45637</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45637</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45637</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45637</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45637</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45637</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45637</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45637</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45637</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45637</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45637</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45637</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45637</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45637</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45637</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45637</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45637</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45637</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45637</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45637</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45637</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45637</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45637</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45637</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45637</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45637</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45637</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45637</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45637</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45637</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45637</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45637</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45637</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45637</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45637</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45637</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45637</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45637</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45637</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45637</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45637</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45637</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45637</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45637</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45637</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45637</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45637</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45637</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45637</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45637</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45637</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45637</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45637</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45637</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45637</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45637</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45637</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45637</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45637</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45637</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45637</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45637</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45637</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45637</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45637</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45637</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45637</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45637</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45637</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45637</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45637</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45637</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45637</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45637</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45637</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45637</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45637</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45637</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45637</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45637</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45637</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45637</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45637</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45637</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45637</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45637</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45637</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45637</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45637</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45637</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45637</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45637</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45637</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45637</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45637</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45637</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45637</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45637</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45637</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45637</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45637</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45637</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45637</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45637</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45637</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45637</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45637</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45637</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45637</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45637</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45637</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45637</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45637</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45637</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45637</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45637</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45637</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45637</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45637</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45637</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45637</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45637</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45637</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45637</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45637</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45637</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45637</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45637</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45637</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45637</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45637</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45637</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45637</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45637</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45637</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45637</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45637</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45637</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45637</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45637</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45637</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45637</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45637</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45637</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45637</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45637</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45637</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45637</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45637</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45637</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45637</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45637</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45637</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45637</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45637</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45637</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45637</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45637</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45637</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45637</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45637</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45637</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45637</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45637</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45637</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45637</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45637</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45637</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45637</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45637</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45637</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45637</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45637</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45637</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45637</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45637</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45637</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45637</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45637</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45637</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45637</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45637</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45637</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45637</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45637</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45637</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45637</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45637</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45637</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45637</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45637</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45637</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45637</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45637</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45637</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45637</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45637</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45637</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45637</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45637</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45637</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45637</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45637</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45637</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45637</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45637</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45637</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45637</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45637</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45637</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45637</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45637</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45637</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45637</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45637</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45637</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45637</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45637</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45637</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45637</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45637</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45637</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45637</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45637</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45637</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45637</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45637</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45637</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45637</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45637</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45637</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45637</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45637</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45637</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45637</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45637</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45637</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45637</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45637</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45637</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45637</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45637</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45637</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45637</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45637</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45637</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45637</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45637</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45637</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45637</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45637</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45637</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45637</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45637</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45637</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45637</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45637</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45637</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45637</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45637</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45637</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45637</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45637</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45637</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45637</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45637</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45637</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45637</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45637</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45637</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45637</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45637</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45637</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45637</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45637</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45637</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45637</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45637</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45637</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45637</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45637</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45637</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45637</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45637</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45637</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45637</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45637</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45637</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45637</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45637</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45637</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45637</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45637</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45637</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45637</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45637</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45637</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45637</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45637</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45637</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45637</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45637</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45637</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45637</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45637</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45637</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45637</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45637</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45637</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45637</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45637</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45637</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45637</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45637</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45637</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45637</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45637</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45637</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45637</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45637</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45637</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45637</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45637</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45637</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45637</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45637</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45637</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45637</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45637</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45637</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45637</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45637</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45637</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45637</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45637</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45637</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45637</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45637</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45637</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45637</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45637</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45637</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45637</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45637</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45637</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45637</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45637</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45637</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45637</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45637</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45637</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45637</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45637</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45637</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45637</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45637</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45637</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45637</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45637</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45637</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45637</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45637</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45637</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45637</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45637</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45637</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45637</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45637</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45637</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45637</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45637</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45637</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45637</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45637</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45637</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45637</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45637</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45637</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45637</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45637</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45637</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45637</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45637</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45637</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45637</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45637</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45637</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45637</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45637</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45637</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45637</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45637</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45637</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45637</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45637</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45637</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45637</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45637</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45637</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45637</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45637</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45637</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45637</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45637</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45637</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45637</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45637</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45637</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45637</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45637</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45637</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45637</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45637</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45637</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45637</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45637</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45637</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45637</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45637</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45637</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45637</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45637</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45637</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45637</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45637</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45637</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45637</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45637</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45637</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45637</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45637</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45637</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45637</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45637</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45637</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45637</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45637</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45637</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45637</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45637</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45637</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45637</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45637</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45637</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45637</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45637</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45637</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45637</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45637</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45637</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45637</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45637</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45637</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45637</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45637</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45637</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45637</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45637</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45637</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45637</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45637</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45637</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45637</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45637</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45637</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45637</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45637</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45637</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45637</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45637</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45637</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45637</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45637</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45637</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45637</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45637</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45637</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45637</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45637</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45637</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45637</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45637</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45637</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45637</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45637</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45637</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45637</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45637</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45637</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45637</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45637</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45637</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45637</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45637</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45637</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45637</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45637</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45637</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45637</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45637</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45637</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45637</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45637</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45637</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45637</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45637</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45637</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45637</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45637</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45637</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45637</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45637</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45637</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45637</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45637</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45637</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45637</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45637</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45637</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45637</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45637</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45637</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45637</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45637</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45637</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45637</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45637</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45637</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45637</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45637</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45637</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45637</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45637</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45637</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45637</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45637</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45637</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45637</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45637</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45637</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45637</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45637</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45637</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45637</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45637</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45637</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45637</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45637</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45637</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45637</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45637</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45637</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45637</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45637</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45637</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45637</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45637</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45637</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45637</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45637</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45637</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45637</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45637</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45637</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45637</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45637</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45637</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45637</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45637</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45637</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45637</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45637</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45637</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45637</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45637</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45637</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45637</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45637</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45637</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45637</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45637</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45637</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45637</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45637</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45637</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45637</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45637</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45637</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45637</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45637</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45637</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45637</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45637</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45637</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45637</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45637</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45637</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45637</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45637</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45637</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45637</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45637</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45637</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45637</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45637</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45637</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45637</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45637</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45637</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45637</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45637</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45637</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45637</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45637</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45637</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45637</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45637</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45637</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45637</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45637</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45637</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45637</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45637</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45637</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45637</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45637</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45637</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45637</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45637</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45637</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45637</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45637</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45637</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45637</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45637</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45637</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45637</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45637</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45637</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45637</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45637</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45637</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45637</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45637</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45637</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45637</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45637</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45637</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45637</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45637</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45637</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45637</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45637</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45637</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45637</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45637</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45637</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45637</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45637</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45637</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45637</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45637</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45637</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45637</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45637</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45637</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45637</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45637</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45637</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45637</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45637</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45637</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45637</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45637</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45637</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45637</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45637</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45637</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45637</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45637</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45637</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45637</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45637</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45637</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45637</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45637</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45637</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45637</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45637</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45637</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45637</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45637</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45637</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45637</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45637</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45637</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45637</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45637</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45637</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45637</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45637</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45637</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45637</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45637</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45637</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45637</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45637</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45637</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45637</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45637</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45637</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45637</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45637</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45637</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45637</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45637</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45637</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45637</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45637</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45637</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45637</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45637</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45637</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45637</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45637</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45637</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45637</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45637</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45637</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45637</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45637</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45637</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45637</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45637</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45637</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45637</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45637</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45637</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45637</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45637</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45637</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45637</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45637</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45637</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45637</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45637</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45637</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45637</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45637</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45637</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45637</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45637</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45637</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45637</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45637</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45637</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45637</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45637</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45637</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45637</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45637</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45637</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45637</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45637</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45637</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45637</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45637</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45637</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45637</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45637</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45637</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45637</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45637</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45637</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45637</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45637</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45637</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45637</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45637</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45637</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45637</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45637</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45637</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45637</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45637</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45637</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45637</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45637</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45637</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45637</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45637</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45637</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45637</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45637</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45637</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45637</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45637</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45637</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45637</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45637</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45637</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45637</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45637</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45637</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45637</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45637</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45637</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45637</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45637</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45637</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45637</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45637</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45637</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45637</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45637</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45637</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45637</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45637</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45637</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45637</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45637</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45637</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45637</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45637</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45637</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45637</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45637</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45637</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45637</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45637</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45637</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45637</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45637</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45637</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45637</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45637</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45637</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45637</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45637</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45637</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45637</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45637</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45637</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45637</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45637</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45637</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45637</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45637</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45637</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45637</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45637</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45637</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45637</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45637</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45637</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45637</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45637</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45637</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45637</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45637</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45637</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45637</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45637</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45637</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45637</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45637</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45637</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45637</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45637</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45637</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45637</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45637</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45637</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45637</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45637</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45637</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45637</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45637</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45637</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45637</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45637</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45637</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45637</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45637</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45637</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45637</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45637</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45637</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45637</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45637</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45637</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45637</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45637</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45637</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45637</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45637</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45637</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45637</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45637</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45637</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45637</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45637</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45637</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45637</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45637</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45637</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45637</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45637</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45637</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45637</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45637</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45637</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45637</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45637</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45637</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45637</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45637</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45637</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45637</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45637</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45637</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45637</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45637</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45637</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45637</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45637</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45637</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45637</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45637</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45637</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45637</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45637</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45637</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45637</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45637</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45637</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45637</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45637</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45637</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45637</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45637</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45637</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45637</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45637</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45637</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45637</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45637</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45637</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45637</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45637</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45637</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45637</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45637</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45637</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45637</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45637</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45637</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45637</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45637</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45637</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45637</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45637</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45637</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45637</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45637</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45637</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45637</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45637</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45637</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45637</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45637</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45637</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45637</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45637</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45637</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45637</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45637</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45637</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45637</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45637</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45637</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45637</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45637</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45637</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45637</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45637</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45637</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45637</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45637</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45637</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45637</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45637</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45637</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45637</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45637</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45637</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45637</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45637</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45637</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45637</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45637</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45637</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45637</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45637</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45637</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45637</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45637</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45637</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45637</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45637</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45637</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45637</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45637</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45637</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45637</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45637</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45637</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45637</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45637</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45637</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45637</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45637</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45637</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45637</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45637</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45637</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45637</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45637</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45637</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45637</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45637</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45637</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45637</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45637</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45637</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45637</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45637</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45637</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45637</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45637</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45637</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45637</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45637</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45637</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45637</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45637</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45637</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45637</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45637</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45637</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45637</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45637</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45637</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45637</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45637</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45637</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45637</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45637</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45637</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45637</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45637</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45637</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45637</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45637</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45637</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45637</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45637</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45637</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45637</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45637</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45637</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45637</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45637</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45637</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45637</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45637</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45637</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45637</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45637</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45637</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45637</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45637</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45637</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45637</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45637</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45637</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45637</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45637</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45637</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45637</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45637</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45637</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45637</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45637</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45637</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45637</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45637</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45637</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45637</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45637</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45637</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45637</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45637</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45637</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45637</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45637</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45637</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45637</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45637</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45637</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45637</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45637</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45637</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45637</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45637</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45637</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45637</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45637</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45637</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45637</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45637</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45637</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45637</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45637</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45637</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45637</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45637</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45637</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45637</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45637</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45637</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45637</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45637</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45637</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45637</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45637</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45637</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45637</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45637</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45637</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45637</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45637</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45637</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45637</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45637</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45637</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45637</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45637</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45637</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45637</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45637</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45637</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45637</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45637</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45637</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45637</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45637</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45637</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45637</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45637</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45637</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45637</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45637</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45637</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45637</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45637</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45637</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45637</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45637</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45637</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45637</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45637</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45637</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45637</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45637</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45637</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45637</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45637</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45637</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45637</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45637</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45637</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45637</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45637</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45637</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45637</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45637</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45637</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45637</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45637</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45637</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45637</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45637</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45637</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45637</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45637</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45637</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45637</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45637</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45637</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45637</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45637</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45637</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45637</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45637</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45637</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45637</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45637</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45637</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45637</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45637</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45637</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45637</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45637</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45637</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45637</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45637</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45637</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45637</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45637</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45637</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45637</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45637</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45637</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45637</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45637</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45637</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45637</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45637</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45637</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45637</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45637</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45637</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45637</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45637</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45637</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45637</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45637</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45637</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45637</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45637</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45637</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45637</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45637</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45637</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45637</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45637</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45637</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45637</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45637</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45637</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45637</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45637</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45637</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45637</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45637</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45637</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45637</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45637</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45637</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45637</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45637</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45637</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45637</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45637</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45637</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45637</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45637</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45637</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45637</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45637</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45637</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45637</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45637</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45637</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45637</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45637</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45637</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45637</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45637</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45637</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45637</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45637</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45637</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45637</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45637</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45637</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45637</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45637</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45637</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45637</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45637</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45637</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45637</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45637</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45637</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45637</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45637</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45637</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45637</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45637</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45637</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45637</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45637</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45637</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45637</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45637</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45637</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45637</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45637</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45637</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45637</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45637</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45637</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45637</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45637</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45637</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45637</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45637</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45637</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45637</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45637</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45637</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45637</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45637</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45637</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45637</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45637</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45637</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45637</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45637</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45637</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45637</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45637</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45637</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45637</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45637</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45637</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45637</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45637</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45637</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45637</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45637</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45637</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45637</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45637</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45637</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45637</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45637</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45637</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45637</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45637</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45637</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45637</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45637</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45637</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45637</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45637</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45637</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45637</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45637</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45637</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45637</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45637</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45637</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45637</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45637</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45637</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45637</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45637</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45637</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45637</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45637</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45637</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45637</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45637</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45637</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45637</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45637</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45637</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45637</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45637</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45637</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45637</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45637</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45637</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45637</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45637</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45637</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45637</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45637</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45637</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45637</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45637</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45637</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45637</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45637</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45637</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45637</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45637</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45637</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45637</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45637</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45637</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45637</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45637</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45637</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45637</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45637</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45637</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45637</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45637</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45637</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45637</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45637</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45637</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45637</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45637</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45637</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45637</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45637</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45637</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45637</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45637</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45637</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45637</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45637</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45637</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45637</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45637</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45637</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45637</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45637</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45637</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45637</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45637</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45637</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45637</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45637</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45637</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45637</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45637</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45637</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45637</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45637</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45637</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45637</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45637</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45637</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45637</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45637</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45637</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45637</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45637</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45637</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45637</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45637</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45637</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45637</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45637</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45637</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45637</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45637</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45637</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45637</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45637</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45637</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45637</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45637</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45637</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45637</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45637</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45637</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45637</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45637</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45637</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45637</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45637</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45637</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45637</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45637</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45637</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45637</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45637</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45637</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45637</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45637</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45637</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45637</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45637</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45637</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45637</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45637</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45637</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45637</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45637</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45637</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45637</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45637</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45637</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45637</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45637</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45637</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45637</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45637</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45637</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45637</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45637</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45637</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45637</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45637</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45637</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45637</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45637</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45637</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45637</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45637</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45637</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45637</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45637</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45637</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45637</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45637</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45637</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45637</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45637</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45637</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45637</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45637</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45637</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45637</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45637</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45637</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45637</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45637</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45637</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45637</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45637</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45637</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45637</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45637</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45637</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45637</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45637</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45637</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45637</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45637</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45637</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45637</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45637</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45637</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45637</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45637</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45637</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45637</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45637</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45637</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45637</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45637</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45637</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45637</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45637</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45637</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45637</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45637</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45637</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45637</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45637</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45637</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45637</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45637</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45637</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45637</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45637</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45637</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45637</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45637</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45637</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45637</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45637</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45637</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45637</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45637</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45637</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45637</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45637</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45637</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45637</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45637</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45637</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45637</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45637</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45637</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45637</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45637</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45637</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45637</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45637</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45637</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45637</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45637</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45637</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45637</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45637</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45637</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45637</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45637</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45637</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45637</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45637</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45637</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45637</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45637</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45637</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45637</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45637</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45637</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45637</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45637</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45637</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45637</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45637</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45637</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45637</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45637</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45637</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45637</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45637</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45637</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45637</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45637</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45637</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45637</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45637</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45637</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45637</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45637</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45637</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45637</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45637</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45637</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45637</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45637</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45637</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45637</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45637</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45637</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45637</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45637</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45637</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45637</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45637</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45637</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45637</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45637</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45637</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45637</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45637</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45637</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45637</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45637</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45637</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45637</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45637</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45637</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45637</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45637</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45637</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45637</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45637</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45637</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45637</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45637</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45637</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45637</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45637</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45637</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45637</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45637</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45637</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45637</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45637</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45637</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45637</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45637</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45637</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45637</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45637</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45637</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45637</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45637</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45637</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45637</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45637</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45637</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45637</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45637</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45637</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45637</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45637</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45637</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45637</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45637</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45637</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45637</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45637</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45637</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45637</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45637</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45637</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45637</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45637</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45637</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45637</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45637</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45637</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45637</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45637</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45637</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45637</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45637</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45637</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45637</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45637</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45637</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45637</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45637</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45637</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45637</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45637</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45637</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45637</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45637</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45637</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45637</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45637</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45637</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45637</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45637</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45637</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45637</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45637</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45637</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45637</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45637</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45637</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45637</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45637</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45637</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45637</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45637</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45637</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45637</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45637</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45637</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45637</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45637</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45637</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45637</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45637</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45637</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45637</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45637</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45637</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45637</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45637</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45637</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45637</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45637</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45637</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45637</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45637</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45637</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45637</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45637</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45637</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45637</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45637</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45637</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45637</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45637</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45637</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45637</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45637</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45637</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45637</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45637</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45637</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45637</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45637</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45637</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45637</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45637</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45637</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45637</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45637</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45637</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45637</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45637</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45637</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45637</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45637</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45637</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45637</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45637</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45637</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45637</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45637</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45637</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45637</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45637</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45637</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45637</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45637</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45637</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45637</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45637</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45637</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45637</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45637</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45637</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45637</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45637</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45637</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45637</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45637</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45637</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45637</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45637</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45637</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45637</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45637</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45637</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45637</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45637</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45637</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45637</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45637</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45637</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45637</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45637</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45637</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45637</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45637</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45637</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45637</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45637</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45637</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45637</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45637</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45637</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45637</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45637</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45637</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45637</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45637</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45637</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45637</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45637</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45637</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45637</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45637</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45637</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45637</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45637</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45637</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45637</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45637</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45637</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45637</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45637</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45637</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45637</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45637</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45637</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45637</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45637</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45637</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45637</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45637</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45637</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45637</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45637</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45637</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45637</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45637</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45637</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45637</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45637</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45637</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45637</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45637</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45637</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45637</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45637</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45637</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45637</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45637</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45637</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45637</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45637</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45637</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45637</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45637</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45637</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45637</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45637</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45637</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45637</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45637</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45637</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45637</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45637</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45637</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45637</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45637</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45637</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45637</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45637</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45637</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45637</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45637</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45637</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45637</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45637</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45637</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45637</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45637</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45637</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45637</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45637</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45637</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45637</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45637</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45637</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45637</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45637</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45637</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45637</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45637</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45637</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45637</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45637</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45637</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45637</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45637</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45637</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45637</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45637</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45637</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45637</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45637</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45637</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45637</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45637</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45637</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45637</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45637</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45637</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45637</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45637</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45637</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45637</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45637</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45637</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45637</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45637</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45637</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45637</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45637</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45637</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45637</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45637</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45637</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45637</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45637</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45637</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45637</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45637</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45637</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45637</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45637</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45637</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45637</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45637</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45637</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45637</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45637</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45637</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45637</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45637</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45637</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45637</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45637</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45637</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45637</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45637</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45637</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45637</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45637</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45637</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45637</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45637</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45637</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45637</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45637</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45637</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45637</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45637</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45637</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45637</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45637</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45637</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45637</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45637</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45637</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45637</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45637</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45637</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45637</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45637</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45637</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45637</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45637</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45637</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45637</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45637</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45637</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45637</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45637</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45637</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45637</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45637</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45637</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45637</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45637</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45637</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45637</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45637</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45637</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45637</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45637</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45637</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45637</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45637</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45637</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45637</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45637</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45637</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45637</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45637</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45637</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45637</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45637</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45637</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45637</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45637</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45637</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45637</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45637</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45637</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45637</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45637</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45637</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45637</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45637</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45637</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45637</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45637</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45637</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45637</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45637</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45637</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45637</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45637</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45637</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45637</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45637</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45637</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45637</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45637</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45637</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45637</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45637</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45637</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45637</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45637</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45637</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45637</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45637</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45637</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45637</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45637</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45637</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45637</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45637</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45637</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45637</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45637</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45637</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45637</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45637</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45637</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45637</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45637</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45637</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45637</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45637</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45637</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45637</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45637</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45637</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45637</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45637</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45637</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45637</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45637</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45637</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45637</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45637</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45637</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45637</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45637</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45637</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45637</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45637</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45637</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45637</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45637</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45637</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45637</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45637</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45637</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45637</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45637</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45637</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45637</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45637</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45637</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45637</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45637</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45637</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45637</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45637</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45637</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45637</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45637</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45637</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45637</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45637</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45637</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45637</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45637</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45637</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45637</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45637</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45637</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45637</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45637</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45637</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45637</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45637</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45637</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45637</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45637</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45637</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45637</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45637</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45637</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45637</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45637</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45637</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45637</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45637</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45637</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45637</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45637</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45637</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45637</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45637</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45637</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45637</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45637</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45637</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45637</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45637</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45637</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45637</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45637</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45637</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45637</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45637</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45637</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45637</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45637</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45637</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45637</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45637</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45637</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45637</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45637</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45637</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45637</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45637</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45637</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45637</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45637</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45637</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45637</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45637</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45637</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45637</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45637</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45637</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45637</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45637</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45637</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45637</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45637</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45637</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45637</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45637</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45637</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45637</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45637</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45637</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45637</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45637</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45637</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45637</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45637</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45637</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45637</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45637</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45637</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45637</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45637</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45637</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45637</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45637</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45637</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45637</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45637</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45637</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45637</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45637</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45637</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45637</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45637</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45637</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45637</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45637</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45637</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45637</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45637</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45637</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45637</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45637</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45637</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45637</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45637</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45637</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45637</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45637</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45637</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45637</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45637</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45637</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45637</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45637</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45637</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45637</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45637</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45637</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45637</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45637</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45637</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45637</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45637</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45637</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45637</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45637</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45637</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45637</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45637</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45637</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45637</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45637</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45637</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45637</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45637</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45637</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45637</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45637</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45637</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45637</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45637</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45637</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45637</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45637</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45637</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45637</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45637</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45637</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45637</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45637</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45637</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45637</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45637</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45637</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45637</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45637</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45637</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45637</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45637</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45637</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45637</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45637</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45637</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45637</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45637</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45637</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45637</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45637</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45637</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45637</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45637</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45637</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45637</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45637</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45637</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45637</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45637</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45637</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45637</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45637</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45637</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45637</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45637</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45637</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45637</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45637</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45637</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45637</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45637</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45637</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45637</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45637</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45637</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45637</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45637</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45637</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45637</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45637</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45637</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45637</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45637</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45637</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45637</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45637</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45637</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45637</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45637</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45637</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45637</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45637</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45637</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45637</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45637</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45637</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45637</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45637</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45637</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45637</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45637</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45637</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45637</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45637</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45637</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45637</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45637</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45637</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45637</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45637</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45637</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45637</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45637</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45637</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45637</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45637</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45637</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45637</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45637</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45637</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45637</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45637</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45637</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45637</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45637</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45637</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45637</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45637</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45637</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45637</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45637</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45637</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45637</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45637</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45637</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45637</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45637</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45637</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45637</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45637</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45637</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45637</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45637</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45637</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45637</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45637</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45637</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45637</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45637</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45637</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45637</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45637</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45637</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45637</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45637</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45637</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45637</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45637</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45637</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45637</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45637</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45637</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45637</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45637</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45637</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45637</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45637</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45637</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45637</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45637</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45637</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45637</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45637</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45637</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45637</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45637</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45637</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45637</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45637</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45637</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45637</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45637</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45637</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45637</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45637</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45637</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45637</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45637</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45637</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45637</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45637</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45637</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45637</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45637</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45637</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45637</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45637</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45637</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45637</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45637</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45637</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45637</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45637</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45637</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45637</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45637</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45637</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45637</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45637</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45637</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45637</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45637</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45637</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45637</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45637</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45637</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45637</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45637</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45637</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45637</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45637</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45637</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45637</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45637</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45637</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45637</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45637</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45637</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45637</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45637</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45637</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45637</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45637</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45637</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45637</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45637</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45637</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45637</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45637</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45637</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45637</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45637</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45637</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45637</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45637</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45637</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45637</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45637</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45637</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45637</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45637</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45637</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45637</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45637</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45637</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45637</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45637</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45637</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45637</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45637</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45637</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45637</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45637</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45637</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45637</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45637</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45637</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45637</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45637</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45637</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45637</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45637</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45637</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45637</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45637</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45637</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45637</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45637</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45637</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45637</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45637</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45637</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45637</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45637</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45637</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45637</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45637</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45637</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45637</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45637</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45637</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45637</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45637</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45637</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45637</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45637</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45637</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45637</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45637</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45637</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45637</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45637</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45637</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45637</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45637</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45637</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45637</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45637</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45637</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45637</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45637</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45637</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45637</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45637</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45637</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45637</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45637</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45637</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45637</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45637</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45637</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45637</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45637</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45637</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45637</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45637</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45637</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45637</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45637</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45637</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45637</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45637</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45637</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45637</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45637</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45637</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45637</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45637</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45637</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45637</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45637</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45637</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45637</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45637</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45637</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45637</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45637</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45637</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45637</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45637</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45637</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45637</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45637</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45637</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45637</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45637</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45637</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45637</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45637</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45637</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45637</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45637</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45637</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45637</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45637</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45637</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45637</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45637</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45637</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45637</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45637</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45637</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45637</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45637</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45637</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45637</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45637</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45637</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45637</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45637</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45637</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45637</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45637</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45637</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45637</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45637</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45637</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45637</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45637</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45637</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45637</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45637</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45637</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45637</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45637</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45637</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45637</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45637</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45637</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45637</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45637</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45637</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45637</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45637</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45637</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45637</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45637</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45637</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45637</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45637</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45637</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45637</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45637</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45637</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45637</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45637</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45637</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45637</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45637</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45637</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45637</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45637</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45637</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45637</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45637</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45637</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45637</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45637</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45637</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45637</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45637</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45637</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45637</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45637</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45637</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45637</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45637</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45637</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45637</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45637</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45637</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45637</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45637</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45637</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45637</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45637</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45637</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45637</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45637</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45637</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45637</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45637</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45637</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45637</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45637</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45637</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45637</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45637</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45637</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45637</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45637</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45637</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45637</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45637</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45637</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45637</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45637</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45637</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45637</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45637</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45637</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45637</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45637</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45637</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45637</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45637</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45637</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45637</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45637</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45637</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45637</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45637</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45637</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45637</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45637</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45637</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45637</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45637</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45637</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45637</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45637</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45637</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45637</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45637</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45637</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45637</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45637</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45637</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45637</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45637</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45637</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45637</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45637</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45637</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45637</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45637</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45637</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45637</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45637</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45637</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45637</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45637</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45637</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45637</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45637</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45637</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45637</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45637</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45637</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45637</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45637</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45637</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45637</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45637</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45637</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45637</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45637</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45637</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45637</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45637</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45637</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45637</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45637</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45637</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45637</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45637</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45637</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45637</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45637</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45637</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45637</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45637</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45637</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45637</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45637</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45637</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45637</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45637</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45637</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45637</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45637</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45637</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45637</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45637</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45637</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45637</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45637</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45637</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45637</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45637</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45637</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45637</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45637</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45637</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45637</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45637</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45637</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45637</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45637</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45637</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45637</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45637</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45637</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45637</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45637</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45637</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45637</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45637</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45637</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45637</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45637</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45637</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45637</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45637</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45637</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45637</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45637</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45637</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45637</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45637</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45637</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45637</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45637</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45637</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45637</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45637</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45637</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45637</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45637</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45637</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45637</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45637</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45637</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45637</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45637</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45637</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45637</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45637</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45637</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45637</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45637</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45637</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45637</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45637</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45637</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45637</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45637</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45637</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45637</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45637</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45637</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45637</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45637</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45637</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45637</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45637</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45637</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45637</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45637</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45637</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45637</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45637</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45637</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45637</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45637</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45637</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45637</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45637</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45637</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45637</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45637</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45637</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45637</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45637</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45637</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45637</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45637</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45637</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45637</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45637</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45637</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45637</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45637</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45637</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45637</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45637</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45637</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45637</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45637</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45637</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45637</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45637</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45637</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45637</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45637</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45637</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45637</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45637</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45637</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45637</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45637</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45637</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45637</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45637</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45637</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45637</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45637</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45637</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45637</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45637</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45637</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45637</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45637</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45637</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45637</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45637</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45637</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45637</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45637</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45637</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45637</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45637</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45637</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45637</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45637</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45637</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45637</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45637</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45637</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45637</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45637</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45637</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45637</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45637</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45637</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45637</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45637</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45637</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45637</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45637</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45637</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45637</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45637</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45637</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45637</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45637</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45637</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45637</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45637</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45637</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45637</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45637</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45637</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45637</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45637</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45637</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45637</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45637</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45637</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45637</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45637</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45637</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45637</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45637</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45637</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45637</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45637</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45637</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45637</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45637</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45637</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45637</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45637</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45637</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45637</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45637</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45637</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45637</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45637</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45637</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45637</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45637</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45637</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45637</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45637</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45637</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45637</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45637</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45637</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45637</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45637</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45637</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45637</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45637</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45637</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45637</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45637</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45637</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45637</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45637</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45637</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45637</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45637</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45637</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45637</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45637</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45637</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45637</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45637</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45637</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45637</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45637</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45637</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45637</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45637</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45637</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45637</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45637</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45637</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45637</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45637</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45637</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45637</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45637</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45637</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45637</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45637</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45637</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45637</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45637</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45637</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45637</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45637</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45637</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45637</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45637</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45637</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45637</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45637</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45637</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45637</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45637</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45637</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45637</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45637</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45637</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45637</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45637</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45637</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45637</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45637</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45637</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45637</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45637</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45637</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45637</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45637</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45637</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45637</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45637</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45637</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45637</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45637</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45637</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45637</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45637</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45637</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45637</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45637</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45637</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45637</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45637</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45637</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45637</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45637</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45637</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45637</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45637</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45637</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45637</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45637</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45637</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45637</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45637</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45637</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45637</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45637</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45637</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45637</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45637</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45637</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45637</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45637</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45637</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45637</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45637</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45637</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45637</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45637</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45637</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45637</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45637</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45637</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45637</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45637</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45637</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45637</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45637</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45637</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45637</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45637</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45637</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45637</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45637</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45637</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45637</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45637</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45637</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45637</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45637</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45637</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45637</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45637</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45637</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45637</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45637</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45637</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45637</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45637</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45637</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45637</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45637</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45637</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45637</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45637</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45637</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45637</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45637</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45637</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45637</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45637</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45637</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45637</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45637</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45637</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45637</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45637</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45637</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45637</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45637</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45637</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45637</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45637</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45637</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45637</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45637</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45637</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45637</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45637</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45637</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45637</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45637</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45637</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45637</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45637</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45637</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45637</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45637</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45637</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45637</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45637</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45637</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45637</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45637</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45637</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45637</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45637</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45637</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45637</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45637</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45637</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45637</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45637</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45637</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45637</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45637</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45637</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45637</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45637</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45637</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45637</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45637</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45637</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45637</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45637</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45637</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45637</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45637</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45637</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45637</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45637</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45637</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45637</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45637</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45637</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45637</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45637</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45637</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45637</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45637</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45637</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45637</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45637</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45637</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45637</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45637</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45637</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45637</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45637</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45637</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45637</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45637</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45637</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45637</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45637</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45637</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45637</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45637</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45637</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45637</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45637</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45637</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45637</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45637</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45637</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45637</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45637</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45637</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45637</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45637</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45637</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45637</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45637</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45637</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45637</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45637</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45637</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45637</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45637</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45637</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45637</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45637</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45637</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45637</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45637</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45637</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45637</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45637</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45637</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45637</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45637</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45637</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45637</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45637</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45637</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45637</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45637</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45637</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45637</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45637</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45637</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45637</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45637</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45637</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45637</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45637</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45637</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45637</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45637</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45637</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45637</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45637</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45637</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45637</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45637</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45637</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45637</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45637</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45637</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45637</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45637</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45637</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45637</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45637</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45637</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45637</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45637</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45637</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45637</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45637</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45637</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45637</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45637</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45637</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45637</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45637</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45637</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45637</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45637</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45637</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45637</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45637</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45637</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45637</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45637</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45637</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45637</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45637</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45637</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45637</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45637</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45637</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45637</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45637</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45637</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45637</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45637</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45637</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45637</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45637</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45637</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45637</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45637</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45637</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45637</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45637</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45637</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45637</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45637</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45637</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45637</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45637</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45637</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45637</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45637</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45637</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45637</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45637</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45637</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45637</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45637</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45637</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45637</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45637</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45637</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45637</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45637</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45637</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45637</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45637</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45637</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45637</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45637</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45637</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45637</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45637</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45637</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45637</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45637</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45637</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45637</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45637</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45637</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45637</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45637</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45637</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45637</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45637</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45637</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45637</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45637</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45637</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45637</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45637</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45637</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45637</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45637</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45637</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45637</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45637</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45637</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45637</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45637</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45637</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45637</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45637</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45637</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45637</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45637</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45637</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45637</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45637</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45637</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45637</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45637</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45637</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45637</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45637</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45637</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45637</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45637</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45637</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45637</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45637</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45637</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45637</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45637</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45637</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45637</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45637</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45637</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45637</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45637</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45637</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45637</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45637</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45637</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45637</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45637</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45637</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45637</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45637</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45637</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45637</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45637</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45637</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45637</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45637</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45637</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45637</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45637</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45637</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45637</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45637</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45637</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45637</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45637</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45637</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45637</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45637</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45637</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45637</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45637</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45637</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45637</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45637</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45637</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45637</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45637</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45637</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45637</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45637</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45637</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45637</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45637</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45637</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45637</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45637</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45637</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45637</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45637</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45637</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45637</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45637</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45637</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45637</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45637</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45637</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45637</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45637</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45637</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45637</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45637</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45637</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45637</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45637</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45637</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45637</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45637</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45637</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45637</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45637</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45637</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45637</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45637</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45637</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45637</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45637</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45637</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45637</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45637</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45637</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45637</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45637</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45637</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45637</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45637</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45637</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45637</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45637</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45637</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45637</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45637</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45637</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45637</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45637</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45637</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45637</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45637</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45637</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45637</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45637</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45637</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45637</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45637</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45637</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45637</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45637</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45637</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45637</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45637</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45637</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45637</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45637</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45637</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45637</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45637</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45637</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45637</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45637</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45637</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45637</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45637</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45637</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45637</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45637</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45637</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45637</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45637</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45637</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45637</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45637</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45637</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45637</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45637</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45637</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45637</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45637</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45637</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45637</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45637</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45637</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45637</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45637</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45637</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45637</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45637</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45637</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45637</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45637</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45637</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45637</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45637</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45637</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45637</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45637</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45637</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45637</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45637</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45637</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45637</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45637</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45637</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45637</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45637</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45637</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45637</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45637</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45637</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45637</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45637</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45637</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45637</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45637</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45637</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45637</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45637</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45637</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45637</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45637</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45637</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45637</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45637</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45637</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45637</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45637</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45637</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45637</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45637</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45637</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45637</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45637</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45637</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45637</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45637</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45637</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45637</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45637</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45637</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45637</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45637</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45637</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45637</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45637</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45637</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45637</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45637</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45637</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45637</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45637</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45637</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45637</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45637</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45637</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45637</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45637</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45637</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45637</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45637</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45637</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45637</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45637</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45637</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45637</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45637</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45637</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45637</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45637</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45637</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45637</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45637</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45637</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45637</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45637</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45637</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45637</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45637</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45637</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45637</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45637</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45637</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45637</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45637</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45637</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45637</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45637</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45637</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45637</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45637</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45637</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45637</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45637</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45637</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45637</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45637</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45637</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45637</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45637</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45637</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45637</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45637</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45637</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45637</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45637</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45637</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45637</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45637</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45637</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45637</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45637</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45637</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45637</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45637</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45637</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45637</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45637</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45637</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45637</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45637</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45637</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45637</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45637</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45637</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45637</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45637</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45637</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45637</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45637</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45637</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45637</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45637</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45637</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45637</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45637</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45637</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45637</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45637</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45637</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45637</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45637</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45637</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45637</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45637</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45637</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45637</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45637</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45637</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45637</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45637</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45637</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45637</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45637</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45637</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45637</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45637</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45637</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45637</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45637</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45637</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45637</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45637</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45637</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45637</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45637</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45637</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45637</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45637</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45637</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45637</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45637</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45637</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45637</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45637</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45637</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45637</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45637</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45637</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45637</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45637</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45637</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45637</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45637</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45637</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45637</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45637</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45637</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45637</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45637</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45637</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45637</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45637</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45637</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45637</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45637</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45637</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45637</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45637</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45637</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45637</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45637</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45637</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45637</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52274-2024</t>
        </is>
      </c>
      <c r="B7081" s="1" t="n">
        <v>45608</v>
      </c>
      <c r="C7081" s="1" t="n">
        <v>45637</v>
      </c>
      <c r="D7081" t="inlineStr">
        <is>
          <t>SÖDERMANLANDS LÄN</t>
        </is>
      </c>
      <c r="E7081" t="inlineStr">
        <is>
          <t>ESKILSTUNA</t>
        </is>
      </c>
      <c r="F7081" t="inlineStr">
        <is>
          <t>Övriga Aktiebolag</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52290-2024</t>
        </is>
      </c>
      <c r="B7082" s="1" t="n">
        <v>45608</v>
      </c>
      <c r="C7082" s="1" t="n">
        <v>45637</v>
      </c>
      <c r="D7082" t="inlineStr">
        <is>
          <t>SÖDERMANLANDS LÄN</t>
        </is>
      </c>
      <c r="E7082" t="inlineStr">
        <is>
          <t>ESKILSTUNA</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45637</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45637</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52517-2024</t>
        </is>
      </c>
      <c r="B7085" s="1" t="n">
        <v>45609</v>
      </c>
      <c r="C7085" s="1" t="n">
        <v>45637</v>
      </c>
      <c r="D7085" t="inlineStr">
        <is>
          <t>SÖDERMANLANDS LÄN</t>
        </is>
      </c>
      <c r="E7085" t="inlineStr">
        <is>
          <t>ESKILSTUNA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52443-2024</t>
        </is>
      </c>
      <c r="B7086" s="1" t="n">
        <v>45609</v>
      </c>
      <c r="C7086" s="1" t="n">
        <v>45637</v>
      </c>
      <c r="D7086" t="inlineStr">
        <is>
          <t>SÖDERMANLANDS LÄN</t>
        </is>
      </c>
      <c r="E7086" t="inlineStr">
        <is>
          <t>STRÄNGNÄS</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52450-2024</t>
        </is>
      </c>
      <c r="B7087" s="1" t="n">
        <v>45609</v>
      </c>
      <c r="C7087" s="1" t="n">
        <v>45637</v>
      </c>
      <c r="D7087" t="inlineStr">
        <is>
          <t>SÖDERMANLANDS LÄN</t>
        </is>
      </c>
      <c r="E7087" t="inlineStr">
        <is>
          <t>STRÄNGNÄS</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52502-2024</t>
        </is>
      </c>
      <c r="B7088" s="1" t="n">
        <v>45609</v>
      </c>
      <c r="C7088" s="1" t="n">
        <v>45637</v>
      </c>
      <c r="D7088" t="inlineStr">
        <is>
          <t>SÖDERMANLANDS LÄN</t>
        </is>
      </c>
      <c r="E7088" t="inlineStr">
        <is>
          <t>ESKILSTUNA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52630-2024</t>
        </is>
      </c>
      <c r="B7089" s="1" t="n">
        <v>45610</v>
      </c>
      <c r="C7089" s="1" t="n">
        <v>45637</v>
      </c>
      <c r="D7089" t="inlineStr">
        <is>
          <t>SÖDERMANLANDS LÄN</t>
        </is>
      </c>
      <c r="E7089" t="inlineStr">
        <is>
          <t>KATRINEHOLM</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52775-2024</t>
        </is>
      </c>
      <c r="B7090" s="1" t="n">
        <v>45610</v>
      </c>
      <c r="C7090" s="1" t="n">
        <v>45637</v>
      </c>
      <c r="D7090" t="inlineStr">
        <is>
          <t>SÖDERMANLANDS LÄN</t>
        </is>
      </c>
      <c r="E7090" t="inlineStr">
        <is>
          <t>FLEN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53071-2024</t>
        </is>
      </c>
      <c r="B7091" s="1" t="n">
        <v>45611</v>
      </c>
      <c r="C7091" s="1" t="n">
        <v>45637</v>
      </c>
      <c r="D7091" t="inlineStr">
        <is>
          <t>SÖDERMANLANDS LÄN</t>
        </is>
      </c>
      <c r="E7091" t="inlineStr">
        <is>
          <t>NYKÖPING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45637</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53285-2024</t>
        </is>
      </c>
      <c r="B7093" s="1" t="n">
        <v>45611</v>
      </c>
      <c r="C7093" s="1" t="n">
        <v>45637</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45637</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53896-2024</t>
        </is>
      </c>
      <c r="B7095" s="1" t="n">
        <v>45614</v>
      </c>
      <c r="C7095" s="1" t="n">
        <v>45637</v>
      </c>
      <c r="D7095" t="inlineStr">
        <is>
          <t>SÖDERMANLANDS LÄN</t>
        </is>
      </c>
      <c r="E7095" t="inlineStr">
        <is>
          <t>ESKILSTUNA</t>
        </is>
      </c>
      <c r="G7095" t="n">
        <v>6.5</v>
      </c>
      <c r="H7095" t="n">
        <v>0</v>
      </c>
      <c r="I7095" t="n">
        <v>0</v>
      </c>
      <c r="J7095" t="n">
        <v>0</v>
      </c>
      <c r="K7095" t="n">
        <v>0</v>
      </c>
      <c r="L7095" t="n">
        <v>0</v>
      </c>
      <c r="M7095" t="n">
        <v>0</v>
      </c>
      <c r="N7095" t="n">
        <v>0</v>
      </c>
      <c r="O7095" t="n">
        <v>0</v>
      </c>
      <c r="P7095" t="n">
        <v>0</v>
      </c>
      <c r="Q7095" t="n">
        <v>0</v>
      </c>
      <c r="R7095" s="2" t="inlineStr"/>
      <c r="U7095">
        <f>HYPERLINK("https://klasma.github.io/Logging_0484/knärot/A 53896-2024 karta knärot.png", "A 53896-2024")</f>
        <v/>
      </c>
      <c r="V7095">
        <f>HYPERLINK("https://klasma.github.io/Logging_0484/klagomål/A 53896-2024 FSC-klagomål.docx", "A 53896-2024")</f>
        <v/>
      </c>
      <c r="W7095">
        <f>HYPERLINK("https://klasma.github.io/Logging_0484/klagomålsmail/A 53896-2024 FSC-klagomål mail.docx", "A 53896-2024")</f>
        <v/>
      </c>
      <c r="X7095">
        <f>HYPERLINK("https://klasma.github.io/Logging_0484/tillsyn/A 53896-2024 tillsynsbegäran.docx", "A 53896-2024")</f>
        <v/>
      </c>
      <c r="Y7095">
        <f>HYPERLINK("https://klasma.github.io/Logging_0484/tillsynsmail/A 53896-2024 tillsynsbegäran mail.docx", "A 53896-2024")</f>
        <v/>
      </c>
    </row>
    <row r="7096" ht="15" customHeight="1">
      <c r="A7096" t="inlineStr">
        <is>
          <t>A 53467-2024</t>
        </is>
      </c>
      <c r="B7096" s="1" t="n">
        <v>45614</v>
      </c>
      <c r="C7096" s="1" t="n">
        <v>45637</v>
      </c>
      <c r="D7096" t="inlineStr">
        <is>
          <t>SÖDERMANLANDS LÄN</t>
        </is>
      </c>
      <c r="E7096" t="inlineStr">
        <is>
          <t>ESKILSTUNA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54025-2024</t>
        </is>
      </c>
      <c r="B7097" s="1" t="n">
        <v>45614</v>
      </c>
      <c r="C7097" s="1" t="n">
        <v>45637</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53851-2024</t>
        </is>
      </c>
      <c r="B7098" s="1" t="n">
        <v>45615</v>
      </c>
      <c r="C7098" s="1" t="n">
        <v>45637</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45637</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53933-2024</t>
        </is>
      </c>
      <c r="B7100" s="1" t="n">
        <v>45615</v>
      </c>
      <c r="C7100" s="1" t="n">
        <v>45637</v>
      </c>
      <c r="D7100" t="inlineStr">
        <is>
          <t>SÖDERMANLANDS LÄN</t>
        </is>
      </c>
      <c r="E7100" t="inlineStr">
        <is>
          <t>ESKILSTUNA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54269-2024</t>
        </is>
      </c>
      <c r="B7101" s="1" t="n">
        <v>45616</v>
      </c>
      <c r="C7101" s="1" t="n">
        <v>45637</v>
      </c>
      <c r="D7101" t="inlineStr">
        <is>
          <t>SÖDERMANLANDS LÄN</t>
        </is>
      </c>
      <c r="E7101" t="inlineStr">
        <is>
          <t>STRÄNGNÄS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45637</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54271-2024</t>
        </is>
      </c>
      <c r="B7103" s="1" t="n">
        <v>45616</v>
      </c>
      <c r="C7103" s="1" t="n">
        <v>45637</v>
      </c>
      <c r="D7103" t="inlineStr">
        <is>
          <t>SÖDERMANLANDS LÄN</t>
        </is>
      </c>
      <c r="E7103" t="inlineStr">
        <is>
          <t>STRÄNGNÄS</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45637</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54272-2024</t>
        </is>
      </c>
      <c r="B7105" s="1" t="n">
        <v>45616</v>
      </c>
      <c r="C7105" s="1" t="n">
        <v>45637</v>
      </c>
      <c r="D7105" t="inlineStr">
        <is>
          <t>SÖDERMANLANDS LÄN</t>
        </is>
      </c>
      <c r="E7105" t="inlineStr">
        <is>
          <t>STRÄNGNÄS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54298-2024</t>
        </is>
      </c>
      <c r="B7106" s="1" t="n">
        <v>45617</v>
      </c>
      <c r="C7106" s="1" t="n">
        <v>45637</v>
      </c>
      <c r="D7106" t="inlineStr">
        <is>
          <t>SÖDERMANLANDS LÄN</t>
        </is>
      </c>
      <c r="E7106" t="inlineStr">
        <is>
          <t>FLEN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54307-2024</t>
        </is>
      </c>
      <c r="B7107" s="1" t="n">
        <v>45617</v>
      </c>
      <c r="C7107" s="1" t="n">
        <v>45637</v>
      </c>
      <c r="D7107" t="inlineStr">
        <is>
          <t>SÖDERMANLANDS LÄN</t>
        </is>
      </c>
      <c r="E7107" t="inlineStr">
        <is>
          <t>GNESTA</t>
        </is>
      </c>
      <c r="G7107" t="n">
        <v>34.8</v>
      </c>
      <c r="H7107" t="n">
        <v>0</v>
      </c>
      <c r="I7107" t="n">
        <v>0</v>
      </c>
      <c r="J7107" t="n">
        <v>0</v>
      </c>
      <c r="K7107" t="n">
        <v>0</v>
      </c>
      <c r="L7107" t="n">
        <v>0</v>
      </c>
      <c r="M7107" t="n">
        <v>0</v>
      </c>
      <c r="N7107" t="n">
        <v>0</v>
      </c>
      <c r="O7107" t="n">
        <v>0</v>
      </c>
      <c r="P7107" t="n">
        <v>0</v>
      </c>
      <c r="Q7107" t="n">
        <v>0</v>
      </c>
      <c r="R7107" s="2" t="inlineStr"/>
    </row>
    <row r="7108" ht="15" customHeight="1">
      <c r="A7108" t="inlineStr">
        <is>
          <t>A 54480-2024</t>
        </is>
      </c>
      <c r="B7108" s="1" t="n">
        <v>45617</v>
      </c>
      <c r="C7108" s="1" t="n">
        <v>45637</v>
      </c>
      <c r="D7108" t="inlineStr">
        <is>
          <t>SÖDERMANLANDS LÄN</t>
        </is>
      </c>
      <c r="E7108" t="inlineStr">
        <is>
          <t>ESKILSTUNA</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54610-2024</t>
        </is>
      </c>
      <c r="B7109" s="1" t="n">
        <v>45617</v>
      </c>
      <c r="C7109" s="1" t="n">
        <v>45637</v>
      </c>
      <c r="D7109" t="inlineStr">
        <is>
          <t>SÖDERMANLANDS LÄN</t>
        </is>
      </c>
      <c r="E7109" t="inlineStr">
        <is>
          <t>STRÄNGNÄS</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45637</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45637</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54927-2024</t>
        </is>
      </c>
      <c r="B7112" s="1" t="n">
        <v>45618</v>
      </c>
      <c r="C7112" s="1" t="n">
        <v>45637</v>
      </c>
      <c r="D7112" t="inlineStr">
        <is>
          <t>SÖDERMANLANDS LÄN</t>
        </is>
      </c>
      <c r="E7112" t="inlineStr">
        <is>
          <t>NYKÖPING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54930-2024</t>
        </is>
      </c>
      <c r="B7113" s="1" t="n">
        <v>45618</v>
      </c>
      <c r="C7113" s="1" t="n">
        <v>45637</v>
      </c>
      <c r="D7113" t="inlineStr">
        <is>
          <t>SÖDERMANLANDS LÄN</t>
        </is>
      </c>
      <c r="E7113" t="inlineStr">
        <is>
          <t>NYKÖPING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55699-2024</t>
        </is>
      </c>
      <c r="B7114" s="1" t="n">
        <v>45622</v>
      </c>
      <c r="C7114" s="1" t="n">
        <v>45637</v>
      </c>
      <c r="D7114" t="inlineStr">
        <is>
          <t>SÖDERMANLANDS LÄN</t>
        </is>
      </c>
      <c r="E7114" t="inlineStr">
        <is>
          <t>ESKILSTUNA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55619-2024</t>
        </is>
      </c>
      <c r="B7115" s="1" t="n">
        <v>45622</v>
      </c>
      <c r="C7115" s="1" t="n">
        <v>45637</v>
      </c>
      <c r="D7115" t="inlineStr">
        <is>
          <t>SÖDERMANLANDS LÄN</t>
        </is>
      </c>
      <c r="E7115" t="inlineStr">
        <is>
          <t>GNESTA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55673-2024</t>
        </is>
      </c>
      <c r="B7116" s="1" t="n">
        <v>45622</v>
      </c>
      <c r="C7116" s="1" t="n">
        <v>45637</v>
      </c>
      <c r="D7116" t="inlineStr">
        <is>
          <t>SÖDERMANLANDS LÄN</t>
        </is>
      </c>
      <c r="E7116" t="inlineStr">
        <is>
          <t>ESKILSTUNA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55994-2024</t>
        </is>
      </c>
      <c r="B7117" s="1" t="n">
        <v>45623</v>
      </c>
      <c r="C7117" s="1" t="n">
        <v>45637</v>
      </c>
      <c r="D7117" t="inlineStr">
        <is>
          <t>SÖDERMANLANDS LÄN</t>
        </is>
      </c>
      <c r="E7117" t="inlineStr">
        <is>
          <t>VINGÅKER</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56007-2024</t>
        </is>
      </c>
      <c r="B7118" s="1" t="n">
        <v>45623</v>
      </c>
      <c r="C7118" s="1" t="n">
        <v>45637</v>
      </c>
      <c r="D7118" t="inlineStr">
        <is>
          <t>SÖDERMANLANDS LÄN</t>
        </is>
      </c>
      <c r="E7118" t="inlineStr">
        <is>
          <t>STRÄNGNÄS</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55991-2024</t>
        </is>
      </c>
      <c r="B7119" s="1" t="n">
        <v>45623</v>
      </c>
      <c r="C7119" s="1" t="n">
        <v>45637</v>
      </c>
      <c r="D7119" t="inlineStr">
        <is>
          <t>SÖDERMANLANDS LÄN</t>
        </is>
      </c>
      <c r="E7119" t="inlineStr">
        <is>
          <t>VINGÅKER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56012-2024</t>
        </is>
      </c>
      <c r="B7120" s="1" t="n">
        <v>45623</v>
      </c>
      <c r="C7120" s="1" t="n">
        <v>45637</v>
      </c>
      <c r="D7120" t="inlineStr">
        <is>
          <t>SÖDERMANLANDS LÄN</t>
        </is>
      </c>
      <c r="E7120" t="inlineStr">
        <is>
          <t>STRÄNGNÄS</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55988-2024</t>
        </is>
      </c>
      <c r="B7121" s="1" t="n">
        <v>45623</v>
      </c>
      <c r="C7121" s="1" t="n">
        <v>45637</v>
      </c>
      <c r="D7121" t="inlineStr">
        <is>
          <t>SÖDERMANLANDS LÄN</t>
        </is>
      </c>
      <c r="E7121" t="inlineStr">
        <is>
          <t>VINGÅKER</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45637</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45637</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56238-2024</t>
        </is>
      </c>
      <c r="B7124" s="1" t="n">
        <v>45624</v>
      </c>
      <c r="C7124" s="1" t="n">
        <v>45637</v>
      </c>
      <c r="D7124" t="inlineStr">
        <is>
          <t>SÖDERMANLANDS LÄN</t>
        </is>
      </c>
      <c r="E7124" t="inlineStr">
        <is>
          <t>NYKÖPING</t>
        </is>
      </c>
      <c r="G7124" t="n">
        <v>17.3</v>
      </c>
      <c r="H7124" t="n">
        <v>0</v>
      </c>
      <c r="I7124" t="n">
        <v>0</v>
      </c>
      <c r="J7124" t="n">
        <v>0</v>
      </c>
      <c r="K7124" t="n">
        <v>0</v>
      </c>
      <c r="L7124" t="n">
        <v>0</v>
      </c>
      <c r="M7124" t="n">
        <v>0</v>
      </c>
      <c r="N7124" t="n">
        <v>0</v>
      </c>
      <c r="O7124" t="n">
        <v>0</v>
      </c>
      <c r="P7124" t="n">
        <v>0</v>
      </c>
      <c r="Q7124" t="n">
        <v>0</v>
      </c>
      <c r="R7124" s="2" t="inlineStr"/>
    </row>
    <row r="7125" ht="15" customHeight="1">
      <c r="A7125" t="inlineStr">
        <is>
          <t>A 56307-2024</t>
        </is>
      </c>
      <c r="B7125" s="1" t="n">
        <v>45624</v>
      </c>
      <c r="C7125" s="1" t="n">
        <v>45637</v>
      </c>
      <c r="D7125" t="inlineStr">
        <is>
          <t>SÖDERMANLANDS LÄN</t>
        </is>
      </c>
      <c r="E7125" t="inlineStr">
        <is>
          <t>FLEN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56228-2024</t>
        </is>
      </c>
      <c r="B7126" s="1" t="n">
        <v>45624</v>
      </c>
      <c r="C7126" s="1" t="n">
        <v>45637</v>
      </c>
      <c r="D7126" t="inlineStr">
        <is>
          <t>SÖDERMANLANDS LÄN</t>
        </is>
      </c>
      <c r="E7126" t="inlineStr">
        <is>
          <t>NYKÖPING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56308-2024</t>
        </is>
      </c>
      <c r="B7127" s="1" t="n">
        <v>45624</v>
      </c>
      <c r="C7127" s="1" t="n">
        <v>45637</v>
      </c>
      <c r="D7127" t="inlineStr">
        <is>
          <t>SÖDERMANLANDS LÄN</t>
        </is>
      </c>
      <c r="E7127" t="inlineStr">
        <is>
          <t>FLEN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45637</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56970-2024</t>
        </is>
      </c>
      <c r="B7129" s="1" t="n">
        <v>45628</v>
      </c>
      <c r="C7129" s="1" t="n">
        <v>45637</v>
      </c>
      <c r="D7129" t="inlineStr">
        <is>
          <t>SÖDERMANLANDS LÄN</t>
        </is>
      </c>
      <c r="E7129" t="inlineStr">
        <is>
          <t>VINGÅKER</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56988-2024</t>
        </is>
      </c>
      <c r="B7130" s="1" t="n">
        <v>45628</v>
      </c>
      <c r="C7130" s="1" t="n">
        <v>45637</v>
      </c>
      <c r="D7130" t="inlineStr">
        <is>
          <t>SÖDERMANLANDS LÄN</t>
        </is>
      </c>
      <c r="E7130" t="inlineStr">
        <is>
          <t>STRÄNGNÄS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57014-2024</t>
        </is>
      </c>
      <c r="B7131" s="1" t="n">
        <v>45628</v>
      </c>
      <c r="C7131" s="1" t="n">
        <v>45637</v>
      </c>
      <c r="D7131" t="inlineStr">
        <is>
          <t>SÖDERMANLANDS LÄN</t>
        </is>
      </c>
      <c r="E7131" t="inlineStr">
        <is>
          <t>GNESTA</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56953-2024</t>
        </is>
      </c>
      <c r="B7132" s="1" t="n">
        <v>45628</v>
      </c>
      <c r="C7132" s="1" t="n">
        <v>45637</v>
      </c>
      <c r="D7132" t="inlineStr">
        <is>
          <t>SÖDERMANLANDS LÄN</t>
        </is>
      </c>
      <c r="E7132" t="inlineStr">
        <is>
          <t>VINGÅKER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56984-2024</t>
        </is>
      </c>
      <c r="B7133" s="1" t="n">
        <v>45628</v>
      </c>
      <c r="C7133" s="1" t="n">
        <v>45637</v>
      </c>
      <c r="D7133" t="inlineStr">
        <is>
          <t>SÖDERMANLANDS LÄN</t>
        </is>
      </c>
      <c r="E7133" t="inlineStr">
        <is>
          <t>STRÄNGNÄS</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56989-2024</t>
        </is>
      </c>
      <c r="B7134" s="1" t="n">
        <v>45628</v>
      </c>
      <c r="C7134" s="1" t="n">
        <v>45637</v>
      </c>
      <c r="D7134" t="inlineStr">
        <is>
          <t>SÖDERMANLANDS LÄN</t>
        </is>
      </c>
      <c r="E7134" t="inlineStr">
        <is>
          <t>STRÄNGNÄS</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57028-2024</t>
        </is>
      </c>
      <c r="B7135" s="1" t="n">
        <v>45628</v>
      </c>
      <c r="C7135" s="1" t="n">
        <v>45637</v>
      </c>
      <c r="D7135" t="inlineStr">
        <is>
          <t>SÖDERMANLANDS LÄN</t>
        </is>
      </c>
      <c r="E7135" t="inlineStr">
        <is>
          <t>NYKÖPING</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56954-2024</t>
        </is>
      </c>
      <c r="B7136" s="1" t="n">
        <v>45628</v>
      </c>
      <c r="C7136" s="1" t="n">
        <v>45637</v>
      </c>
      <c r="D7136" t="inlineStr">
        <is>
          <t>SÖDERMANLANDS LÄN</t>
        </is>
      </c>
      <c r="E7136" t="inlineStr">
        <is>
          <t>VINGÅKER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56994-2024</t>
        </is>
      </c>
      <c r="B7137" s="1" t="n">
        <v>45628</v>
      </c>
      <c r="C7137" s="1" t="n">
        <v>45637</v>
      </c>
      <c r="D7137" t="inlineStr">
        <is>
          <t>SÖDERMANLANDS LÄN</t>
        </is>
      </c>
      <c r="E7137" t="inlineStr">
        <is>
          <t>STRÄNGNÄS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57005-2024</t>
        </is>
      </c>
      <c r="B7138" s="1" t="n">
        <v>45628</v>
      </c>
      <c r="C7138" s="1" t="n">
        <v>45637</v>
      </c>
      <c r="D7138" t="inlineStr">
        <is>
          <t>SÖDERMANLANDS LÄN</t>
        </is>
      </c>
      <c r="E7138" t="inlineStr">
        <is>
          <t>TROSA</t>
        </is>
      </c>
      <c r="F7138" t="inlineStr">
        <is>
          <t>Kyrkan</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56987-2024</t>
        </is>
      </c>
      <c r="B7139" s="1" t="n">
        <v>45628</v>
      </c>
      <c r="C7139" s="1" t="n">
        <v>45637</v>
      </c>
      <c r="D7139" t="inlineStr">
        <is>
          <t>SÖDERMANLANDS LÄN</t>
        </is>
      </c>
      <c r="E7139" t="inlineStr">
        <is>
          <t>STRÄNGNÄS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57026-2024</t>
        </is>
      </c>
      <c r="B7140" s="1" t="n">
        <v>45628</v>
      </c>
      <c r="C7140" s="1" t="n">
        <v>45637</v>
      </c>
      <c r="D7140" t="inlineStr">
        <is>
          <t>SÖDERMANLANDS LÄN</t>
        </is>
      </c>
      <c r="E7140" t="inlineStr">
        <is>
          <t>NYKÖPING</t>
        </is>
      </c>
      <c r="F7140" t="inlineStr">
        <is>
          <t>Holmen skog AB</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57304-2024</t>
        </is>
      </c>
      <c r="B7141" s="1" t="n">
        <v>45628</v>
      </c>
      <c r="C7141" s="1" t="n">
        <v>45637</v>
      </c>
      <c r="D7141" t="inlineStr">
        <is>
          <t>SÖDERMANLANDS LÄN</t>
        </is>
      </c>
      <c r="E7141" t="inlineStr">
        <is>
          <t>KATRINEHOLM</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45637</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45637</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57627-2024</t>
        </is>
      </c>
      <c r="B7144" s="1" t="n">
        <v>45630</v>
      </c>
      <c r="C7144" s="1" t="n">
        <v>45637</v>
      </c>
      <c r="D7144" t="inlineStr">
        <is>
          <t>SÖDERMANLANDS LÄN</t>
        </is>
      </c>
      <c r="E7144" t="inlineStr">
        <is>
          <t>NYKÖPING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57686-2024</t>
        </is>
      </c>
      <c r="B7145" s="1" t="n">
        <v>45630</v>
      </c>
      <c r="C7145" s="1" t="n">
        <v>45637</v>
      </c>
      <c r="D7145" t="inlineStr">
        <is>
          <t>SÖDERMANLANDS LÄN</t>
        </is>
      </c>
      <c r="E7145" t="inlineStr">
        <is>
          <t>FLEN</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57765-2024</t>
        </is>
      </c>
      <c r="B7146" s="1" t="n">
        <v>45630</v>
      </c>
      <c r="C7146" s="1" t="n">
        <v>45637</v>
      </c>
      <c r="D7146" t="inlineStr">
        <is>
          <t>SÖDERMANLANDS LÄN</t>
        </is>
      </c>
      <c r="E7146" t="inlineStr">
        <is>
          <t>GNESTA</t>
        </is>
      </c>
      <c r="F7146" t="inlineStr">
        <is>
          <t>Holmen skog AB</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57621-2024</t>
        </is>
      </c>
      <c r="B7147" s="1" t="n">
        <v>45630</v>
      </c>
      <c r="C7147" s="1" t="n">
        <v>45637</v>
      </c>
      <c r="D7147" t="inlineStr">
        <is>
          <t>SÖDERMANLANDS LÄN</t>
        </is>
      </c>
      <c r="E7147" t="inlineStr">
        <is>
          <t>NYKÖPING</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57608-2024</t>
        </is>
      </c>
      <c r="B7148" s="1" t="n">
        <v>45630</v>
      </c>
      <c r="C7148" s="1" t="n">
        <v>45637</v>
      </c>
      <c r="D7148" t="inlineStr">
        <is>
          <t>SÖDERMANLANDS LÄN</t>
        </is>
      </c>
      <c r="E7148" t="inlineStr">
        <is>
          <t>VINGÅKER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57616-2024</t>
        </is>
      </c>
      <c r="B7149" s="1" t="n">
        <v>45630</v>
      </c>
      <c r="C7149" s="1" t="n">
        <v>45637</v>
      </c>
      <c r="D7149" t="inlineStr">
        <is>
          <t>SÖDERMANLANDS LÄN</t>
        </is>
      </c>
      <c r="E7149" t="inlineStr">
        <is>
          <t>NYKÖPING</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57633-2024</t>
        </is>
      </c>
      <c r="B7150" s="1" t="n">
        <v>45630</v>
      </c>
      <c r="C7150" s="1" t="n">
        <v>45637</v>
      </c>
      <c r="D7150" t="inlineStr">
        <is>
          <t>SÖDERMANLANDS LÄN</t>
        </is>
      </c>
      <c r="E7150" t="inlineStr">
        <is>
          <t>NYKÖPING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57762-2024</t>
        </is>
      </c>
      <c r="B7151" s="1" t="n">
        <v>45630</v>
      </c>
      <c r="C7151" s="1" t="n">
        <v>45637</v>
      </c>
      <c r="D7151" t="inlineStr">
        <is>
          <t>SÖDERMANLANDS LÄN</t>
        </is>
      </c>
      <c r="E7151" t="inlineStr">
        <is>
          <t>NYKÖPING</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58175-2024</t>
        </is>
      </c>
      <c r="B7152" s="1" t="n">
        <v>45632</v>
      </c>
      <c r="C7152" s="1" t="n">
        <v>45637</v>
      </c>
      <c r="D7152" t="inlineStr">
        <is>
          <t>SÖDERMANLANDS LÄN</t>
        </is>
      </c>
      <c r="E7152" t="inlineStr">
        <is>
          <t>KATRINEHOLM</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58635-2024</t>
        </is>
      </c>
      <c r="B7153" s="1" t="n">
        <v>45632</v>
      </c>
      <c r="C7153" s="1" t="n">
        <v>45637</v>
      </c>
      <c r="D7153" t="inlineStr">
        <is>
          <t>SÖDERMANLANDS LÄN</t>
        </is>
      </c>
      <c r="E7153" t="inlineStr">
        <is>
          <t>FLEN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58631-2024</t>
        </is>
      </c>
      <c r="B7154" s="1" t="n">
        <v>45632</v>
      </c>
      <c r="C7154" s="1" t="n">
        <v>45637</v>
      </c>
      <c r="D7154" t="inlineStr">
        <is>
          <t>SÖDERMANLANDS LÄN</t>
        </is>
      </c>
      <c r="E7154" t="inlineStr">
        <is>
          <t>FLEN</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58445-2024</t>
        </is>
      </c>
      <c r="B7155" s="1" t="n">
        <v>45635</v>
      </c>
      <c r="C7155" s="1" t="n">
        <v>45637</v>
      </c>
      <c r="D7155" t="inlineStr">
        <is>
          <t>SÖDERMANLANDS LÄN</t>
        </is>
      </c>
      <c r="E7155" t="inlineStr">
        <is>
          <t>FLEN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58457-2024</t>
        </is>
      </c>
      <c r="B7156" s="1" t="n">
        <v>45635</v>
      </c>
      <c r="C7156" s="1" t="n">
        <v>45637</v>
      </c>
      <c r="D7156" t="inlineStr">
        <is>
          <t>SÖDERMANLANDS LÄN</t>
        </is>
      </c>
      <c r="E7156" t="inlineStr">
        <is>
          <t>FLEN</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58503-2024</t>
        </is>
      </c>
      <c r="B7157" s="1" t="n">
        <v>45635</v>
      </c>
      <c r="C7157" s="1" t="n">
        <v>45637</v>
      </c>
      <c r="D7157" t="inlineStr">
        <is>
          <t>SÖDERMANLANDS LÄN</t>
        </is>
      </c>
      <c r="E7157" t="inlineStr">
        <is>
          <t>ESKILSTUNA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58443-2024</t>
        </is>
      </c>
      <c r="B7158" s="1" t="n">
        <v>45635</v>
      </c>
      <c r="C7158" s="1" t="n">
        <v>45637</v>
      </c>
      <c r="D7158" t="inlineStr">
        <is>
          <t>SÖDERMANLANDS LÄN</t>
        </is>
      </c>
      <c r="E7158" t="inlineStr">
        <is>
          <t>FLEN</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58501-2024</t>
        </is>
      </c>
      <c r="B7159" s="1" t="n">
        <v>45635</v>
      </c>
      <c r="C7159" s="1" t="n">
        <v>45637</v>
      </c>
      <c r="D7159" t="inlineStr">
        <is>
          <t>SÖDERMANLANDS LÄN</t>
        </is>
      </c>
      <c r="E7159" t="inlineStr">
        <is>
          <t>ESKILSTUNA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58494-2024</t>
        </is>
      </c>
      <c r="B7160" s="1" t="n">
        <v>45635</v>
      </c>
      <c r="C7160" s="1" t="n">
        <v>45637</v>
      </c>
      <c r="D7160" t="inlineStr">
        <is>
          <t>SÖDERMANLANDS LÄN</t>
        </is>
      </c>
      <c r="E7160" t="inlineStr">
        <is>
          <t>ESKILSTUNA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58502-2024</t>
        </is>
      </c>
      <c r="B7161" s="1" t="n">
        <v>45635</v>
      </c>
      <c r="C7161" s="1" t="n">
        <v>45637</v>
      </c>
      <c r="D7161" t="inlineStr">
        <is>
          <t>SÖDERMANLANDS LÄN</t>
        </is>
      </c>
      <c r="E7161" t="inlineStr">
        <is>
          <t>ESKILSTUNA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58528-2024</t>
        </is>
      </c>
      <c r="B7162" s="1" t="n">
        <v>45635</v>
      </c>
      <c r="C7162" s="1" t="n">
        <v>45637</v>
      </c>
      <c r="D7162" t="inlineStr">
        <is>
          <t>SÖDERMANLANDS LÄN</t>
        </is>
      </c>
      <c r="E7162" t="inlineStr">
        <is>
          <t>KATRINEHOLM</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58556-2024</t>
        </is>
      </c>
      <c r="B7163" s="1" t="n">
        <v>45635</v>
      </c>
      <c r="C7163" s="1" t="n">
        <v>45637</v>
      </c>
      <c r="D7163" t="inlineStr">
        <is>
          <t>SÖDERMANLANDS LÄN</t>
        </is>
      </c>
      <c r="E7163" t="inlineStr">
        <is>
          <t>NYKÖPING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58516-2024</t>
        </is>
      </c>
      <c r="B7164" s="1" t="n">
        <v>45635</v>
      </c>
      <c r="C7164" s="1" t="n">
        <v>45637</v>
      </c>
      <c r="D7164" t="inlineStr">
        <is>
          <t>SÖDERMANLANDS LÄN</t>
        </is>
      </c>
      <c r="E7164" t="inlineStr">
        <is>
          <t>ESKILSTUNA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58553-2024</t>
        </is>
      </c>
      <c r="B7165" s="1" t="n">
        <v>45635</v>
      </c>
      <c r="C7165" s="1" t="n">
        <v>45637</v>
      </c>
      <c r="D7165" t="inlineStr">
        <is>
          <t>SÖDERMANLANDS LÄN</t>
        </is>
      </c>
      <c r="E7165" t="inlineStr">
        <is>
          <t>NYKÖPING</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58522-2024</t>
        </is>
      </c>
      <c r="B7166" s="1" t="n">
        <v>45635</v>
      </c>
      <c r="C7166" s="1" t="n">
        <v>45637</v>
      </c>
      <c r="D7166" t="inlineStr">
        <is>
          <t>SÖDERMANLANDS LÄN</t>
        </is>
      </c>
      <c r="E7166" t="inlineStr">
        <is>
          <t>KATRINEHOLM</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58652-2024</t>
        </is>
      </c>
      <c r="B7167" s="1" t="n">
        <v>45635</v>
      </c>
      <c r="C7167" s="1" t="n">
        <v>45637</v>
      </c>
      <c r="D7167" t="inlineStr">
        <is>
          <t>SÖDERMANLANDS LÄN</t>
        </is>
      </c>
      <c r="E7167" t="inlineStr">
        <is>
          <t>NYKÖPING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58766-2024</t>
        </is>
      </c>
      <c r="B7168" s="1" t="n">
        <v>45635</v>
      </c>
      <c r="C7168" s="1" t="n">
        <v>45637</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58818-2024</t>
        </is>
      </c>
      <c r="B7169" s="1" t="n">
        <v>45636</v>
      </c>
      <c r="C7169" s="1" t="n">
        <v>45637</v>
      </c>
      <c r="D7169" t="inlineStr">
        <is>
          <t>SÖDERMANLANDS LÄN</t>
        </is>
      </c>
      <c r="E7169" t="inlineStr">
        <is>
          <t>FLEN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58828-2024</t>
        </is>
      </c>
      <c r="B7170" s="1" t="n">
        <v>45636</v>
      </c>
      <c r="C7170" s="1" t="n">
        <v>45637</v>
      </c>
      <c r="D7170" t="inlineStr">
        <is>
          <t>SÖDERMANLANDS LÄN</t>
        </is>
      </c>
      <c r="E7170" t="inlineStr">
        <is>
          <t>FLEN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58908-2024</t>
        </is>
      </c>
      <c r="B7171" s="1" t="n">
        <v>45636</v>
      </c>
      <c r="C7171" s="1" t="n">
        <v>45637</v>
      </c>
      <c r="D7171" t="inlineStr">
        <is>
          <t>SÖDERMANLANDS LÄN</t>
        </is>
      </c>
      <c r="E7171" t="inlineStr">
        <is>
          <t>VINGÅKER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58834-2024</t>
        </is>
      </c>
      <c r="B7172" s="1" t="n">
        <v>45636</v>
      </c>
      <c r="C7172" s="1" t="n">
        <v>45637</v>
      </c>
      <c r="D7172" t="inlineStr">
        <is>
          <t>SÖDERMANLANDS LÄN</t>
        </is>
      </c>
      <c r="E7172" t="inlineStr">
        <is>
          <t>FLEN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58887-2024</t>
        </is>
      </c>
      <c r="B7173" s="1" t="n">
        <v>45636</v>
      </c>
      <c r="C7173" s="1" t="n">
        <v>45637</v>
      </c>
      <c r="D7173" t="inlineStr">
        <is>
          <t>SÖDERMANLANDS LÄN</t>
        </is>
      </c>
      <c r="E7173" t="inlineStr">
        <is>
          <t>VINGÅKER</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58893-2024</t>
        </is>
      </c>
      <c r="B7174" s="1" t="n">
        <v>45636</v>
      </c>
      <c r="C7174" s="1" t="n">
        <v>45637</v>
      </c>
      <c r="D7174" t="inlineStr">
        <is>
          <t>SÖDERMANLANDS LÄN</t>
        </is>
      </c>
      <c r="E7174" t="inlineStr">
        <is>
          <t>VINGÅKER</t>
        </is>
      </c>
      <c r="G7174" t="n">
        <v>0.7</v>
      </c>
      <c r="H7174" t="n">
        <v>0</v>
      </c>
      <c r="I7174" t="n">
        <v>0</v>
      </c>
      <c r="J7174" t="n">
        <v>0</v>
      </c>
      <c r="K7174" t="n">
        <v>0</v>
      </c>
      <c r="L7174" t="n">
        <v>0</v>
      </c>
      <c r="M7174" t="n">
        <v>0</v>
      </c>
      <c r="N7174" t="n">
        <v>0</v>
      </c>
      <c r="O7174" t="n">
        <v>0</v>
      </c>
      <c r="P7174" t="n">
        <v>0</v>
      </c>
      <c r="Q7174" t="n">
        <v>0</v>
      </c>
      <c r="R7174" s="2" t="inlineStr"/>
    </row>
    <row r="7175">
      <c r="A7175" t="inlineStr">
        <is>
          <t>A 59042-2024</t>
        </is>
      </c>
      <c r="B7175" s="1" t="n">
        <v>45636</v>
      </c>
      <c r="C7175" s="1" t="n">
        <v>45637</v>
      </c>
      <c r="D7175" t="inlineStr">
        <is>
          <t>SÖDERMANLANDS LÄN</t>
        </is>
      </c>
      <c r="E7175" t="inlineStr">
        <is>
          <t>VINGÅKER</t>
        </is>
      </c>
      <c r="G7175" t="n">
        <v>2.1</v>
      </c>
      <c r="H7175" t="n">
        <v>0</v>
      </c>
      <c r="I7175" t="n">
        <v>0</v>
      </c>
      <c r="J7175" t="n">
        <v>0</v>
      </c>
      <c r="K7175" t="n">
        <v>0</v>
      </c>
      <c r="L7175" t="n">
        <v>0</v>
      </c>
      <c r="M7175" t="n">
        <v>0</v>
      </c>
      <c r="N7175" t="n">
        <v>0</v>
      </c>
      <c r="O7175" t="n">
        <v>0</v>
      </c>
      <c r="P7175" t="n">
        <v>0</v>
      </c>
      <c r="Q7175" t="n">
        <v>0</v>
      </c>
      <c r="R7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2024-12-11T15:10:01Z</dcterms:created>
  <dcterms:modified xmlns:dcterms="http://purl.org/dc/terms/" xmlns:xsi="http://www.w3.org/2001/XMLSchema-instance" xsi:type="dcterms:W3CDTF">2024-12-11T15:10:07Z</dcterms:modified>
</cp:coreProperties>
</file>