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45761</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45761</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45761</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45761</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45761</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45761</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45761</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45761</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45761</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45761</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45761</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45761</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45761</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45761</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45761</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45761</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45761</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45761</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45761</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45761</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45761</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45761</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45761</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45761</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45761</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45761</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45761</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45761</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45761</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45761</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45761</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45761</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45761</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45761</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45761</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45761</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45761</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45761</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45761</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45761</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45761</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45761</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45761</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45761</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45761</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45761</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45761</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45761</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45761</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45761</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45761</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45761</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45761</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45761</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45761</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45761</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45761</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45761</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45761</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45761</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45761</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45761</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45761</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45761</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45761</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45761</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45761</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45761</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45761</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45761</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45761</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45761</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45761</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45761</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45761</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45761</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45761</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45761</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45761</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45761</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45761</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45761</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45761</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45761</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45761</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45761</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45761</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45761</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45761</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45761</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45761</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45761</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45761</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45761</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45761</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45761</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45761</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45761</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45761</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45761</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45761</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45761</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45761</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45761</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45761</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45761</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45761</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45761</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45761</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45761</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45761</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45761</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45761</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45761</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45761</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45761</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45761</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45761</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45761</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45761</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45761</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45761</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45761</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45761</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45761</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45761</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45761</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45761</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45761</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45761</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45761</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45761</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45761</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45761</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45761</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45761</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45761</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45761</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45761</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45761</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45761</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45761</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45761</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45761</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45761</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45761</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45761</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45761</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45761</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45761</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45761</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45761</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45761</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45761</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45761</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45761</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45761</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45761</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45761</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45761</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45761</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45761</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45761</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45761</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45761</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45761</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45761</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45761</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45761</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45761</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45761</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45761</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45761</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45761</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45761</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45761</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45761</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45761</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45761</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45761</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45761</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45761</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45761</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45761</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45761</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45761</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45761</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45761</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45761</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45761</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45761</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45761</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45761</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45761</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45761</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45761</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45761</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45761</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45761</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45761</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45761</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45761</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45761</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45761</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45761</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45761</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45761</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45761</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45761</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45761</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45761</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45761</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45761</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45761</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45761</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45761</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45761</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45761</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45761</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45761</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45761</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45761</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45761</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45761</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45761</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45761</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45761</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45761</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45761</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45761</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45761</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45761</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45761</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45761</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45761</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45761</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45761</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45761</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45761</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45761</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45761</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45761</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45761</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45761</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45761</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45761</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45761</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45761</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45761</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45761</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45761</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45761</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45761</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45761</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45761</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45761</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45761</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45761</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45761</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45761</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45761</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45761</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45761</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45761</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45761</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45761</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45761</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45761</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45761</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45761</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45761</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45761</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45761</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45761</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45761</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45761</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45761</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45761</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45761</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45761</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45761</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45761</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45761</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45761</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45761</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45761</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45761</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45761</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45761</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45761</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45761</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45761</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45761</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45761</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45761</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45761</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45761</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45761</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45761</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45761</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45761</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45761</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45761</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45761</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45761</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45761</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45761</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45761</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45761</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45761</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45761</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45761</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45761</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45761</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45761</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45761</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45761</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45761</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45761</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45761</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45761</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45761</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45761</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45761</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45761</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45761</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45761</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45761</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45761</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45761</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45761</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45761</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45761</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45761</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45761</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45761</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45761</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45761</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45761</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45761</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45761</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45761</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45761</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45761</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45761</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45761</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45761</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45761</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45761</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45761</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45761</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45761</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45761</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45761</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45761</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45761</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45761</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45761</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45761</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45761</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45761</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45761</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45761</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45761</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45761</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45761</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45761</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45761</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45761</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45761</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45761</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45761</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45761</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45761</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45761</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45761</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45761</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45761</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45761</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45761</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45761</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45761</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45761</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45761</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45761</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45761</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45761</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45761</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45761</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45761</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45761</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45761</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45761</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45761</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45761</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45761</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45761</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45761</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45761</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45761</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45761</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45761</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45761</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45761</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45761</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45761</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45761</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45761</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45761</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45761</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45761</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45761</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45761</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45761</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45761</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45761</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45761</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45761</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45761</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45761</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45761</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45761</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12371-2022</t>
        </is>
      </c>
      <c r="B474" s="1" t="n">
        <v>44637</v>
      </c>
      <c r="C474" s="1" t="n">
        <v>45761</v>
      </c>
      <c r="D474" t="inlineStr">
        <is>
          <t>SÖDERMANLANDS LÄN</t>
        </is>
      </c>
      <c r="E474" t="inlineStr">
        <is>
          <t>FLEN</t>
        </is>
      </c>
      <c r="F474" t="inlineStr">
        <is>
          <t>Kommuner</t>
        </is>
      </c>
      <c r="G474" t="n">
        <v>2.1</v>
      </c>
      <c r="H474" t="n">
        <v>0</v>
      </c>
      <c r="I474" t="n">
        <v>0</v>
      </c>
      <c r="J474" t="n">
        <v>1</v>
      </c>
      <c r="K474" t="n">
        <v>0</v>
      </c>
      <c r="L474" t="n">
        <v>0</v>
      </c>
      <c r="M474" t="n">
        <v>0</v>
      </c>
      <c r="N474" t="n">
        <v>0</v>
      </c>
      <c r="O474" t="n">
        <v>1</v>
      </c>
      <c r="P474" t="n">
        <v>0</v>
      </c>
      <c r="Q474" t="n">
        <v>1</v>
      </c>
      <c r="R474" s="2" t="inlineStr">
        <is>
          <t>Gullklöver</t>
        </is>
      </c>
      <c r="S474">
        <f>HYPERLINK("https://klasma.github.io/Logging_0482/artfynd/A 12371-2022 artfynd.xlsx", "A 12371-2022")</f>
        <v/>
      </c>
      <c r="T474">
        <f>HYPERLINK("https://klasma.github.io/Logging_0482/kartor/A 12371-2022 karta.png", "A 12371-2022")</f>
        <v/>
      </c>
      <c r="V474">
        <f>HYPERLINK("https://klasma.github.io/Logging_0482/klagomål/A 12371-2022 FSC-klagomål.docx", "A 12371-2022")</f>
        <v/>
      </c>
      <c r="W474">
        <f>HYPERLINK("https://klasma.github.io/Logging_0482/klagomålsmail/A 12371-2022 FSC-klagomål mail.docx", "A 12371-2022")</f>
        <v/>
      </c>
      <c r="X474">
        <f>HYPERLINK("https://klasma.github.io/Logging_0482/tillsyn/A 12371-2022 tillsynsbegäran.docx", "A 12371-2022")</f>
        <v/>
      </c>
      <c r="Y474">
        <f>HYPERLINK("https://klasma.github.io/Logging_0482/tillsynsmail/A 12371-2022 tillsynsbegäran mail.docx", "A 12371-2022")</f>
        <v/>
      </c>
    </row>
    <row r="475" ht="15" customHeight="1">
      <c r="A475" t="inlineStr">
        <is>
          <t>A 13464-2022</t>
        </is>
      </c>
      <c r="B475" s="1" t="n">
        <v>44645</v>
      </c>
      <c r="C475" s="1" t="n">
        <v>45761</v>
      </c>
      <c r="D475" t="inlineStr">
        <is>
          <t>SÖDERMANLANDS LÄN</t>
        </is>
      </c>
      <c r="E475" t="inlineStr">
        <is>
          <t>NYKÖPING</t>
        </is>
      </c>
      <c r="G475" t="n">
        <v>12.6</v>
      </c>
      <c r="H475" t="n">
        <v>0</v>
      </c>
      <c r="I475" t="n">
        <v>1</v>
      </c>
      <c r="J475" t="n">
        <v>0</v>
      </c>
      <c r="K475" t="n">
        <v>0</v>
      </c>
      <c r="L475" t="n">
        <v>0</v>
      </c>
      <c r="M475" t="n">
        <v>0</v>
      </c>
      <c r="N475" t="n">
        <v>0</v>
      </c>
      <c r="O475" t="n">
        <v>0</v>
      </c>
      <c r="P475" t="n">
        <v>0</v>
      </c>
      <c r="Q475" t="n">
        <v>1</v>
      </c>
      <c r="R475" s="2" t="inlineStr">
        <is>
          <t>Grönpyrola</t>
        </is>
      </c>
      <c r="S475">
        <f>HYPERLINK("https://klasma.github.io/Logging_0480/artfynd/A 13464-2022 artfynd.xlsx", "A 13464-2022")</f>
        <v/>
      </c>
      <c r="T475">
        <f>HYPERLINK("https://klasma.github.io/Logging_0480/kartor/A 13464-2022 karta.png", "A 13464-2022")</f>
        <v/>
      </c>
      <c r="V475">
        <f>HYPERLINK("https://klasma.github.io/Logging_0480/klagomål/A 13464-2022 FSC-klagomål.docx", "A 13464-2022")</f>
        <v/>
      </c>
      <c r="W475">
        <f>HYPERLINK("https://klasma.github.io/Logging_0480/klagomålsmail/A 13464-2022 FSC-klagomål mail.docx", "A 13464-2022")</f>
        <v/>
      </c>
      <c r="X475">
        <f>HYPERLINK("https://klasma.github.io/Logging_0480/tillsyn/A 13464-2022 tillsynsbegäran.docx", "A 13464-2022")</f>
        <v/>
      </c>
      <c r="Y475">
        <f>HYPERLINK("https://klasma.github.io/Logging_0480/tillsynsmail/A 13464-2022 tillsynsbegäran mail.docx", "A 13464-2022")</f>
        <v/>
      </c>
    </row>
    <row r="476" ht="15" customHeight="1">
      <c r="A476" t="inlineStr">
        <is>
          <t>A 15960-2022</t>
        </is>
      </c>
      <c r="B476" s="1" t="n">
        <v>44664</v>
      </c>
      <c r="C476" s="1" t="n">
        <v>45761</v>
      </c>
      <c r="D476" t="inlineStr">
        <is>
          <t>SÖDERMANLANDS LÄN</t>
        </is>
      </c>
      <c r="E476" t="inlineStr">
        <is>
          <t>ESKILSTUNA</t>
        </is>
      </c>
      <c r="F476" t="inlineStr">
        <is>
          <t>Allmännings- och besparingsskogar</t>
        </is>
      </c>
      <c r="G476" t="n">
        <v>11.9</v>
      </c>
      <c r="H476" t="n">
        <v>0</v>
      </c>
      <c r="I476" t="n">
        <v>1</v>
      </c>
      <c r="J476" t="n">
        <v>0</v>
      </c>
      <c r="K476" t="n">
        <v>0</v>
      </c>
      <c r="L476" t="n">
        <v>0</v>
      </c>
      <c r="M476" t="n">
        <v>0</v>
      </c>
      <c r="N476" t="n">
        <v>0</v>
      </c>
      <c r="O476" t="n">
        <v>0</v>
      </c>
      <c r="P476" t="n">
        <v>0</v>
      </c>
      <c r="Q476" t="n">
        <v>1</v>
      </c>
      <c r="R476" s="2" t="inlineStr">
        <is>
          <t>Scharlakansvårskål agg.</t>
        </is>
      </c>
      <c r="S476">
        <f>HYPERLINK("https://klasma.github.io/Logging_0484/artfynd/A 15960-2022 artfynd.xlsx", "A 15960-2022")</f>
        <v/>
      </c>
      <c r="T476">
        <f>HYPERLINK("https://klasma.github.io/Logging_0484/kartor/A 15960-2022 karta.png", "A 15960-2022")</f>
        <v/>
      </c>
      <c r="V476">
        <f>HYPERLINK("https://klasma.github.io/Logging_0484/klagomål/A 15960-2022 FSC-klagomål.docx", "A 15960-2022")</f>
        <v/>
      </c>
      <c r="W476">
        <f>HYPERLINK("https://klasma.github.io/Logging_0484/klagomålsmail/A 15960-2022 FSC-klagomål mail.docx", "A 15960-2022")</f>
        <v/>
      </c>
      <c r="X476">
        <f>HYPERLINK("https://klasma.github.io/Logging_0484/tillsyn/A 15960-2022 tillsynsbegäran.docx", "A 15960-2022")</f>
        <v/>
      </c>
      <c r="Y476">
        <f>HYPERLINK("https://klasma.github.io/Logging_0484/tillsynsmail/A 15960-2022 tillsynsbegäran mail.docx", "A 15960-2022")</f>
        <v/>
      </c>
    </row>
    <row r="477" ht="15" customHeight="1">
      <c r="A477" t="inlineStr">
        <is>
          <t>A 16458-2022</t>
        </is>
      </c>
      <c r="B477" s="1" t="n">
        <v>44671</v>
      </c>
      <c r="C477" s="1" t="n">
        <v>45761</v>
      </c>
      <c r="D477" t="inlineStr">
        <is>
          <t>SÖDERMANLANDS LÄN</t>
        </is>
      </c>
      <c r="E477" t="inlineStr">
        <is>
          <t>KATRINEHOLM</t>
        </is>
      </c>
      <c r="G477" t="n">
        <v>16.4</v>
      </c>
      <c r="H477" t="n">
        <v>1</v>
      </c>
      <c r="I477" t="n">
        <v>0</v>
      </c>
      <c r="J477" t="n">
        <v>1</v>
      </c>
      <c r="K477" t="n">
        <v>0</v>
      </c>
      <c r="L477" t="n">
        <v>0</v>
      </c>
      <c r="M477" t="n">
        <v>0</v>
      </c>
      <c r="N477" t="n">
        <v>0</v>
      </c>
      <c r="O477" t="n">
        <v>1</v>
      </c>
      <c r="P477" t="n">
        <v>0</v>
      </c>
      <c r="Q477" t="n">
        <v>1</v>
      </c>
      <c r="R477" s="2" t="inlineStr">
        <is>
          <t>Duvhök</t>
        </is>
      </c>
      <c r="S477">
        <f>HYPERLINK("https://klasma.github.io/Logging_0483/artfynd/A 16458-2022 artfynd.xlsx", "A 16458-2022")</f>
        <v/>
      </c>
      <c r="T477">
        <f>HYPERLINK("https://klasma.github.io/Logging_0483/kartor/A 16458-2022 karta.png", "A 16458-2022")</f>
        <v/>
      </c>
      <c r="V477">
        <f>HYPERLINK("https://klasma.github.io/Logging_0483/klagomål/A 16458-2022 FSC-klagomål.docx", "A 16458-2022")</f>
        <v/>
      </c>
      <c r="W477">
        <f>HYPERLINK("https://klasma.github.io/Logging_0483/klagomålsmail/A 16458-2022 FSC-klagomål mail.docx", "A 16458-2022")</f>
        <v/>
      </c>
      <c r="X477">
        <f>HYPERLINK("https://klasma.github.io/Logging_0483/tillsyn/A 16458-2022 tillsynsbegäran.docx", "A 16458-2022")</f>
        <v/>
      </c>
      <c r="Y477">
        <f>HYPERLINK("https://klasma.github.io/Logging_0483/tillsynsmail/A 16458-2022 tillsynsbegäran mail.docx", "A 16458-2022")</f>
        <v/>
      </c>
      <c r="Z477">
        <f>HYPERLINK("https://klasma.github.io/Logging_0483/fåglar/A 16458-2022 prioriterade fågelarter.docx", "A 16458-2022")</f>
        <v/>
      </c>
    </row>
    <row r="478" ht="15" customHeight="1">
      <c r="A478" t="inlineStr">
        <is>
          <t>A 22267-2022</t>
        </is>
      </c>
      <c r="B478" s="1" t="n">
        <v>44712</v>
      </c>
      <c r="C478" s="1" t="n">
        <v>45761</v>
      </c>
      <c r="D478" t="inlineStr">
        <is>
          <t>SÖDERMANLANDS LÄN</t>
        </is>
      </c>
      <c r="E478" t="inlineStr">
        <is>
          <t>ESKILSTUNA</t>
        </is>
      </c>
      <c r="F478" t="inlineStr">
        <is>
          <t>Sveaskog</t>
        </is>
      </c>
      <c r="G478" t="n">
        <v>6.4</v>
      </c>
      <c r="H478" t="n">
        <v>1</v>
      </c>
      <c r="I478" t="n">
        <v>0</v>
      </c>
      <c r="J478" t="n">
        <v>0</v>
      </c>
      <c r="K478" t="n">
        <v>0</v>
      </c>
      <c r="L478" t="n">
        <v>0</v>
      </c>
      <c r="M478" t="n">
        <v>0</v>
      </c>
      <c r="N478" t="n">
        <v>0</v>
      </c>
      <c r="O478" t="n">
        <v>0</v>
      </c>
      <c r="P478" t="n">
        <v>0</v>
      </c>
      <c r="Q478" t="n">
        <v>1</v>
      </c>
      <c r="R478" s="2" t="inlineStr">
        <is>
          <t>Revlummer</t>
        </is>
      </c>
      <c r="S478">
        <f>HYPERLINK("https://klasma.github.io/Logging_0484/artfynd/A 22267-2022 artfynd.xlsx", "A 22267-2022")</f>
        <v/>
      </c>
      <c r="T478">
        <f>HYPERLINK("https://klasma.github.io/Logging_0484/kartor/A 22267-2022 karta.png", "A 22267-2022")</f>
        <v/>
      </c>
      <c r="V478">
        <f>HYPERLINK("https://klasma.github.io/Logging_0484/klagomål/A 22267-2022 FSC-klagomål.docx", "A 22267-2022")</f>
        <v/>
      </c>
      <c r="W478">
        <f>HYPERLINK("https://klasma.github.io/Logging_0484/klagomålsmail/A 22267-2022 FSC-klagomål mail.docx", "A 22267-2022")</f>
        <v/>
      </c>
      <c r="X478">
        <f>HYPERLINK("https://klasma.github.io/Logging_0484/tillsyn/A 22267-2022 tillsynsbegäran.docx", "A 22267-2022")</f>
        <v/>
      </c>
      <c r="Y478">
        <f>HYPERLINK("https://klasma.github.io/Logging_0484/tillsynsmail/A 22267-2022 tillsynsbegäran mail.docx", "A 22267-2022")</f>
        <v/>
      </c>
    </row>
    <row r="479" ht="15" customHeight="1">
      <c r="A479" t="inlineStr">
        <is>
          <t>A 24454-2022</t>
        </is>
      </c>
      <c r="B479" s="1" t="n">
        <v>44726</v>
      </c>
      <c r="C479" s="1" t="n">
        <v>45761</v>
      </c>
      <c r="D479" t="inlineStr">
        <is>
          <t>SÖDERMANLANDS LÄN</t>
        </is>
      </c>
      <c r="E479" t="inlineStr">
        <is>
          <t>STRÄNGNÄS</t>
        </is>
      </c>
      <c r="G479" t="n">
        <v>12.5</v>
      </c>
      <c r="H479" t="n">
        <v>1</v>
      </c>
      <c r="I479" t="n">
        <v>0</v>
      </c>
      <c r="J479" t="n">
        <v>1</v>
      </c>
      <c r="K479" t="n">
        <v>0</v>
      </c>
      <c r="L479" t="n">
        <v>0</v>
      </c>
      <c r="M479" t="n">
        <v>0</v>
      </c>
      <c r="N479" t="n">
        <v>0</v>
      </c>
      <c r="O479" t="n">
        <v>1</v>
      </c>
      <c r="P479" t="n">
        <v>0</v>
      </c>
      <c r="Q479" t="n">
        <v>1</v>
      </c>
      <c r="R479" s="2" t="inlineStr">
        <is>
          <t>Järpe</t>
        </is>
      </c>
      <c r="S479">
        <f>HYPERLINK("https://klasma.github.io/Logging_0486/artfynd/A 24454-2022 artfynd.xlsx", "A 24454-2022")</f>
        <v/>
      </c>
      <c r="T479">
        <f>HYPERLINK("https://klasma.github.io/Logging_0486/kartor/A 24454-2022 karta.png", "A 24454-2022")</f>
        <v/>
      </c>
      <c r="V479">
        <f>HYPERLINK("https://klasma.github.io/Logging_0486/klagomål/A 24454-2022 FSC-klagomål.docx", "A 24454-2022")</f>
        <v/>
      </c>
      <c r="W479">
        <f>HYPERLINK("https://klasma.github.io/Logging_0486/klagomålsmail/A 24454-2022 FSC-klagomål mail.docx", "A 24454-2022")</f>
        <v/>
      </c>
      <c r="X479">
        <f>HYPERLINK("https://klasma.github.io/Logging_0486/tillsyn/A 24454-2022 tillsynsbegäran.docx", "A 24454-2022")</f>
        <v/>
      </c>
      <c r="Y479">
        <f>HYPERLINK("https://klasma.github.io/Logging_0486/tillsynsmail/A 24454-2022 tillsynsbegäran mail.docx", "A 24454-2022")</f>
        <v/>
      </c>
      <c r="Z479">
        <f>HYPERLINK("https://klasma.github.io/Logging_0486/fåglar/A 24454-2022 prioriterade fågelarter.docx", "A 24454-2022")</f>
        <v/>
      </c>
    </row>
    <row r="480" ht="15" customHeight="1">
      <c r="A480" t="inlineStr">
        <is>
          <t>A 25233-2022</t>
        </is>
      </c>
      <c r="B480" s="1" t="n">
        <v>44729</v>
      </c>
      <c r="C480" s="1" t="n">
        <v>45761</v>
      </c>
      <c r="D480" t="inlineStr">
        <is>
          <t>SÖDERMANLANDS LÄN</t>
        </is>
      </c>
      <c r="E480" t="inlineStr">
        <is>
          <t>ESKILSTUNA</t>
        </is>
      </c>
      <c r="F480" t="inlineStr">
        <is>
          <t>Allmännings- och besparingsskogar</t>
        </is>
      </c>
      <c r="G480" t="n">
        <v>4.1</v>
      </c>
      <c r="H480" t="n">
        <v>1</v>
      </c>
      <c r="I480" t="n">
        <v>0</v>
      </c>
      <c r="J480" t="n">
        <v>1</v>
      </c>
      <c r="K480" t="n">
        <v>0</v>
      </c>
      <c r="L480" t="n">
        <v>0</v>
      </c>
      <c r="M480" t="n">
        <v>0</v>
      </c>
      <c r="N480" t="n">
        <v>0</v>
      </c>
      <c r="O480" t="n">
        <v>1</v>
      </c>
      <c r="P480" t="n">
        <v>0</v>
      </c>
      <c r="Q480" t="n">
        <v>1</v>
      </c>
      <c r="R480" s="2" t="inlineStr">
        <is>
          <t>Spillkråka</t>
        </is>
      </c>
      <c r="S480">
        <f>HYPERLINK("https://klasma.github.io/Logging_0484/artfynd/A 25233-2022 artfynd.xlsx", "A 25233-2022")</f>
        <v/>
      </c>
      <c r="T480">
        <f>HYPERLINK("https://klasma.github.io/Logging_0484/kartor/A 25233-2022 karta.png", "A 25233-2022")</f>
        <v/>
      </c>
      <c r="V480">
        <f>HYPERLINK("https://klasma.github.io/Logging_0484/klagomål/A 25233-2022 FSC-klagomål.docx", "A 25233-2022")</f>
        <v/>
      </c>
      <c r="W480">
        <f>HYPERLINK("https://klasma.github.io/Logging_0484/klagomålsmail/A 25233-2022 FSC-klagomål mail.docx", "A 25233-2022")</f>
        <v/>
      </c>
      <c r="X480">
        <f>HYPERLINK("https://klasma.github.io/Logging_0484/tillsyn/A 25233-2022 tillsynsbegäran.docx", "A 25233-2022")</f>
        <v/>
      </c>
      <c r="Y480">
        <f>HYPERLINK("https://klasma.github.io/Logging_0484/tillsynsmail/A 25233-2022 tillsynsbegäran mail.docx", "A 25233-2022")</f>
        <v/>
      </c>
      <c r="Z480">
        <f>HYPERLINK("https://klasma.github.io/Logging_0484/fåglar/A 25233-2022 prioriterade fågelarter.docx", "A 25233-2022")</f>
        <v/>
      </c>
    </row>
    <row r="481" ht="15" customHeight="1">
      <c r="A481" t="inlineStr">
        <is>
          <t>A 25724-2022</t>
        </is>
      </c>
      <c r="B481" s="1" t="n">
        <v>44733</v>
      </c>
      <c r="C481" s="1" t="n">
        <v>45761</v>
      </c>
      <c r="D481" t="inlineStr">
        <is>
          <t>SÖDERMANLANDS LÄN</t>
        </is>
      </c>
      <c r="E481" t="inlineStr">
        <is>
          <t>KATRINEHOLM</t>
        </is>
      </c>
      <c r="G481" t="n">
        <v>0.8</v>
      </c>
      <c r="H481" t="n">
        <v>0</v>
      </c>
      <c r="I481" t="n">
        <v>1</v>
      </c>
      <c r="J481" t="n">
        <v>0</v>
      </c>
      <c r="K481" t="n">
        <v>0</v>
      </c>
      <c r="L481" t="n">
        <v>0</v>
      </c>
      <c r="M481" t="n">
        <v>0</v>
      </c>
      <c r="N481" t="n">
        <v>0</v>
      </c>
      <c r="O481" t="n">
        <v>0</v>
      </c>
      <c r="P481" t="n">
        <v>0</v>
      </c>
      <c r="Q481" t="n">
        <v>1</v>
      </c>
      <c r="R481" s="2" t="inlineStr">
        <is>
          <t>Kamjordstjärna</t>
        </is>
      </c>
      <c r="S481">
        <f>HYPERLINK("https://klasma.github.io/Logging_0483/artfynd/A 25724-2022 artfynd.xlsx", "A 25724-2022")</f>
        <v/>
      </c>
      <c r="T481">
        <f>HYPERLINK("https://klasma.github.io/Logging_0483/kartor/A 25724-2022 karta.png", "A 25724-2022")</f>
        <v/>
      </c>
      <c r="V481">
        <f>HYPERLINK("https://klasma.github.io/Logging_0483/klagomål/A 25724-2022 FSC-klagomål.docx", "A 25724-2022")</f>
        <v/>
      </c>
      <c r="W481">
        <f>HYPERLINK("https://klasma.github.io/Logging_0483/klagomålsmail/A 25724-2022 FSC-klagomål mail.docx", "A 25724-2022")</f>
        <v/>
      </c>
      <c r="X481">
        <f>HYPERLINK("https://klasma.github.io/Logging_0483/tillsyn/A 25724-2022 tillsynsbegäran.docx", "A 25724-2022")</f>
        <v/>
      </c>
      <c r="Y481">
        <f>HYPERLINK("https://klasma.github.io/Logging_0483/tillsynsmail/A 25724-2022 tillsynsbegäran mail.docx", "A 25724-2022")</f>
        <v/>
      </c>
    </row>
    <row r="482" ht="15" customHeight="1">
      <c r="A482" t="inlineStr">
        <is>
          <t>A 26245-2022</t>
        </is>
      </c>
      <c r="B482" s="1" t="n">
        <v>44735</v>
      </c>
      <c r="C482" s="1" t="n">
        <v>45761</v>
      </c>
      <c r="D482" t="inlineStr">
        <is>
          <t>SÖDERMANLANDS LÄN</t>
        </is>
      </c>
      <c r="E482" t="inlineStr">
        <is>
          <t>FLEN</t>
        </is>
      </c>
      <c r="G482" t="n">
        <v>2.9</v>
      </c>
      <c r="H482" t="n">
        <v>0</v>
      </c>
      <c r="I482" t="n">
        <v>1</v>
      </c>
      <c r="J482" t="n">
        <v>0</v>
      </c>
      <c r="K482" t="n">
        <v>0</v>
      </c>
      <c r="L482" t="n">
        <v>0</v>
      </c>
      <c r="M482" t="n">
        <v>0</v>
      </c>
      <c r="N482" t="n">
        <v>0</v>
      </c>
      <c r="O482" t="n">
        <v>0</v>
      </c>
      <c r="P482" t="n">
        <v>0</v>
      </c>
      <c r="Q482" t="n">
        <v>1</v>
      </c>
      <c r="R482" s="2" t="inlineStr">
        <is>
          <t>Blanksvart trämyra</t>
        </is>
      </c>
      <c r="S482">
        <f>HYPERLINK("https://klasma.github.io/Logging_0482/artfynd/A 26245-2022 artfynd.xlsx", "A 26245-2022")</f>
        <v/>
      </c>
      <c r="T482">
        <f>HYPERLINK("https://klasma.github.io/Logging_0482/kartor/A 26245-2022 karta.png", "A 26245-2022")</f>
        <v/>
      </c>
      <c r="V482">
        <f>HYPERLINK("https://klasma.github.io/Logging_0482/klagomål/A 26245-2022 FSC-klagomål.docx", "A 26245-2022")</f>
        <v/>
      </c>
      <c r="W482">
        <f>HYPERLINK("https://klasma.github.io/Logging_0482/klagomålsmail/A 26245-2022 FSC-klagomål mail.docx", "A 26245-2022")</f>
        <v/>
      </c>
      <c r="X482">
        <f>HYPERLINK("https://klasma.github.io/Logging_0482/tillsyn/A 26245-2022 tillsynsbegäran.docx", "A 26245-2022")</f>
        <v/>
      </c>
      <c r="Y482">
        <f>HYPERLINK("https://klasma.github.io/Logging_0482/tillsynsmail/A 26245-2022 tillsynsbegäran mail.docx", "A 26245-2022")</f>
        <v/>
      </c>
    </row>
    <row r="483" ht="15" customHeight="1">
      <c r="A483" t="inlineStr">
        <is>
          <t>A 28985-2022</t>
        </is>
      </c>
      <c r="B483" s="1" t="n">
        <v>44749</v>
      </c>
      <c r="C483" s="1" t="n">
        <v>45761</v>
      </c>
      <c r="D483" t="inlineStr">
        <is>
          <t>SÖDERMANLANDS LÄN</t>
        </is>
      </c>
      <c r="E483" t="inlineStr">
        <is>
          <t>KATRINEHOLM</t>
        </is>
      </c>
      <c r="G483" t="n">
        <v>6.4</v>
      </c>
      <c r="H483" t="n">
        <v>0</v>
      </c>
      <c r="I483" t="n">
        <v>0</v>
      </c>
      <c r="J483" t="n">
        <v>1</v>
      </c>
      <c r="K483" t="n">
        <v>0</v>
      </c>
      <c r="L483" t="n">
        <v>0</v>
      </c>
      <c r="M483" t="n">
        <v>0</v>
      </c>
      <c r="N483" t="n">
        <v>0</v>
      </c>
      <c r="O483" t="n">
        <v>1</v>
      </c>
      <c r="P483" t="n">
        <v>0</v>
      </c>
      <c r="Q483" t="n">
        <v>1</v>
      </c>
      <c r="R483" s="2" t="inlineStr">
        <is>
          <t>Igelkott</t>
        </is>
      </c>
      <c r="S483">
        <f>HYPERLINK("https://klasma.github.io/Logging_0483/artfynd/A 28985-2022 artfynd.xlsx", "A 28985-2022")</f>
        <v/>
      </c>
      <c r="T483">
        <f>HYPERLINK("https://klasma.github.io/Logging_0483/kartor/A 28985-2022 karta.png", "A 28985-2022")</f>
        <v/>
      </c>
      <c r="V483">
        <f>HYPERLINK("https://klasma.github.io/Logging_0483/klagomål/A 28985-2022 FSC-klagomål.docx", "A 28985-2022")</f>
        <v/>
      </c>
      <c r="W483">
        <f>HYPERLINK("https://klasma.github.io/Logging_0483/klagomålsmail/A 28985-2022 FSC-klagomål mail.docx", "A 28985-2022")</f>
        <v/>
      </c>
      <c r="X483">
        <f>HYPERLINK("https://klasma.github.io/Logging_0483/tillsyn/A 28985-2022 tillsynsbegäran.docx", "A 28985-2022")</f>
        <v/>
      </c>
      <c r="Y483">
        <f>HYPERLINK("https://klasma.github.io/Logging_0483/tillsynsmail/A 28985-2022 tillsynsbegäran mail.docx", "A 28985-2022")</f>
        <v/>
      </c>
    </row>
    <row r="484" ht="15" customHeight="1">
      <c r="A484" t="inlineStr">
        <is>
          <t>A 30727-2022</t>
        </is>
      </c>
      <c r="B484" s="1" t="n">
        <v>44763</v>
      </c>
      <c r="C484" s="1" t="n">
        <v>45761</v>
      </c>
      <c r="D484" t="inlineStr">
        <is>
          <t>SÖDERMANLANDS LÄN</t>
        </is>
      </c>
      <c r="E484" t="inlineStr">
        <is>
          <t>KATRINEHOLM</t>
        </is>
      </c>
      <c r="F484" t="inlineStr">
        <is>
          <t>Allmännings- och besparingsskogar</t>
        </is>
      </c>
      <c r="G484" t="n">
        <v>6.6</v>
      </c>
      <c r="H484" t="n">
        <v>1</v>
      </c>
      <c r="I484" t="n">
        <v>0</v>
      </c>
      <c r="J484" t="n">
        <v>0</v>
      </c>
      <c r="K484" t="n">
        <v>1</v>
      </c>
      <c r="L484" t="n">
        <v>0</v>
      </c>
      <c r="M484" t="n">
        <v>0</v>
      </c>
      <c r="N484" t="n">
        <v>0</v>
      </c>
      <c r="O484" t="n">
        <v>1</v>
      </c>
      <c r="P484" t="n">
        <v>1</v>
      </c>
      <c r="Q484" t="n">
        <v>1</v>
      </c>
      <c r="R484" s="2" t="inlineStr">
        <is>
          <t>Knärot</t>
        </is>
      </c>
      <c r="S484">
        <f>HYPERLINK("https://klasma.github.io/Logging_0483/artfynd/A 30727-2022 artfynd.xlsx", "A 30727-2022")</f>
        <v/>
      </c>
      <c r="T484">
        <f>HYPERLINK("https://klasma.github.io/Logging_0483/kartor/A 30727-2022 karta.png", "A 30727-2022")</f>
        <v/>
      </c>
      <c r="U484">
        <f>HYPERLINK("https://klasma.github.io/Logging_0483/knärot/A 30727-2022 karta knärot.png", "A 30727-2022")</f>
        <v/>
      </c>
      <c r="V484">
        <f>HYPERLINK("https://klasma.github.io/Logging_0483/klagomål/A 30727-2022 FSC-klagomål.docx", "A 30727-2022")</f>
        <v/>
      </c>
      <c r="W484">
        <f>HYPERLINK("https://klasma.github.io/Logging_0483/klagomålsmail/A 30727-2022 FSC-klagomål mail.docx", "A 30727-2022")</f>
        <v/>
      </c>
      <c r="X484">
        <f>HYPERLINK("https://klasma.github.io/Logging_0483/tillsyn/A 30727-2022 tillsynsbegäran.docx", "A 30727-2022")</f>
        <v/>
      </c>
      <c r="Y484">
        <f>HYPERLINK("https://klasma.github.io/Logging_0483/tillsynsmail/A 30727-2022 tillsynsbegäran mail.docx", "A 30727-2022")</f>
        <v/>
      </c>
    </row>
    <row r="485" ht="15" customHeight="1">
      <c r="A485" t="inlineStr">
        <is>
          <t>A 32252-2022</t>
        </is>
      </c>
      <c r="B485" s="1" t="n">
        <v>44781</v>
      </c>
      <c r="C485" s="1" t="n">
        <v>45761</v>
      </c>
      <c r="D485" t="inlineStr">
        <is>
          <t>SÖDERMANLANDS LÄN</t>
        </is>
      </c>
      <c r="E485" t="inlineStr">
        <is>
          <t>GNESTA</t>
        </is>
      </c>
      <c r="G485" t="n">
        <v>17</v>
      </c>
      <c r="H485" t="n">
        <v>0</v>
      </c>
      <c r="I485" t="n">
        <v>1</v>
      </c>
      <c r="J485" t="n">
        <v>0</v>
      </c>
      <c r="K485" t="n">
        <v>0</v>
      </c>
      <c r="L485" t="n">
        <v>0</v>
      </c>
      <c r="M485" t="n">
        <v>0</v>
      </c>
      <c r="N485" t="n">
        <v>0</v>
      </c>
      <c r="O485" t="n">
        <v>0</v>
      </c>
      <c r="P485" t="n">
        <v>0</v>
      </c>
      <c r="Q485" t="n">
        <v>1</v>
      </c>
      <c r="R485" s="2" t="inlineStr">
        <is>
          <t>Svavelriska</t>
        </is>
      </c>
      <c r="S485">
        <f>HYPERLINK("https://klasma.github.io/Logging_0461/artfynd/A 32252-2022 artfynd.xlsx", "A 32252-2022")</f>
        <v/>
      </c>
      <c r="T485">
        <f>HYPERLINK("https://klasma.github.io/Logging_0461/kartor/A 32252-2022 karta.png", "A 32252-2022")</f>
        <v/>
      </c>
      <c r="V485">
        <f>HYPERLINK("https://klasma.github.io/Logging_0461/klagomål/A 32252-2022 FSC-klagomål.docx", "A 32252-2022")</f>
        <v/>
      </c>
      <c r="W485">
        <f>HYPERLINK("https://klasma.github.io/Logging_0461/klagomålsmail/A 32252-2022 FSC-klagomål mail.docx", "A 32252-2022")</f>
        <v/>
      </c>
      <c r="X485">
        <f>HYPERLINK("https://klasma.github.io/Logging_0461/tillsyn/A 32252-2022 tillsynsbegäran.docx", "A 32252-2022")</f>
        <v/>
      </c>
      <c r="Y485">
        <f>HYPERLINK("https://klasma.github.io/Logging_0461/tillsynsmail/A 32252-2022 tillsynsbegäran mail.docx", "A 32252-2022")</f>
        <v/>
      </c>
    </row>
    <row r="486" ht="15" customHeight="1">
      <c r="A486" t="inlineStr">
        <is>
          <t>A 33825-2022</t>
        </is>
      </c>
      <c r="B486" s="1" t="n">
        <v>44790</v>
      </c>
      <c r="C486" s="1" t="n">
        <v>45761</v>
      </c>
      <c r="D486" t="inlineStr">
        <is>
          <t>SÖDERMANLANDS LÄN</t>
        </is>
      </c>
      <c r="E486" t="inlineStr">
        <is>
          <t>GNESTA</t>
        </is>
      </c>
      <c r="G486" t="n">
        <v>5.7</v>
      </c>
      <c r="H486" t="n">
        <v>1</v>
      </c>
      <c r="I486" t="n">
        <v>0</v>
      </c>
      <c r="J486" t="n">
        <v>0</v>
      </c>
      <c r="K486" t="n">
        <v>0</v>
      </c>
      <c r="L486" t="n">
        <v>0</v>
      </c>
      <c r="M486" t="n">
        <v>0</v>
      </c>
      <c r="N486" t="n">
        <v>0</v>
      </c>
      <c r="O486" t="n">
        <v>0</v>
      </c>
      <c r="P486" t="n">
        <v>0</v>
      </c>
      <c r="Q486" t="n">
        <v>1</v>
      </c>
      <c r="R486" s="2" t="inlineStr">
        <is>
          <t>Mattlummer</t>
        </is>
      </c>
      <c r="S486">
        <f>HYPERLINK("https://klasma.github.io/Logging_0461/artfynd/A 33825-2022 artfynd.xlsx", "A 33825-2022")</f>
        <v/>
      </c>
      <c r="T486">
        <f>HYPERLINK("https://klasma.github.io/Logging_0461/kartor/A 33825-2022 karta.png", "A 33825-2022")</f>
        <v/>
      </c>
      <c r="V486">
        <f>HYPERLINK("https://klasma.github.io/Logging_0461/klagomål/A 33825-2022 FSC-klagomål.docx", "A 33825-2022")</f>
        <v/>
      </c>
      <c r="W486">
        <f>HYPERLINK("https://klasma.github.io/Logging_0461/klagomålsmail/A 33825-2022 FSC-klagomål mail.docx", "A 33825-2022")</f>
        <v/>
      </c>
      <c r="X486">
        <f>HYPERLINK("https://klasma.github.io/Logging_0461/tillsyn/A 33825-2022 tillsynsbegäran.docx", "A 33825-2022")</f>
        <v/>
      </c>
      <c r="Y486">
        <f>HYPERLINK("https://klasma.github.io/Logging_0461/tillsynsmail/A 33825-2022 tillsynsbegäran mail.docx", "A 33825-2022")</f>
        <v/>
      </c>
    </row>
    <row r="487" ht="15" customHeight="1">
      <c r="A487" t="inlineStr">
        <is>
          <t>A 34029-2022</t>
        </is>
      </c>
      <c r="B487" s="1" t="n">
        <v>44791</v>
      </c>
      <c r="C487" s="1" t="n">
        <v>45761</v>
      </c>
      <c r="D487" t="inlineStr">
        <is>
          <t>SÖDERMANLANDS LÄN</t>
        </is>
      </c>
      <c r="E487" t="inlineStr">
        <is>
          <t>GNESTA</t>
        </is>
      </c>
      <c r="G487" t="n">
        <v>4.3</v>
      </c>
      <c r="H487" t="n">
        <v>0</v>
      </c>
      <c r="I487" t="n">
        <v>0</v>
      </c>
      <c r="J487" t="n">
        <v>1</v>
      </c>
      <c r="K487" t="n">
        <v>0</v>
      </c>
      <c r="L487" t="n">
        <v>0</v>
      </c>
      <c r="M487" t="n">
        <v>0</v>
      </c>
      <c r="N487" t="n">
        <v>0</v>
      </c>
      <c r="O487" t="n">
        <v>1</v>
      </c>
      <c r="P487" t="n">
        <v>0</v>
      </c>
      <c r="Q487" t="n">
        <v>1</v>
      </c>
      <c r="R487" s="2" t="inlineStr">
        <is>
          <t>Ullticka</t>
        </is>
      </c>
      <c r="S487">
        <f>HYPERLINK("https://klasma.github.io/Logging_0461/artfynd/A 34029-2022 artfynd.xlsx", "A 34029-2022")</f>
        <v/>
      </c>
      <c r="T487">
        <f>HYPERLINK("https://klasma.github.io/Logging_0461/kartor/A 34029-2022 karta.png", "A 34029-2022")</f>
        <v/>
      </c>
      <c r="V487">
        <f>HYPERLINK("https://klasma.github.io/Logging_0461/klagomål/A 34029-2022 FSC-klagomål.docx", "A 34029-2022")</f>
        <v/>
      </c>
      <c r="W487">
        <f>HYPERLINK("https://klasma.github.io/Logging_0461/klagomålsmail/A 34029-2022 FSC-klagomål mail.docx", "A 34029-2022")</f>
        <v/>
      </c>
      <c r="X487">
        <f>HYPERLINK("https://klasma.github.io/Logging_0461/tillsyn/A 34029-2022 tillsynsbegäran.docx", "A 34029-2022")</f>
        <v/>
      </c>
      <c r="Y487">
        <f>HYPERLINK("https://klasma.github.io/Logging_0461/tillsynsmail/A 34029-2022 tillsynsbegäran mail.docx", "A 34029-2022")</f>
        <v/>
      </c>
    </row>
    <row r="488" ht="15" customHeight="1">
      <c r="A488" t="inlineStr">
        <is>
          <t>A 34498-2022</t>
        </is>
      </c>
      <c r="B488" s="1" t="n">
        <v>44792</v>
      </c>
      <c r="C488" s="1" t="n">
        <v>45761</v>
      </c>
      <c r="D488" t="inlineStr">
        <is>
          <t>SÖDERMANLANDS LÄN</t>
        </is>
      </c>
      <c r="E488" t="inlineStr">
        <is>
          <t>FLEN</t>
        </is>
      </c>
      <c r="G488" t="n">
        <v>1.5</v>
      </c>
      <c r="H488" t="n">
        <v>0</v>
      </c>
      <c r="I488" t="n">
        <v>0</v>
      </c>
      <c r="J488" t="n">
        <v>1</v>
      </c>
      <c r="K488" t="n">
        <v>0</v>
      </c>
      <c r="L488" t="n">
        <v>0</v>
      </c>
      <c r="M488" t="n">
        <v>0</v>
      </c>
      <c r="N488" t="n">
        <v>0</v>
      </c>
      <c r="O488" t="n">
        <v>1</v>
      </c>
      <c r="P488" t="n">
        <v>0</v>
      </c>
      <c r="Q488" t="n">
        <v>1</v>
      </c>
      <c r="R488" s="2" t="inlineStr">
        <is>
          <t>Gullklöver</t>
        </is>
      </c>
      <c r="S488">
        <f>HYPERLINK("https://klasma.github.io/Logging_0482/artfynd/A 34498-2022 artfynd.xlsx", "A 34498-2022")</f>
        <v/>
      </c>
      <c r="T488">
        <f>HYPERLINK("https://klasma.github.io/Logging_0482/kartor/A 34498-2022 karta.png", "A 34498-2022")</f>
        <v/>
      </c>
      <c r="V488">
        <f>HYPERLINK("https://klasma.github.io/Logging_0482/klagomål/A 34498-2022 FSC-klagomål.docx", "A 34498-2022")</f>
        <v/>
      </c>
      <c r="W488">
        <f>HYPERLINK("https://klasma.github.io/Logging_0482/klagomålsmail/A 34498-2022 FSC-klagomål mail.docx", "A 34498-2022")</f>
        <v/>
      </c>
      <c r="X488">
        <f>HYPERLINK("https://klasma.github.io/Logging_0482/tillsyn/A 34498-2022 tillsynsbegäran.docx", "A 34498-2022")</f>
        <v/>
      </c>
      <c r="Y488">
        <f>HYPERLINK("https://klasma.github.io/Logging_0482/tillsynsmail/A 34498-2022 tillsynsbegäran mail.docx", "A 34498-2022")</f>
        <v/>
      </c>
    </row>
    <row r="489" ht="15" customHeight="1">
      <c r="A489" t="inlineStr">
        <is>
          <t>A 35278-2022</t>
        </is>
      </c>
      <c r="B489" s="1" t="n">
        <v>44798</v>
      </c>
      <c r="C489" s="1" t="n">
        <v>45761</v>
      </c>
      <c r="D489" t="inlineStr">
        <is>
          <t>SÖDERMANLANDS LÄN</t>
        </is>
      </c>
      <c r="E489" t="inlineStr">
        <is>
          <t>FLEN</t>
        </is>
      </c>
      <c r="G489" t="n">
        <v>2.3</v>
      </c>
      <c r="H489" t="n">
        <v>1</v>
      </c>
      <c r="I489" t="n">
        <v>0</v>
      </c>
      <c r="J489" t="n">
        <v>0</v>
      </c>
      <c r="K489" t="n">
        <v>0</v>
      </c>
      <c r="L489" t="n">
        <v>0</v>
      </c>
      <c r="M489" t="n">
        <v>0</v>
      </c>
      <c r="N489" t="n">
        <v>0</v>
      </c>
      <c r="O489" t="n">
        <v>0</v>
      </c>
      <c r="P489" t="n">
        <v>0</v>
      </c>
      <c r="Q489" t="n">
        <v>1</v>
      </c>
      <c r="R489" s="2" t="inlineStr">
        <is>
          <t>Grönvit nattviol</t>
        </is>
      </c>
      <c r="S489">
        <f>HYPERLINK("https://klasma.github.io/Logging_0482/artfynd/A 35278-2022 artfynd.xlsx", "A 35278-2022")</f>
        <v/>
      </c>
      <c r="T489">
        <f>HYPERLINK("https://klasma.github.io/Logging_0482/kartor/A 35278-2022 karta.png", "A 35278-2022")</f>
        <v/>
      </c>
      <c r="V489">
        <f>HYPERLINK("https://klasma.github.io/Logging_0482/klagomål/A 35278-2022 FSC-klagomål.docx", "A 35278-2022")</f>
        <v/>
      </c>
      <c r="W489">
        <f>HYPERLINK("https://klasma.github.io/Logging_0482/klagomålsmail/A 35278-2022 FSC-klagomål mail.docx", "A 35278-2022")</f>
        <v/>
      </c>
      <c r="X489">
        <f>HYPERLINK("https://klasma.github.io/Logging_0482/tillsyn/A 35278-2022 tillsynsbegäran.docx", "A 35278-2022")</f>
        <v/>
      </c>
      <c r="Y489">
        <f>HYPERLINK("https://klasma.github.io/Logging_0482/tillsynsmail/A 35278-2022 tillsynsbegäran mail.docx", "A 35278-2022")</f>
        <v/>
      </c>
    </row>
    <row r="490" ht="15" customHeight="1">
      <c r="A490" t="inlineStr">
        <is>
          <t>A 36220-2022</t>
        </is>
      </c>
      <c r="B490" s="1" t="n">
        <v>44803</v>
      </c>
      <c r="C490" s="1" t="n">
        <v>45761</v>
      </c>
      <c r="D490" t="inlineStr">
        <is>
          <t>SÖDERMANLANDS LÄN</t>
        </is>
      </c>
      <c r="E490" t="inlineStr">
        <is>
          <t>KATRINEHOLM</t>
        </is>
      </c>
      <c r="G490" t="n">
        <v>3.1</v>
      </c>
      <c r="H490" t="n">
        <v>0</v>
      </c>
      <c r="I490" t="n">
        <v>1</v>
      </c>
      <c r="J490" t="n">
        <v>0</v>
      </c>
      <c r="K490" t="n">
        <v>0</v>
      </c>
      <c r="L490" t="n">
        <v>0</v>
      </c>
      <c r="M490" t="n">
        <v>0</v>
      </c>
      <c r="N490" t="n">
        <v>0</v>
      </c>
      <c r="O490" t="n">
        <v>0</v>
      </c>
      <c r="P490" t="n">
        <v>0</v>
      </c>
      <c r="Q490" t="n">
        <v>1</v>
      </c>
      <c r="R490" s="2" t="inlineStr">
        <is>
          <t>Granbräken</t>
        </is>
      </c>
      <c r="S490">
        <f>HYPERLINK("https://klasma.github.io/Logging_0483/artfynd/A 36220-2022 artfynd.xlsx", "A 36220-2022")</f>
        <v/>
      </c>
      <c r="T490">
        <f>HYPERLINK("https://klasma.github.io/Logging_0483/kartor/A 36220-2022 karta.png", "A 36220-2022")</f>
        <v/>
      </c>
      <c r="V490">
        <f>HYPERLINK("https://klasma.github.io/Logging_0483/klagomål/A 36220-2022 FSC-klagomål.docx", "A 36220-2022")</f>
        <v/>
      </c>
      <c r="W490">
        <f>HYPERLINK("https://klasma.github.io/Logging_0483/klagomålsmail/A 36220-2022 FSC-klagomål mail.docx", "A 36220-2022")</f>
        <v/>
      </c>
      <c r="X490">
        <f>HYPERLINK("https://klasma.github.io/Logging_0483/tillsyn/A 36220-2022 tillsynsbegäran.docx", "A 36220-2022")</f>
        <v/>
      </c>
      <c r="Y490">
        <f>HYPERLINK("https://klasma.github.io/Logging_0483/tillsynsmail/A 36220-2022 tillsynsbegäran mail.docx", "A 36220-2022")</f>
        <v/>
      </c>
    </row>
    <row r="491" ht="15" customHeight="1">
      <c r="A491" t="inlineStr">
        <is>
          <t>A 36140-2022</t>
        </is>
      </c>
      <c r="B491" s="1" t="n">
        <v>44803</v>
      </c>
      <c r="C491" s="1" t="n">
        <v>45761</v>
      </c>
      <c r="D491" t="inlineStr">
        <is>
          <t>SÖDERMANLANDS LÄN</t>
        </is>
      </c>
      <c r="E491" t="inlineStr">
        <is>
          <t>ESKILSTUNA</t>
        </is>
      </c>
      <c r="G491" t="n">
        <v>5</v>
      </c>
      <c r="H491" t="n">
        <v>1</v>
      </c>
      <c r="I491" t="n">
        <v>0</v>
      </c>
      <c r="J491" t="n">
        <v>0</v>
      </c>
      <c r="K491" t="n">
        <v>0</v>
      </c>
      <c r="L491" t="n">
        <v>0</v>
      </c>
      <c r="M491" t="n">
        <v>0</v>
      </c>
      <c r="N491" t="n">
        <v>0</v>
      </c>
      <c r="O491" t="n">
        <v>0</v>
      </c>
      <c r="P491" t="n">
        <v>0</v>
      </c>
      <c r="Q491" t="n">
        <v>1</v>
      </c>
      <c r="R491" s="2" t="inlineStr">
        <is>
          <t>Blåsippa</t>
        </is>
      </c>
      <c r="S491">
        <f>HYPERLINK("https://klasma.github.io/Logging_0484/artfynd/A 36140-2022 artfynd.xlsx", "A 36140-2022")</f>
        <v/>
      </c>
      <c r="T491">
        <f>HYPERLINK("https://klasma.github.io/Logging_0484/kartor/A 36140-2022 karta.png", "A 36140-2022")</f>
        <v/>
      </c>
      <c r="V491">
        <f>HYPERLINK("https://klasma.github.io/Logging_0484/klagomål/A 36140-2022 FSC-klagomål.docx", "A 36140-2022")</f>
        <v/>
      </c>
      <c r="W491">
        <f>HYPERLINK("https://klasma.github.io/Logging_0484/klagomålsmail/A 36140-2022 FSC-klagomål mail.docx", "A 36140-2022")</f>
        <v/>
      </c>
      <c r="X491">
        <f>HYPERLINK("https://klasma.github.io/Logging_0484/tillsyn/A 36140-2022 tillsynsbegäran.docx", "A 36140-2022")</f>
        <v/>
      </c>
      <c r="Y491">
        <f>HYPERLINK("https://klasma.github.io/Logging_0484/tillsynsmail/A 36140-2022 tillsynsbegäran mail.docx", "A 36140-2022")</f>
        <v/>
      </c>
    </row>
    <row r="492" ht="15" customHeight="1">
      <c r="A492" t="inlineStr">
        <is>
          <t>A 36155-2022</t>
        </is>
      </c>
      <c r="B492" s="1" t="n">
        <v>44803</v>
      </c>
      <c r="C492" s="1" t="n">
        <v>45761</v>
      </c>
      <c r="D492" t="inlineStr">
        <is>
          <t>SÖDERMANLANDS LÄN</t>
        </is>
      </c>
      <c r="E492" t="inlineStr">
        <is>
          <t>ESKILSTUNA</t>
        </is>
      </c>
      <c r="G492" t="n">
        <v>5.2</v>
      </c>
      <c r="H492" t="n">
        <v>1</v>
      </c>
      <c r="I492" t="n">
        <v>0</v>
      </c>
      <c r="J492" t="n">
        <v>0</v>
      </c>
      <c r="K492" t="n">
        <v>0</v>
      </c>
      <c r="L492" t="n">
        <v>0</v>
      </c>
      <c r="M492" t="n">
        <v>0</v>
      </c>
      <c r="N492" t="n">
        <v>0</v>
      </c>
      <c r="O492" t="n">
        <v>0</v>
      </c>
      <c r="P492" t="n">
        <v>0</v>
      </c>
      <c r="Q492" t="n">
        <v>1</v>
      </c>
      <c r="R492" s="2" t="inlineStr">
        <is>
          <t>Blåsippa</t>
        </is>
      </c>
      <c r="S492">
        <f>HYPERLINK("https://klasma.github.io/Logging_0484/artfynd/A 36155-2022 artfynd.xlsx", "A 36155-2022")</f>
        <v/>
      </c>
      <c r="T492">
        <f>HYPERLINK("https://klasma.github.io/Logging_0484/kartor/A 36155-2022 karta.png", "A 36155-2022")</f>
        <v/>
      </c>
      <c r="V492">
        <f>HYPERLINK("https://klasma.github.io/Logging_0484/klagomål/A 36155-2022 FSC-klagomål.docx", "A 36155-2022")</f>
        <v/>
      </c>
      <c r="W492">
        <f>HYPERLINK("https://klasma.github.io/Logging_0484/klagomålsmail/A 36155-2022 FSC-klagomål mail.docx", "A 36155-2022")</f>
        <v/>
      </c>
      <c r="X492">
        <f>HYPERLINK("https://klasma.github.io/Logging_0484/tillsyn/A 36155-2022 tillsynsbegäran.docx", "A 36155-2022")</f>
        <v/>
      </c>
      <c r="Y492">
        <f>HYPERLINK("https://klasma.github.io/Logging_0484/tillsynsmail/A 36155-2022 tillsynsbegäran mail.docx", "A 36155-2022")</f>
        <v/>
      </c>
    </row>
    <row r="493" ht="15" customHeight="1">
      <c r="A493" t="inlineStr">
        <is>
          <t>A 36996-2022</t>
        </is>
      </c>
      <c r="B493" s="1" t="n">
        <v>44806</v>
      </c>
      <c r="C493" s="1" t="n">
        <v>45761</v>
      </c>
      <c r="D493" t="inlineStr">
        <is>
          <t>SÖDERMANLANDS LÄN</t>
        </is>
      </c>
      <c r="E493" t="inlineStr">
        <is>
          <t>NYKÖPING</t>
        </is>
      </c>
      <c r="F493" t="inlineStr">
        <is>
          <t>Kommuner</t>
        </is>
      </c>
      <c r="G493" t="n">
        <v>1.8</v>
      </c>
      <c r="H493" t="n">
        <v>0</v>
      </c>
      <c r="I493" t="n">
        <v>1</v>
      </c>
      <c r="J493" t="n">
        <v>0</v>
      </c>
      <c r="K493" t="n">
        <v>0</v>
      </c>
      <c r="L493" t="n">
        <v>0</v>
      </c>
      <c r="M493" t="n">
        <v>0</v>
      </c>
      <c r="N493" t="n">
        <v>0</v>
      </c>
      <c r="O493" t="n">
        <v>0</v>
      </c>
      <c r="P493" t="n">
        <v>0</v>
      </c>
      <c r="Q493" t="n">
        <v>1</v>
      </c>
      <c r="R493" s="2" t="inlineStr">
        <is>
          <t>Vågbandad barkbock</t>
        </is>
      </c>
      <c r="S493">
        <f>HYPERLINK("https://klasma.github.io/Logging_0480/artfynd/A 36996-2022 artfynd.xlsx", "A 36996-2022")</f>
        <v/>
      </c>
      <c r="T493">
        <f>HYPERLINK("https://klasma.github.io/Logging_0480/kartor/A 36996-2022 karta.png", "A 36996-2022")</f>
        <v/>
      </c>
      <c r="V493">
        <f>HYPERLINK("https://klasma.github.io/Logging_0480/klagomål/A 36996-2022 FSC-klagomål.docx", "A 36996-2022")</f>
        <v/>
      </c>
      <c r="W493">
        <f>HYPERLINK("https://klasma.github.io/Logging_0480/klagomålsmail/A 36996-2022 FSC-klagomål mail.docx", "A 36996-2022")</f>
        <v/>
      </c>
      <c r="X493">
        <f>HYPERLINK("https://klasma.github.io/Logging_0480/tillsyn/A 36996-2022 tillsynsbegäran.docx", "A 36996-2022")</f>
        <v/>
      </c>
      <c r="Y493">
        <f>HYPERLINK("https://klasma.github.io/Logging_0480/tillsynsmail/A 36996-2022 tillsynsbegäran mail.docx", "A 36996-2022")</f>
        <v/>
      </c>
    </row>
    <row r="494" ht="15" customHeight="1">
      <c r="A494" t="inlineStr">
        <is>
          <t>A 39740-2022</t>
        </is>
      </c>
      <c r="B494" s="1" t="n">
        <v>44817</v>
      </c>
      <c r="C494" s="1" t="n">
        <v>45761</v>
      </c>
      <c r="D494" t="inlineStr">
        <is>
          <t>SÖDERMANLANDS LÄN</t>
        </is>
      </c>
      <c r="E494" t="inlineStr">
        <is>
          <t>NYKÖPING</t>
        </is>
      </c>
      <c r="F494" t="inlineStr">
        <is>
          <t>Kommuner</t>
        </is>
      </c>
      <c r="G494" t="n">
        <v>3.4</v>
      </c>
      <c r="H494" t="n">
        <v>1</v>
      </c>
      <c r="I494" t="n">
        <v>0</v>
      </c>
      <c r="J494" t="n">
        <v>0</v>
      </c>
      <c r="K494" t="n">
        <v>0</v>
      </c>
      <c r="L494" t="n">
        <v>0</v>
      </c>
      <c r="M494" t="n">
        <v>0</v>
      </c>
      <c r="N494" t="n">
        <v>0</v>
      </c>
      <c r="O494" t="n">
        <v>0</v>
      </c>
      <c r="P494" t="n">
        <v>0</v>
      </c>
      <c r="Q494" t="n">
        <v>1</v>
      </c>
      <c r="R494" s="2" t="inlineStr">
        <is>
          <t>Blåsippa</t>
        </is>
      </c>
      <c r="S494">
        <f>HYPERLINK("https://klasma.github.io/Logging_0480/artfynd/A 39740-2022 artfynd.xlsx", "A 39740-2022")</f>
        <v/>
      </c>
      <c r="T494">
        <f>HYPERLINK("https://klasma.github.io/Logging_0480/kartor/A 39740-2022 karta.png", "A 39740-2022")</f>
        <v/>
      </c>
      <c r="V494">
        <f>HYPERLINK("https://klasma.github.io/Logging_0480/klagomål/A 39740-2022 FSC-klagomål.docx", "A 39740-2022")</f>
        <v/>
      </c>
      <c r="W494">
        <f>HYPERLINK("https://klasma.github.io/Logging_0480/klagomålsmail/A 39740-2022 FSC-klagomål mail.docx", "A 39740-2022")</f>
        <v/>
      </c>
      <c r="X494">
        <f>HYPERLINK("https://klasma.github.io/Logging_0480/tillsyn/A 39740-2022 tillsynsbegäran.docx", "A 39740-2022")</f>
        <v/>
      </c>
      <c r="Y494">
        <f>HYPERLINK("https://klasma.github.io/Logging_0480/tillsynsmail/A 39740-2022 tillsynsbegäran mail.docx", "A 39740-2022")</f>
        <v/>
      </c>
    </row>
    <row r="495" ht="15" customHeight="1">
      <c r="A495" t="inlineStr">
        <is>
          <t>A 41511-2022</t>
        </is>
      </c>
      <c r="B495" s="1" t="n">
        <v>44827</v>
      </c>
      <c r="C495" s="1" t="n">
        <v>45761</v>
      </c>
      <c r="D495" t="inlineStr">
        <is>
          <t>SÖDERMANLANDS LÄN</t>
        </is>
      </c>
      <c r="E495" t="inlineStr">
        <is>
          <t>STRÄNGNÄS</t>
        </is>
      </c>
      <c r="F495" t="inlineStr">
        <is>
          <t>Övriga Aktiebolag</t>
        </is>
      </c>
      <c r="G495" t="n">
        <v>5</v>
      </c>
      <c r="H495" t="n">
        <v>0</v>
      </c>
      <c r="I495" t="n">
        <v>0</v>
      </c>
      <c r="J495" t="n">
        <v>1</v>
      </c>
      <c r="K495" t="n">
        <v>0</v>
      </c>
      <c r="L495" t="n">
        <v>0</v>
      </c>
      <c r="M495" t="n">
        <v>0</v>
      </c>
      <c r="N495" t="n">
        <v>0</v>
      </c>
      <c r="O495" t="n">
        <v>1</v>
      </c>
      <c r="P495" t="n">
        <v>0</v>
      </c>
      <c r="Q495" t="n">
        <v>1</v>
      </c>
      <c r="R495" s="2" t="inlineStr">
        <is>
          <t>Tallticka</t>
        </is>
      </c>
      <c r="S495">
        <f>HYPERLINK("https://klasma.github.io/Logging_0486/artfynd/A 41511-2022 artfynd.xlsx", "A 41511-2022")</f>
        <v/>
      </c>
      <c r="T495">
        <f>HYPERLINK("https://klasma.github.io/Logging_0486/kartor/A 41511-2022 karta.png", "A 41511-2022")</f>
        <v/>
      </c>
      <c r="V495">
        <f>HYPERLINK("https://klasma.github.io/Logging_0486/klagomål/A 41511-2022 FSC-klagomål.docx", "A 41511-2022")</f>
        <v/>
      </c>
      <c r="W495">
        <f>HYPERLINK("https://klasma.github.io/Logging_0486/klagomålsmail/A 41511-2022 FSC-klagomål mail.docx", "A 41511-2022")</f>
        <v/>
      </c>
      <c r="X495">
        <f>HYPERLINK("https://klasma.github.io/Logging_0486/tillsyn/A 41511-2022 tillsynsbegäran.docx", "A 41511-2022")</f>
        <v/>
      </c>
      <c r="Y495">
        <f>HYPERLINK("https://klasma.github.io/Logging_0486/tillsynsmail/A 41511-2022 tillsynsbegäran mail.docx", "A 41511-2022")</f>
        <v/>
      </c>
    </row>
    <row r="496" ht="15" customHeight="1">
      <c r="A496" t="inlineStr">
        <is>
          <t>A 42227-2022</t>
        </is>
      </c>
      <c r="B496" s="1" t="n">
        <v>44830</v>
      </c>
      <c r="C496" s="1" t="n">
        <v>45761</v>
      </c>
      <c r="D496" t="inlineStr">
        <is>
          <t>SÖDERMANLANDS LÄN</t>
        </is>
      </c>
      <c r="E496" t="inlineStr">
        <is>
          <t>GNESTA</t>
        </is>
      </c>
      <c r="G496" t="n">
        <v>4.8</v>
      </c>
      <c r="H496" t="n">
        <v>0</v>
      </c>
      <c r="I496" t="n">
        <v>1</v>
      </c>
      <c r="J496" t="n">
        <v>0</v>
      </c>
      <c r="K496" t="n">
        <v>0</v>
      </c>
      <c r="L496" t="n">
        <v>0</v>
      </c>
      <c r="M496" t="n">
        <v>0</v>
      </c>
      <c r="N496" t="n">
        <v>0</v>
      </c>
      <c r="O496" t="n">
        <v>0</v>
      </c>
      <c r="P496" t="n">
        <v>0</v>
      </c>
      <c r="Q496" t="n">
        <v>1</v>
      </c>
      <c r="R496" s="2" t="inlineStr">
        <is>
          <t>Sotlav</t>
        </is>
      </c>
      <c r="S496">
        <f>HYPERLINK("https://klasma.github.io/Logging_0461/artfynd/A 42227-2022 artfynd.xlsx", "A 42227-2022")</f>
        <v/>
      </c>
      <c r="T496">
        <f>HYPERLINK("https://klasma.github.io/Logging_0461/kartor/A 42227-2022 karta.png", "A 42227-2022")</f>
        <v/>
      </c>
      <c r="V496">
        <f>HYPERLINK("https://klasma.github.io/Logging_0461/klagomål/A 42227-2022 FSC-klagomål.docx", "A 42227-2022")</f>
        <v/>
      </c>
      <c r="W496">
        <f>HYPERLINK("https://klasma.github.io/Logging_0461/klagomålsmail/A 42227-2022 FSC-klagomål mail.docx", "A 42227-2022")</f>
        <v/>
      </c>
      <c r="X496">
        <f>HYPERLINK("https://klasma.github.io/Logging_0461/tillsyn/A 42227-2022 tillsynsbegäran.docx", "A 42227-2022")</f>
        <v/>
      </c>
      <c r="Y496">
        <f>HYPERLINK("https://klasma.github.io/Logging_0461/tillsynsmail/A 42227-2022 tillsynsbegäran mail.docx", "A 42227-2022")</f>
        <v/>
      </c>
    </row>
    <row r="497" ht="15" customHeight="1">
      <c r="A497" t="inlineStr">
        <is>
          <t>A 42745-2022</t>
        </is>
      </c>
      <c r="B497" s="1" t="n">
        <v>44831</v>
      </c>
      <c r="C497" s="1" t="n">
        <v>45761</v>
      </c>
      <c r="D497" t="inlineStr">
        <is>
          <t>SÖDERMANLANDS LÄN</t>
        </is>
      </c>
      <c r="E497" t="inlineStr">
        <is>
          <t>KATRINEHOLM</t>
        </is>
      </c>
      <c r="G497" t="n">
        <v>4.6</v>
      </c>
      <c r="H497" t="n">
        <v>0</v>
      </c>
      <c r="I497" t="n">
        <v>0</v>
      </c>
      <c r="J497" t="n">
        <v>1</v>
      </c>
      <c r="K497" t="n">
        <v>0</v>
      </c>
      <c r="L497" t="n">
        <v>0</v>
      </c>
      <c r="M497" t="n">
        <v>0</v>
      </c>
      <c r="N497" t="n">
        <v>0</v>
      </c>
      <c r="O497" t="n">
        <v>1</v>
      </c>
      <c r="P497" t="n">
        <v>0</v>
      </c>
      <c r="Q497" t="n">
        <v>1</v>
      </c>
      <c r="R497" s="2" t="inlineStr">
        <is>
          <t>Svedjenäva</t>
        </is>
      </c>
      <c r="S497">
        <f>HYPERLINK("https://klasma.github.io/Logging_0483/artfynd/A 42745-2022 artfynd.xlsx", "A 42745-2022")</f>
        <v/>
      </c>
      <c r="T497">
        <f>HYPERLINK("https://klasma.github.io/Logging_0483/kartor/A 42745-2022 karta.png", "A 42745-2022")</f>
        <v/>
      </c>
      <c r="V497">
        <f>HYPERLINK("https://klasma.github.io/Logging_0483/klagomål/A 42745-2022 FSC-klagomål.docx", "A 42745-2022")</f>
        <v/>
      </c>
      <c r="W497">
        <f>HYPERLINK("https://klasma.github.io/Logging_0483/klagomålsmail/A 42745-2022 FSC-klagomål mail.docx", "A 42745-2022")</f>
        <v/>
      </c>
      <c r="X497">
        <f>HYPERLINK("https://klasma.github.io/Logging_0483/tillsyn/A 42745-2022 tillsynsbegäran.docx", "A 42745-2022")</f>
        <v/>
      </c>
      <c r="Y497">
        <f>HYPERLINK("https://klasma.github.io/Logging_0483/tillsynsmail/A 42745-2022 tillsynsbegäran mail.docx", "A 42745-2022")</f>
        <v/>
      </c>
    </row>
    <row r="498" ht="15" customHeight="1">
      <c r="A498" t="inlineStr">
        <is>
          <t>A 43547-2022</t>
        </is>
      </c>
      <c r="B498" s="1" t="n">
        <v>44834</v>
      </c>
      <c r="C498" s="1" t="n">
        <v>45761</v>
      </c>
      <c r="D498" t="inlineStr">
        <is>
          <t>SÖDERMANLANDS LÄN</t>
        </is>
      </c>
      <c r="E498" t="inlineStr">
        <is>
          <t>ESKILSTUNA</t>
        </is>
      </c>
      <c r="G498" t="n">
        <v>3.2</v>
      </c>
      <c r="H498" t="n">
        <v>1</v>
      </c>
      <c r="I498" t="n">
        <v>0</v>
      </c>
      <c r="J498" t="n">
        <v>0</v>
      </c>
      <c r="K498" t="n">
        <v>1</v>
      </c>
      <c r="L498" t="n">
        <v>0</v>
      </c>
      <c r="M498" t="n">
        <v>0</v>
      </c>
      <c r="N498" t="n">
        <v>0</v>
      </c>
      <c r="O498" t="n">
        <v>1</v>
      </c>
      <c r="P498" t="n">
        <v>1</v>
      </c>
      <c r="Q498" t="n">
        <v>1</v>
      </c>
      <c r="R498" s="2" t="inlineStr">
        <is>
          <t>Knärot</t>
        </is>
      </c>
      <c r="S498">
        <f>HYPERLINK("https://klasma.github.io/Logging_0484/artfynd/A 43547-2022 artfynd.xlsx", "A 43547-2022")</f>
        <v/>
      </c>
      <c r="T498">
        <f>HYPERLINK("https://klasma.github.io/Logging_0484/kartor/A 43547-2022 karta.png", "A 43547-2022")</f>
        <v/>
      </c>
      <c r="U498">
        <f>HYPERLINK("https://klasma.github.io/Logging_0484/knärot/A 43547-2022 karta knärot.png", "A 43547-2022")</f>
        <v/>
      </c>
      <c r="V498">
        <f>HYPERLINK("https://klasma.github.io/Logging_0484/klagomål/A 43547-2022 FSC-klagomål.docx", "A 43547-2022")</f>
        <v/>
      </c>
      <c r="W498">
        <f>HYPERLINK("https://klasma.github.io/Logging_0484/klagomålsmail/A 43547-2022 FSC-klagomål mail.docx", "A 43547-2022")</f>
        <v/>
      </c>
      <c r="X498">
        <f>HYPERLINK("https://klasma.github.io/Logging_0484/tillsyn/A 43547-2022 tillsynsbegäran.docx", "A 43547-2022")</f>
        <v/>
      </c>
      <c r="Y498">
        <f>HYPERLINK("https://klasma.github.io/Logging_0484/tillsynsmail/A 43547-2022 tillsynsbegäran mail.docx", "A 43547-2022")</f>
        <v/>
      </c>
    </row>
    <row r="499" ht="15" customHeight="1">
      <c r="A499" t="inlineStr">
        <is>
          <t>A 43666-2022</t>
        </is>
      </c>
      <c r="B499" s="1" t="n">
        <v>44834</v>
      </c>
      <c r="C499" s="1" t="n">
        <v>45761</v>
      </c>
      <c r="D499" t="inlineStr">
        <is>
          <t>SÖDERMANLANDS LÄN</t>
        </is>
      </c>
      <c r="E499" t="inlineStr">
        <is>
          <t>STRÄNGNÄS</t>
        </is>
      </c>
      <c r="G499" t="n">
        <v>4.6</v>
      </c>
      <c r="H499" t="n">
        <v>0</v>
      </c>
      <c r="I499" t="n">
        <v>0</v>
      </c>
      <c r="J499" t="n">
        <v>1</v>
      </c>
      <c r="K499" t="n">
        <v>0</v>
      </c>
      <c r="L499" t="n">
        <v>0</v>
      </c>
      <c r="M499" t="n">
        <v>0</v>
      </c>
      <c r="N499" t="n">
        <v>0</v>
      </c>
      <c r="O499" t="n">
        <v>1</v>
      </c>
      <c r="P499" t="n">
        <v>0</v>
      </c>
      <c r="Q499" t="n">
        <v>1</v>
      </c>
      <c r="R499" s="2" t="inlineStr">
        <is>
          <t>Igelkott</t>
        </is>
      </c>
      <c r="S499">
        <f>HYPERLINK("https://klasma.github.io/Logging_0486/artfynd/A 43666-2022 artfynd.xlsx", "A 43666-2022")</f>
        <v/>
      </c>
      <c r="T499">
        <f>HYPERLINK("https://klasma.github.io/Logging_0486/kartor/A 43666-2022 karta.png", "A 43666-2022")</f>
        <v/>
      </c>
      <c r="V499">
        <f>HYPERLINK("https://klasma.github.io/Logging_0486/klagomål/A 43666-2022 FSC-klagomål.docx", "A 43666-2022")</f>
        <v/>
      </c>
      <c r="W499">
        <f>HYPERLINK("https://klasma.github.io/Logging_0486/klagomålsmail/A 43666-2022 FSC-klagomål mail.docx", "A 43666-2022")</f>
        <v/>
      </c>
      <c r="X499">
        <f>HYPERLINK("https://klasma.github.io/Logging_0486/tillsyn/A 43666-2022 tillsynsbegäran.docx", "A 43666-2022")</f>
        <v/>
      </c>
      <c r="Y499">
        <f>HYPERLINK("https://klasma.github.io/Logging_0486/tillsynsmail/A 43666-2022 tillsynsbegäran mail.docx", "A 43666-2022")</f>
        <v/>
      </c>
    </row>
    <row r="500" ht="15" customHeight="1">
      <c r="A500" t="inlineStr">
        <is>
          <t>A 44563-2022</t>
        </is>
      </c>
      <c r="B500" s="1" t="n">
        <v>44838</v>
      </c>
      <c r="C500" s="1" t="n">
        <v>45761</v>
      </c>
      <c r="D500" t="inlineStr">
        <is>
          <t>SÖDERMANLANDS LÄN</t>
        </is>
      </c>
      <c r="E500" t="inlineStr">
        <is>
          <t>FLEN</t>
        </is>
      </c>
      <c r="G500" t="n">
        <v>1.5</v>
      </c>
      <c r="H500" t="n">
        <v>1</v>
      </c>
      <c r="I500" t="n">
        <v>0</v>
      </c>
      <c r="J500" t="n">
        <v>0</v>
      </c>
      <c r="K500" t="n">
        <v>0</v>
      </c>
      <c r="L500" t="n">
        <v>0</v>
      </c>
      <c r="M500" t="n">
        <v>0</v>
      </c>
      <c r="N500" t="n">
        <v>0</v>
      </c>
      <c r="O500" t="n">
        <v>0</v>
      </c>
      <c r="P500" t="n">
        <v>0</v>
      </c>
      <c r="Q500" t="n">
        <v>1</v>
      </c>
      <c r="R500" s="2" t="inlineStr">
        <is>
          <t>Blåsippa</t>
        </is>
      </c>
      <c r="S500">
        <f>HYPERLINK("https://klasma.github.io/Logging_0482/artfynd/A 44563-2022 artfynd.xlsx", "A 44563-2022")</f>
        <v/>
      </c>
      <c r="T500">
        <f>HYPERLINK("https://klasma.github.io/Logging_0482/kartor/A 44563-2022 karta.png", "A 44563-2022")</f>
        <v/>
      </c>
      <c r="V500">
        <f>HYPERLINK("https://klasma.github.io/Logging_0482/klagomål/A 44563-2022 FSC-klagomål.docx", "A 44563-2022")</f>
        <v/>
      </c>
      <c r="W500">
        <f>HYPERLINK("https://klasma.github.io/Logging_0482/klagomålsmail/A 44563-2022 FSC-klagomål mail.docx", "A 44563-2022")</f>
        <v/>
      </c>
      <c r="X500">
        <f>HYPERLINK("https://klasma.github.io/Logging_0482/tillsyn/A 44563-2022 tillsynsbegäran.docx", "A 44563-2022")</f>
        <v/>
      </c>
      <c r="Y500">
        <f>HYPERLINK("https://klasma.github.io/Logging_0482/tillsynsmail/A 44563-2022 tillsynsbegäran mail.docx", "A 44563-2022")</f>
        <v/>
      </c>
    </row>
    <row r="501" ht="15" customHeight="1">
      <c r="A501" t="inlineStr">
        <is>
          <t>A 44262-2022</t>
        </is>
      </c>
      <c r="B501" s="1" t="n">
        <v>44839</v>
      </c>
      <c r="C501" s="1" t="n">
        <v>45761</v>
      </c>
      <c r="D501" t="inlineStr">
        <is>
          <t>SÖDERMANLANDS LÄN</t>
        </is>
      </c>
      <c r="E501" t="inlineStr">
        <is>
          <t>KATRINEHOLM</t>
        </is>
      </c>
      <c r="G501" t="n">
        <v>0.1</v>
      </c>
      <c r="H501" t="n">
        <v>1</v>
      </c>
      <c r="I501" t="n">
        <v>0</v>
      </c>
      <c r="J501" t="n">
        <v>0</v>
      </c>
      <c r="K501" t="n">
        <v>1</v>
      </c>
      <c r="L501" t="n">
        <v>0</v>
      </c>
      <c r="M501" t="n">
        <v>0</v>
      </c>
      <c r="N501" t="n">
        <v>0</v>
      </c>
      <c r="O501" t="n">
        <v>1</v>
      </c>
      <c r="P501" t="n">
        <v>1</v>
      </c>
      <c r="Q501" t="n">
        <v>1</v>
      </c>
      <c r="R501" s="2" t="inlineStr">
        <is>
          <t>Bombmurkla</t>
        </is>
      </c>
      <c r="S501">
        <f>HYPERLINK("https://klasma.github.io/Logging_0483/artfynd/A 44262-2022 artfynd.xlsx", "A 44262-2022")</f>
        <v/>
      </c>
      <c r="T501">
        <f>HYPERLINK("https://klasma.github.io/Logging_0483/kartor/A 44262-2022 karta.png", "A 44262-2022")</f>
        <v/>
      </c>
      <c r="V501">
        <f>HYPERLINK("https://klasma.github.io/Logging_0483/klagomål/A 44262-2022 FSC-klagomål.docx", "A 44262-2022")</f>
        <v/>
      </c>
      <c r="W501">
        <f>HYPERLINK("https://klasma.github.io/Logging_0483/klagomålsmail/A 44262-2022 FSC-klagomål mail.docx", "A 44262-2022")</f>
        <v/>
      </c>
      <c r="X501">
        <f>HYPERLINK("https://klasma.github.io/Logging_0483/tillsyn/A 44262-2022 tillsynsbegäran.docx", "A 44262-2022")</f>
        <v/>
      </c>
      <c r="Y501">
        <f>HYPERLINK("https://klasma.github.io/Logging_0483/tillsynsmail/A 44262-2022 tillsynsbegäran mail.docx", "A 44262-2022")</f>
        <v/>
      </c>
    </row>
    <row r="502" ht="15" customHeight="1">
      <c r="A502" t="inlineStr">
        <is>
          <t>A 44782-2022</t>
        </is>
      </c>
      <c r="B502" s="1" t="n">
        <v>44839</v>
      </c>
      <c r="C502" s="1" t="n">
        <v>45761</v>
      </c>
      <c r="D502" t="inlineStr">
        <is>
          <t>SÖDERMANLANDS LÄN</t>
        </is>
      </c>
      <c r="E502" t="inlineStr">
        <is>
          <t>GNESTA</t>
        </is>
      </c>
      <c r="G502" t="n">
        <v>5.6</v>
      </c>
      <c r="H502" t="n">
        <v>0</v>
      </c>
      <c r="I502" t="n">
        <v>0</v>
      </c>
      <c r="J502" t="n">
        <v>1</v>
      </c>
      <c r="K502" t="n">
        <v>0</v>
      </c>
      <c r="L502" t="n">
        <v>0</v>
      </c>
      <c r="M502" t="n">
        <v>0</v>
      </c>
      <c r="N502" t="n">
        <v>0</v>
      </c>
      <c r="O502" t="n">
        <v>1</v>
      </c>
      <c r="P502" t="n">
        <v>0</v>
      </c>
      <c r="Q502" t="n">
        <v>1</v>
      </c>
      <c r="R502" s="2" t="inlineStr">
        <is>
          <t>Bredbrämad bastardsvärmare</t>
        </is>
      </c>
      <c r="S502">
        <f>HYPERLINK("https://klasma.github.io/Logging_0461/artfynd/A 44782-2022 artfynd.xlsx", "A 44782-2022")</f>
        <v/>
      </c>
      <c r="T502">
        <f>HYPERLINK("https://klasma.github.io/Logging_0461/kartor/A 44782-2022 karta.png", "A 44782-2022")</f>
        <v/>
      </c>
      <c r="V502">
        <f>HYPERLINK("https://klasma.github.io/Logging_0461/klagomål/A 44782-2022 FSC-klagomål.docx", "A 44782-2022")</f>
        <v/>
      </c>
      <c r="W502">
        <f>HYPERLINK("https://klasma.github.io/Logging_0461/klagomålsmail/A 44782-2022 FSC-klagomål mail.docx", "A 44782-2022")</f>
        <v/>
      </c>
      <c r="X502">
        <f>HYPERLINK("https://klasma.github.io/Logging_0461/tillsyn/A 44782-2022 tillsynsbegäran.docx", "A 44782-2022")</f>
        <v/>
      </c>
      <c r="Y502">
        <f>HYPERLINK("https://klasma.github.io/Logging_0461/tillsynsmail/A 44782-2022 tillsynsbegäran mail.docx", "A 44782-2022")</f>
        <v/>
      </c>
    </row>
    <row r="503" ht="15" customHeight="1">
      <c r="A503" t="inlineStr">
        <is>
          <t>A 44664-2022</t>
        </is>
      </c>
      <c r="B503" s="1" t="n">
        <v>44840</v>
      </c>
      <c r="C503" s="1" t="n">
        <v>45761</v>
      </c>
      <c r="D503" t="inlineStr">
        <is>
          <t>SÖDERMANLANDS LÄN</t>
        </is>
      </c>
      <c r="E503" t="inlineStr">
        <is>
          <t>ESKILSTUNA</t>
        </is>
      </c>
      <c r="G503" t="n">
        <v>20.8</v>
      </c>
      <c r="H503" t="n">
        <v>1</v>
      </c>
      <c r="I503" t="n">
        <v>0</v>
      </c>
      <c r="J503" t="n">
        <v>0</v>
      </c>
      <c r="K503" t="n">
        <v>1</v>
      </c>
      <c r="L503" t="n">
        <v>0</v>
      </c>
      <c r="M503" t="n">
        <v>0</v>
      </c>
      <c r="N503" t="n">
        <v>0</v>
      </c>
      <c r="O503" t="n">
        <v>1</v>
      </c>
      <c r="P503" t="n">
        <v>1</v>
      </c>
      <c r="Q503" t="n">
        <v>1</v>
      </c>
      <c r="R503" s="2" t="inlineStr">
        <is>
          <t>Knärot</t>
        </is>
      </c>
      <c r="S503">
        <f>HYPERLINK("https://klasma.github.io/Logging_0484/artfynd/A 44664-2022 artfynd.xlsx", "A 44664-2022")</f>
        <v/>
      </c>
      <c r="T503">
        <f>HYPERLINK("https://klasma.github.io/Logging_0484/kartor/A 44664-2022 karta.png", "A 44664-2022")</f>
        <v/>
      </c>
      <c r="U503">
        <f>HYPERLINK("https://klasma.github.io/Logging_0484/knärot/A 44664-2022 karta knärot.png", "A 44664-2022")</f>
        <v/>
      </c>
      <c r="V503">
        <f>HYPERLINK("https://klasma.github.io/Logging_0484/klagomål/A 44664-2022 FSC-klagomål.docx", "A 44664-2022")</f>
        <v/>
      </c>
      <c r="W503">
        <f>HYPERLINK("https://klasma.github.io/Logging_0484/klagomålsmail/A 44664-2022 FSC-klagomål mail.docx", "A 44664-2022")</f>
        <v/>
      </c>
      <c r="X503">
        <f>HYPERLINK("https://klasma.github.io/Logging_0484/tillsyn/A 44664-2022 tillsynsbegäran.docx", "A 44664-2022")</f>
        <v/>
      </c>
      <c r="Y503">
        <f>HYPERLINK("https://klasma.github.io/Logging_0484/tillsynsmail/A 44664-2022 tillsynsbegäran mail.docx", "A 44664-2022")</f>
        <v/>
      </c>
    </row>
    <row r="504" ht="15" customHeight="1">
      <c r="A504" t="inlineStr">
        <is>
          <t>A 45656-2022</t>
        </is>
      </c>
      <c r="B504" s="1" t="n">
        <v>44841</v>
      </c>
      <c r="C504" s="1" t="n">
        <v>45761</v>
      </c>
      <c r="D504" t="inlineStr">
        <is>
          <t>SÖDERMANLANDS LÄN</t>
        </is>
      </c>
      <c r="E504" t="inlineStr">
        <is>
          <t>GNESTA</t>
        </is>
      </c>
      <c r="G504" t="n">
        <v>3.8</v>
      </c>
      <c r="H504" t="n">
        <v>1</v>
      </c>
      <c r="I504" t="n">
        <v>0</v>
      </c>
      <c r="J504" t="n">
        <v>0</v>
      </c>
      <c r="K504" t="n">
        <v>0</v>
      </c>
      <c r="L504" t="n">
        <v>0</v>
      </c>
      <c r="M504" t="n">
        <v>0</v>
      </c>
      <c r="N504" t="n">
        <v>0</v>
      </c>
      <c r="O504" t="n">
        <v>0</v>
      </c>
      <c r="P504" t="n">
        <v>0</v>
      </c>
      <c r="Q504" t="n">
        <v>1</v>
      </c>
      <c r="R504" s="2" t="inlineStr">
        <is>
          <t>Mattlummer</t>
        </is>
      </c>
      <c r="S504">
        <f>HYPERLINK("https://klasma.github.io/Logging_0461/artfynd/A 45656-2022 artfynd.xlsx", "A 45656-2022")</f>
        <v/>
      </c>
      <c r="T504">
        <f>HYPERLINK("https://klasma.github.io/Logging_0461/kartor/A 45656-2022 karta.png", "A 45656-2022")</f>
        <v/>
      </c>
      <c r="V504">
        <f>HYPERLINK("https://klasma.github.io/Logging_0461/klagomål/A 45656-2022 FSC-klagomål.docx", "A 45656-2022")</f>
        <v/>
      </c>
      <c r="W504">
        <f>HYPERLINK("https://klasma.github.io/Logging_0461/klagomålsmail/A 45656-2022 FSC-klagomål mail.docx", "A 45656-2022")</f>
        <v/>
      </c>
      <c r="X504">
        <f>HYPERLINK("https://klasma.github.io/Logging_0461/tillsyn/A 45656-2022 tillsynsbegäran.docx", "A 45656-2022")</f>
        <v/>
      </c>
      <c r="Y504">
        <f>HYPERLINK("https://klasma.github.io/Logging_0461/tillsynsmail/A 45656-2022 tillsynsbegäran mail.docx", "A 45656-2022")</f>
        <v/>
      </c>
    </row>
    <row r="505" ht="15" customHeight="1">
      <c r="A505" t="inlineStr">
        <is>
          <t>A 47648-2022</t>
        </is>
      </c>
      <c r="B505" s="1" t="n">
        <v>44854</v>
      </c>
      <c r="C505" s="1" t="n">
        <v>45761</v>
      </c>
      <c r="D505" t="inlineStr">
        <is>
          <t>SÖDERMANLANDS LÄN</t>
        </is>
      </c>
      <c r="E505" t="inlineStr">
        <is>
          <t>ESKILSTUNA</t>
        </is>
      </c>
      <c r="G505" t="n">
        <v>1.8</v>
      </c>
      <c r="H505" t="n">
        <v>1</v>
      </c>
      <c r="I505" t="n">
        <v>0</v>
      </c>
      <c r="J505" t="n">
        <v>1</v>
      </c>
      <c r="K505" t="n">
        <v>0</v>
      </c>
      <c r="L505" t="n">
        <v>0</v>
      </c>
      <c r="M505" t="n">
        <v>0</v>
      </c>
      <c r="N505" t="n">
        <v>0</v>
      </c>
      <c r="O505" t="n">
        <v>1</v>
      </c>
      <c r="P505" t="n">
        <v>0</v>
      </c>
      <c r="Q505" t="n">
        <v>1</v>
      </c>
      <c r="R505" s="2" t="inlineStr">
        <is>
          <t>Grönsångare</t>
        </is>
      </c>
      <c r="S505">
        <f>HYPERLINK("https://klasma.github.io/Logging_0484/artfynd/A 47648-2022 artfynd.xlsx", "A 47648-2022")</f>
        <v/>
      </c>
      <c r="T505">
        <f>HYPERLINK("https://klasma.github.io/Logging_0484/kartor/A 47648-2022 karta.png", "A 47648-2022")</f>
        <v/>
      </c>
      <c r="V505">
        <f>HYPERLINK("https://klasma.github.io/Logging_0484/klagomål/A 47648-2022 FSC-klagomål.docx", "A 47648-2022")</f>
        <v/>
      </c>
      <c r="W505">
        <f>HYPERLINK("https://klasma.github.io/Logging_0484/klagomålsmail/A 47648-2022 FSC-klagomål mail.docx", "A 47648-2022")</f>
        <v/>
      </c>
      <c r="X505">
        <f>HYPERLINK("https://klasma.github.io/Logging_0484/tillsyn/A 47648-2022 tillsynsbegäran.docx", "A 47648-2022")</f>
        <v/>
      </c>
      <c r="Y505">
        <f>HYPERLINK("https://klasma.github.io/Logging_0484/tillsynsmail/A 47648-2022 tillsynsbegäran mail.docx", "A 47648-2022")</f>
        <v/>
      </c>
      <c r="Z505">
        <f>HYPERLINK("https://klasma.github.io/Logging_0484/fåglar/A 47648-2022 prioriterade fågelarter.docx", "A 47648-2022")</f>
        <v/>
      </c>
    </row>
    <row r="506" ht="15" customHeight="1">
      <c r="A506" t="inlineStr">
        <is>
          <t>A 47756-2022</t>
        </is>
      </c>
      <c r="B506" s="1" t="n">
        <v>44854</v>
      </c>
      <c r="C506" s="1" t="n">
        <v>45761</v>
      </c>
      <c r="D506" t="inlineStr">
        <is>
          <t>SÖDERMANLANDS LÄN</t>
        </is>
      </c>
      <c r="E506" t="inlineStr">
        <is>
          <t>FLEN</t>
        </is>
      </c>
      <c r="G506" t="n">
        <v>2.4</v>
      </c>
      <c r="H506" t="n">
        <v>0</v>
      </c>
      <c r="I506" t="n">
        <v>0</v>
      </c>
      <c r="J506" t="n">
        <v>1</v>
      </c>
      <c r="K506" t="n">
        <v>0</v>
      </c>
      <c r="L506" t="n">
        <v>0</v>
      </c>
      <c r="M506" t="n">
        <v>0</v>
      </c>
      <c r="N506" t="n">
        <v>0</v>
      </c>
      <c r="O506" t="n">
        <v>1</v>
      </c>
      <c r="P506" t="n">
        <v>0</v>
      </c>
      <c r="Q506" t="n">
        <v>1</v>
      </c>
      <c r="R506" s="2" t="inlineStr">
        <is>
          <t>Svinrot</t>
        </is>
      </c>
      <c r="S506">
        <f>HYPERLINK("https://klasma.github.io/Logging_0482/artfynd/A 47756-2022 artfynd.xlsx", "A 47756-2022")</f>
        <v/>
      </c>
      <c r="T506">
        <f>HYPERLINK("https://klasma.github.io/Logging_0482/kartor/A 47756-2022 karta.png", "A 47756-2022")</f>
        <v/>
      </c>
      <c r="V506">
        <f>HYPERLINK("https://klasma.github.io/Logging_0482/klagomål/A 47756-2022 FSC-klagomål.docx", "A 47756-2022")</f>
        <v/>
      </c>
      <c r="W506">
        <f>HYPERLINK("https://klasma.github.io/Logging_0482/klagomålsmail/A 47756-2022 FSC-klagomål mail.docx", "A 47756-2022")</f>
        <v/>
      </c>
      <c r="X506">
        <f>HYPERLINK("https://klasma.github.io/Logging_0482/tillsyn/A 47756-2022 tillsynsbegäran.docx", "A 47756-2022")</f>
        <v/>
      </c>
      <c r="Y506">
        <f>HYPERLINK("https://klasma.github.io/Logging_0482/tillsynsmail/A 47756-2022 tillsynsbegäran mail.docx", "A 47756-2022")</f>
        <v/>
      </c>
    </row>
    <row r="507" ht="15" customHeight="1">
      <c r="A507" t="inlineStr">
        <is>
          <t>A 48822-2022</t>
        </is>
      </c>
      <c r="B507" s="1" t="n">
        <v>44854</v>
      </c>
      <c r="C507" s="1" t="n">
        <v>45761</v>
      </c>
      <c r="D507" t="inlineStr">
        <is>
          <t>SÖDERMANLANDS LÄN</t>
        </is>
      </c>
      <c r="E507" t="inlineStr">
        <is>
          <t>KATRINEHOLM</t>
        </is>
      </c>
      <c r="G507" t="n">
        <v>8.6</v>
      </c>
      <c r="H507" t="n">
        <v>0</v>
      </c>
      <c r="I507" t="n">
        <v>1</v>
      </c>
      <c r="J507" t="n">
        <v>0</v>
      </c>
      <c r="K507" t="n">
        <v>0</v>
      </c>
      <c r="L507" t="n">
        <v>0</v>
      </c>
      <c r="M507" t="n">
        <v>0</v>
      </c>
      <c r="N507" t="n">
        <v>0</v>
      </c>
      <c r="O507" t="n">
        <v>0</v>
      </c>
      <c r="P507" t="n">
        <v>0</v>
      </c>
      <c r="Q507" t="n">
        <v>1</v>
      </c>
      <c r="R507" s="2" t="inlineStr">
        <is>
          <t>Vågbandad barkbock</t>
        </is>
      </c>
      <c r="S507">
        <f>HYPERLINK("https://klasma.github.io/Logging_0483/artfynd/A 48822-2022 artfynd.xlsx", "A 48822-2022")</f>
        <v/>
      </c>
      <c r="T507">
        <f>HYPERLINK("https://klasma.github.io/Logging_0483/kartor/A 48822-2022 karta.png", "A 48822-2022")</f>
        <v/>
      </c>
      <c r="V507">
        <f>HYPERLINK("https://klasma.github.io/Logging_0483/klagomål/A 48822-2022 FSC-klagomål.docx", "A 48822-2022")</f>
        <v/>
      </c>
      <c r="W507">
        <f>HYPERLINK("https://klasma.github.io/Logging_0483/klagomålsmail/A 48822-2022 FSC-klagomål mail.docx", "A 48822-2022")</f>
        <v/>
      </c>
      <c r="X507">
        <f>HYPERLINK("https://klasma.github.io/Logging_0483/tillsyn/A 48822-2022 tillsynsbegäran.docx", "A 48822-2022")</f>
        <v/>
      </c>
      <c r="Y507">
        <f>HYPERLINK("https://klasma.github.io/Logging_0483/tillsynsmail/A 48822-2022 tillsynsbegäran mail.docx", "A 48822-2022")</f>
        <v/>
      </c>
    </row>
    <row r="508" ht="15" customHeight="1">
      <c r="A508" t="inlineStr">
        <is>
          <t>A 49460-2022</t>
        </is>
      </c>
      <c r="B508" s="1" t="n">
        <v>44861</v>
      </c>
      <c r="C508" s="1" t="n">
        <v>45761</v>
      </c>
      <c r="D508" t="inlineStr">
        <is>
          <t>SÖDERMANLANDS LÄN</t>
        </is>
      </c>
      <c r="E508" t="inlineStr">
        <is>
          <t>GNESTA</t>
        </is>
      </c>
      <c r="G508" t="n">
        <v>8.5</v>
      </c>
      <c r="H508" t="n">
        <v>0</v>
      </c>
      <c r="I508" t="n">
        <v>0</v>
      </c>
      <c r="J508" t="n">
        <v>1</v>
      </c>
      <c r="K508" t="n">
        <v>0</v>
      </c>
      <c r="L508" t="n">
        <v>0</v>
      </c>
      <c r="M508" t="n">
        <v>0</v>
      </c>
      <c r="N508" t="n">
        <v>0</v>
      </c>
      <c r="O508" t="n">
        <v>1</v>
      </c>
      <c r="P508" t="n">
        <v>0</v>
      </c>
      <c r="Q508" t="n">
        <v>1</v>
      </c>
      <c r="R508" s="2" t="inlineStr">
        <is>
          <t>Slåtterfibbla</t>
        </is>
      </c>
      <c r="S508">
        <f>HYPERLINK("https://klasma.github.io/Logging_0461/artfynd/A 49460-2022 artfynd.xlsx", "A 49460-2022")</f>
        <v/>
      </c>
      <c r="T508">
        <f>HYPERLINK("https://klasma.github.io/Logging_0461/kartor/A 49460-2022 karta.png", "A 49460-2022")</f>
        <v/>
      </c>
      <c r="V508">
        <f>HYPERLINK("https://klasma.github.io/Logging_0461/klagomål/A 49460-2022 FSC-klagomål.docx", "A 49460-2022")</f>
        <v/>
      </c>
      <c r="W508">
        <f>HYPERLINK("https://klasma.github.io/Logging_0461/klagomålsmail/A 49460-2022 FSC-klagomål mail.docx", "A 49460-2022")</f>
        <v/>
      </c>
      <c r="X508">
        <f>HYPERLINK("https://klasma.github.io/Logging_0461/tillsyn/A 49460-2022 tillsynsbegäran.docx", "A 49460-2022")</f>
        <v/>
      </c>
      <c r="Y508">
        <f>HYPERLINK("https://klasma.github.io/Logging_0461/tillsynsmail/A 49460-2022 tillsynsbegäran mail.docx", "A 49460-2022")</f>
        <v/>
      </c>
    </row>
    <row r="509" ht="15" customHeight="1">
      <c r="A509" t="inlineStr">
        <is>
          <t>A 49442-2022</t>
        </is>
      </c>
      <c r="B509" s="1" t="n">
        <v>44861</v>
      </c>
      <c r="C509" s="1" t="n">
        <v>45761</v>
      </c>
      <c r="D509" t="inlineStr">
        <is>
          <t>SÖDERMANLANDS LÄN</t>
        </is>
      </c>
      <c r="E509" t="inlineStr">
        <is>
          <t>GNESTA</t>
        </is>
      </c>
      <c r="G509" t="n">
        <v>3.6</v>
      </c>
      <c r="H509" t="n">
        <v>0</v>
      </c>
      <c r="I509" t="n">
        <v>0</v>
      </c>
      <c r="J509" t="n">
        <v>0</v>
      </c>
      <c r="K509" t="n">
        <v>1</v>
      </c>
      <c r="L509" t="n">
        <v>0</v>
      </c>
      <c r="M509" t="n">
        <v>0</v>
      </c>
      <c r="N509" t="n">
        <v>0</v>
      </c>
      <c r="O509" t="n">
        <v>1</v>
      </c>
      <c r="P509" t="n">
        <v>1</v>
      </c>
      <c r="Q509" t="n">
        <v>1</v>
      </c>
      <c r="R509" s="2" t="inlineStr">
        <is>
          <t>Streckvaxskivling</t>
        </is>
      </c>
      <c r="S509">
        <f>HYPERLINK("https://klasma.github.io/Logging_0461/artfynd/A 49442-2022 artfynd.xlsx", "A 49442-2022")</f>
        <v/>
      </c>
      <c r="T509">
        <f>HYPERLINK("https://klasma.github.io/Logging_0461/kartor/A 49442-2022 karta.png", "A 49442-2022")</f>
        <v/>
      </c>
      <c r="V509">
        <f>HYPERLINK("https://klasma.github.io/Logging_0461/klagomål/A 49442-2022 FSC-klagomål.docx", "A 49442-2022")</f>
        <v/>
      </c>
      <c r="W509">
        <f>HYPERLINK("https://klasma.github.io/Logging_0461/klagomålsmail/A 49442-2022 FSC-klagomål mail.docx", "A 49442-2022")</f>
        <v/>
      </c>
      <c r="X509">
        <f>HYPERLINK("https://klasma.github.io/Logging_0461/tillsyn/A 49442-2022 tillsynsbegäran.docx", "A 49442-2022")</f>
        <v/>
      </c>
      <c r="Y509">
        <f>HYPERLINK("https://klasma.github.io/Logging_0461/tillsynsmail/A 49442-2022 tillsynsbegäran mail.docx", "A 49442-2022")</f>
        <v/>
      </c>
    </row>
    <row r="510" ht="15" customHeight="1">
      <c r="A510" t="inlineStr">
        <is>
          <t>A 50202-2022</t>
        </is>
      </c>
      <c r="B510" s="1" t="n">
        <v>44865</v>
      </c>
      <c r="C510" s="1" t="n">
        <v>45761</v>
      </c>
      <c r="D510" t="inlineStr">
        <is>
          <t>SÖDERMANLANDS LÄN</t>
        </is>
      </c>
      <c r="E510" t="inlineStr">
        <is>
          <t>FLEN</t>
        </is>
      </c>
      <c r="F510" t="inlineStr">
        <is>
          <t>Kyrkan</t>
        </is>
      </c>
      <c r="G510" t="n">
        <v>5.8</v>
      </c>
      <c r="H510" t="n">
        <v>0</v>
      </c>
      <c r="I510" t="n">
        <v>0</v>
      </c>
      <c r="J510" t="n">
        <v>1</v>
      </c>
      <c r="K510" t="n">
        <v>0</v>
      </c>
      <c r="L510" t="n">
        <v>0</v>
      </c>
      <c r="M510" t="n">
        <v>0</v>
      </c>
      <c r="N510" t="n">
        <v>0</v>
      </c>
      <c r="O510" t="n">
        <v>1</v>
      </c>
      <c r="P510" t="n">
        <v>0</v>
      </c>
      <c r="Q510" t="n">
        <v>1</v>
      </c>
      <c r="R510" s="2" t="inlineStr">
        <is>
          <t>Gullklöver</t>
        </is>
      </c>
      <c r="S510">
        <f>HYPERLINK("https://klasma.github.io/Logging_0482/artfynd/A 50202-2022 artfynd.xlsx", "A 50202-2022")</f>
        <v/>
      </c>
      <c r="T510">
        <f>HYPERLINK("https://klasma.github.io/Logging_0482/kartor/A 50202-2022 karta.png", "A 50202-2022")</f>
        <v/>
      </c>
      <c r="V510">
        <f>HYPERLINK("https://klasma.github.io/Logging_0482/klagomål/A 50202-2022 FSC-klagomål.docx", "A 50202-2022")</f>
        <v/>
      </c>
      <c r="W510">
        <f>HYPERLINK("https://klasma.github.io/Logging_0482/klagomålsmail/A 50202-2022 FSC-klagomål mail.docx", "A 50202-2022")</f>
        <v/>
      </c>
      <c r="X510">
        <f>HYPERLINK("https://klasma.github.io/Logging_0482/tillsyn/A 50202-2022 tillsynsbegäran.docx", "A 50202-2022")</f>
        <v/>
      </c>
      <c r="Y510">
        <f>HYPERLINK("https://klasma.github.io/Logging_0482/tillsynsmail/A 50202-2022 tillsynsbegäran mail.docx", "A 50202-2022")</f>
        <v/>
      </c>
    </row>
    <row r="511" ht="15" customHeight="1">
      <c r="A511" t="inlineStr">
        <is>
          <t>A 53871-2022</t>
        </is>
      </c>
      <c r="B511" s="1" t="n">
        <v>44876</v>
      </c>
      <c r="C511" s="1" t="n">
        <v>45761</v>
      </c>
      <c r="D511" t="inlineStr">
        <is>
          <t>SÖDERMANLANDS LÄN</t>
        </is>
      </c>
      <c r="E511" t="inlineStr">
        <is>
          <t>KATRINEHOLM</t>
        </is>
      </c>
      <c r="G511" t="n">
        <v>5.3</v>
      </c>
      <c r="H511" t="n">
        <v>1</v>
      </c>
      <c r="I511" t="n">
        <v>0</v>
      </c>
      <c r="J511" t="n">
        <v>0</v>
      </c>
      <c r="K511" t="n">
        <v>0</v>
      </c>
      <c r="L511" t="n">
        <v>0</v>
      </c>
      <c r="M511" t="n">
        <v>0</v>
      </c>
      <c r="N511" t="n">
        <v>0</v>
      </c>
      <c r="O511" t="n">
        <v>0</v>
      </c>
      <c r="P511" t="n">
        <v>0</v>
      </c>
      <c r="Q511" t="n">
        <v>1</v>
      </c>
      <c r="R511" s="2" t="inlineStr">
        <is>
          <t>Törnskata</t>
        </is>
      </c>
      <c r="S511">
        <f>HYPERLINK("https://klasma.github.io/Logging_0483/artfynd/A 53871-2022 artfynd.xlsx", "A 53871-2022")</f>
        <v/>
      </c>
      <c r="T511">
        <f>HYPERLINK("https://klasma.github.io/Logging_0483/kartor/A 53871-2022 karta.png", "A 53871-2022")</f>
        <v/>
      </c>
      <c r="V511">
        <f>HYPERLINK("https://klasma.github.io/Logging_0483/klagomål/A 53871-2022 FSC-klagomål.docx", "A 53871-2022")</f>
        <v/>
      </c>
      <c r="W511">
        <f>HYPERLINK("https://klasma.github.io/Logging_0483/klagomålsmail/A 53871-2022 FSC-klagomål mail.docx", "A 53871-2022")</f>
        <v/>
      </c>
      <c r="X511">
        <f>HYPERLINK("https://klasma.github.io/Logging_0483/tillsyn/A 53871-2022 tillsynsbegäran.docx", "A 53871-2022")</f>
        <v/>
      </c>
      <c r="Y511">
        <f>HYPERLINK("https://klasma.github.io/Logging_0483/tillsynsmail/A 53871-2022 tillsynsbegäran mail.docx", "A 53871-2022")</f>
        <v/>
      </c>
      <c r="Z511">
        <f>HYPERLINK("https://klasma.github.io/Logging_0483/fåglar/A 53871-2022 prioriterade fågelarter.docx", "A 53871-2022")</f>
        <v/>
      </c>
    </row>
    <row r="512" ht="15" customHeight="1">
      <c r="A512" t="inlineStr">
        <is>
          <t>A 56074-2022</t>
        </is>
      </c>
      <c r="B512" s="1" t="n">
        <v>44889</v>
      </c>
      <c r="C512" s="1" t="n">
        <v>45761</v>
      </c>
      <c r="D512" t="inlineStr">
        <is>
          <t>SÖDERMANLANDS LÄN</t>
        </is>
      </c>
      <c r="E512" t="inlineStr">
        <is>
          <t>KATRINEHOLM</t>
        </is>
      </c>
      <c r="G512" t="n">
        <v>13.6</v>
      </c>
      <c r="H512" t="n">
        <v>1</v>
      </c>
      <c r="I512" t="n">
        <v>0</v>
      </c>
      <c r="J512" t="n">
        <v>0</v>
      </c>
      <c r="K512" t="n">
        <v>0</v>
      </c>
      <c r="L512" t="n">
        <v>0</v>
      </c>
      <c r="M512" t="n">
        <v>0</v>
      </c>
      <c r="N512" t="n">
        <v>0</v>
      </c>
      <c r="O512" t="n">
        <v>0</v>
      </c>
      <c r="P512" t="n">
        <v>0</v>
      </c>
      <c r="Q512" t="n">
        <v>1</v>
      </c>
      <c r="R512" s="2" t="inlineStr">
        <is>
          <t>Revlummer</t>
        </is>
      </c>
      <c r="S512">
        <f>HYPERLINK("https://klasma.github.io/Logging_0483/artfynd/A 56074-2022 artfynd.xlsx", "A 56074-2022")</f>
        <v/>
      </c>
      <c r="T512">
        <f>HYPERLINK("https://klasma.github.io/Logging_0483/kartor/A 56074-2022 karta.png", "A 56074-2022")</f>
        <v/>
      </c>
      <c r="V512">
        <f>HYPERLINK("https://klasma.github.io/Logging_0483/klagomål/A 56074-2022 FSC-klagomål.docx", "A 56074-2022")</f>
        <v/>
      </c>
      <c r="W512">
        <f>HYPERLINK("https://klasma.github.io/Logging_0483/klagomålsmail/A 56074-2022 FSC-klagomål mail.docx", "A 56074-2022")</f>
        <v/>
      </c>
      <c r="X512">
        <f>HYPERLINK("https://klasma.github.io/Logging_0483/tillsyn/A 56074-2022 tillsynsbegäran.docx", "A 56074-2022")</f>
        <v/>
      </c>
      <c r="Y512">
        <f>HYPERLINK("https://klasma.github.io/Logging_0483/tillsynsmail/A 56074-2022 tillsynsbegäran mail.docx", "A 56074-2022")</f>
        <v/>
      </c>
    </row>
    <row r="513" ht="15" customHeight="1">
      <c r="A513" t="inlineStr">
        <is>
          <t>A 56791-2022</t>
        </is>
      </c>
      <c r="B513" s="1" t="n">
        <v>44894</v>
      </c>
      <c r="C513" s="1" t="n">
        <v>45761</v>
      </c>
      <c r="D513" t="inlineStr">
        <is>
          <t>SÖDERMANLANDS LÄN</t>
        </is>
      </c>
      <c r="E513" t="inlineStr">
        <is>
          <t>GNESTA</t>
        </is>
      </c>
      <c r="G513" t="n">
        <v>3</v>
      </c>
      <c r="H513" t="n">
        <v>0</v>
      </c>
      <c r="I513" t="n">
        <v>0</v>
      </c>
      <c r="J513" t="n">
        <v>1</v>
      </c>
      <c r="K513" t="n">
        <v>0</v>
      </c>
      <c r="L513" t="n">
        <v>0</v>
      </c>
      <c r="M513" t="n">
        <v>0</v>
      </c>
      <c r="N513" t="n">
        <v>0</v>
      </c>
      <c r="O513" t="n">
        <v>1</v>
      </c>
      <c r="P513" t="n">
        <v>0</v>
      </c>
      <c r="Q513" t="n">
        <v>1</v>
      </c>
      <c r="R513" s="2" t="inlineStr">
        <is>
          <t>Vedtrappmossa</t>
        </is>
      </c>
      <c r="S513">
        <f>HYPERLINK("https://klasma.github.io/Logging_0461/artfynd/A 56791-2022 artfynd.xlsx", "A 56791-2022")</f>
        <v/>
      </c>
      <c r="T513">
        <f>HYPERLINK("https://klasma.github.io/Logging_0461/kartor/A 56791-2022 karta.png", "A 56791-2022")</f>
        <v/>
      </c>
      <c r="V513">
        <f>HYPERLINK("https://klasma.github.io/Logging_0461/klagomål/A 56791-2022 FSC-klagomål.docx", "A 56791-2022")</f>
        <v/>
      </c>
      <c r="W513">
        <f>HYPERLINK("https://klasma.github.io/Logging_0461/klagomålsmail/A 56791-2022 FSC-klagomål mail.docx", "A 56791-2022")</f>
        <v/>
      </c>
      <c r="X513">
        <f>HYPERLINK("https://klasma.github.io/Logging_0461/tillsyn/A 56791-2022 tillsynsbegäran.docx", "A 56791-2022")</f>
        <v/>
      </c>
      <c r="Y513">
        <f>HYPERLINK("https://klasma.github.io/Logging_0461/tillsynsmail/A 56791-2022 tillsynsbegäran mail.docx", "A 56791-2022")</f>
        <v/>
      </c>
    </row>
    <row r="514" ht="15" customHeight="1">
      <c r="A514" t="inlineStr">
        <is>
          <t>A 59070-2022</t>
        </is>
      </c>
      <c r="B514" s="1" t="n">
        <v>44904</v>
      </c>
      <c r="C514" s="1" t="n">
        <v>45761</v>
      </c>
      <c r="D514" t="inlineStr">
        <is>
          <t>SÖDERMANLANDS LÄN</t>
        </is>
      </c>
      <c r="E514" t="inlineStr">
        <is>
          <t>ESKILSTUNA</t>
        </is>
      </c>
      <c r="G514" t="n">
        <v>6.6</v>
      </c>
      <c r="H514" t="n">
        <v>0</v>
      </c>
      <c r="I514" t="n">
        <v>0</v>
      </c>
      <c r="J514" t="n">
        <v>1</v>
      </c>
      <c r="K514" t="n">
        <v>0</v>
      </c>
      <c r="L514" t="n">
        <v>0</v>
      </c>
      <c r="M514" t="n">
        <v>0</v>
      </c>
      <c r="N514" t="n">
        <v>0</v>
      </c>
      <c r="O514" t="n">
        <v>1</v>
      </c>
      <c r="P514" t="n">
        <v>0</v>
      </c>
      <c r="Q514" t="n">
        <v>1</v>
      </c>
      <c r="R514" s="2" t="inlineStr">
        <is>
          <t>Igelkott</t>
        </is>
      </c>
      <c r="S514">
        <f>HYPERLINK("https://klasma.github.io/Logging_0484/artfynd/A 59070-2022 artfynd.xlsx", "A 59070-2022")</f>
        <v/>
      </c>
      <c r="T514">
        <f>HYPERLINK("https://klasma.github.io/Logging_0484/kartor/A 59070-2022 karta.png", "A 59070-2022")</f>
        <v/>
      </c>
      <c r="V514">
        <f>HYPERLINK("https://klasma.github.io/Logging_0484/klagomål/A 59070-2022 FSC-klagomål.docx", "A 59070-2022")</f>
        <v/>
      </c>
      <c r="W514">
        <f>HYPERLINK("https://klasma.github.io/Logging_0484/klagomålsmail/A 59070-2022 FSC-klagomål mail.docx", "A 59070-2022")</f>
        <v/>
      </c>
      <c r="X514">
        <f>HYPERLINK("https://klasma.github.io/Logging_0484/tillsyn/A 59070-2022 tillsynsbegäran.docx", "A 59070-2022")</f>
        <v/>
      </c>
      <c r="Y514">
        <f>HYPERLINK("https://klasma.github.io/Logging_0484/tillsynsmail/A 59070-2022 tillsynsbegäran mail.docx", "A 59070-2022")</f>
        <v/>
      </c>
    </row>
    <row r="515" ht="15" customHeight="1">
      <c r="A515" t="inlineStr">
        <is>
          <t>A 60591-2022</t>
        </is>
      </c>
      <c r="B515" s="1" t="n">
        <v>44911</v>
      </c>
      <c r="C515" s="1" t="n">
        <v>45761</v>
      </c>
      <c r="D515" t="inlineStr">
        <is>
          <t>SÖDERMANLANDS LÄN</t>
        </is>
      </c>
      <c r="E515" t="inlineStr">
        <is>
          <t>FLEN</t>
        </is>
      </c>
      <c r="F515" t="inlineStr">
        <is>
          <t>Holmen skog AB</t>
        </is>
      </c>
      <c r="G515" t="n">
        <v>1.3</v>
      </c>
      <c r="H515" t="n">
        <v>0</v>
      </c>
      <c r="I515" t="n">
        <v>1</v>
      </c>
      <c r="J515" t="n">
        <v>0</v>
      </c>
      <c r="K515" t="n">
        <v>0</v>
      </c>
      <c r="L515" t="n">
        <v>0</v>
      </c>
      <c r="M515" t="n">
        <v>0</v>
      </c>
      <c r="N515" t="n">
        <v>0</v>
      </c>
      <c r="O515" t="n">
        <v>0</v>
      </c>
      <c r="P515" t="n">
        <v>0</v>
      </c>
      <c r="Q515" t="n">
        <v>1</v>
      </c>
      <c r="R515" s="2" t="inlineStr">
        <is>
          <t>Grönpyrola</t>
        </is>
      </c>
      <c r="S515">
        <f>HYPERLINK("https://klasma.github.io/Logging_0482/artfynd/A 60591-2022 artfynd.xlsx", "A 60591-2022")</f>
        <v/>
      </c>
      <c r="T515">
        <f>HYPERLINK("https://klasma.github.io/Logging_0482/kartor/A 60591-2022 karta.png", "A 60591-2022")</f>
        <v/>
      </c>
      <c r="V515">
        <f>HYPERLINK("https://klasma.github.io/Logging_0482/klagomål/A 60591-2022 FSC-klagomål.docx", "A 60591-2022")</f>
        <v/>
      </c>
      <c r="W515">
        <f>HYPERLINK("https://klasma.github.io/Logging_0482/klagomålsmail/A 60591-2022 FSC-klagomål mail.docx", "A 60591-2022")</f>
        <v/>
      </c>
      <c r="X515">
        <f>HYPERLINK("https://klasma.github.io/Logging_0482/tillsyn/A 60591-2022 tillsynsbegäran.docx", "A 60591-2022")</f>
        <v/>
      </c>
      <c r="Y515">
        <f>HYPERLINK("https://klasma.github.io/Logging_0482/tillsynsmail/A 60591-2022 tillsynsbegäran mail.docx", "A 60591-2022")</f>
        <v/>
      </c>
    </row>
    <row r="516" ht="15" customHeight="1">
      <c r="A516" t="inlineStr">
        <is>
          <t>A 61870-2022</t>
        </is>
      </c>
      <c r="B516" s="1" t="n">
        <v>44917</v>
      </c>
      <c r="C516" s="1" t="n">
        <v>45761</v>
      </c>
      <c r="D516" t="inlineStr">
        <is>
          <t>SÖDERMANLANDS LÄN</t>
        </is>
      </c>
      <c r="E516" t="inlineStr">
        <is>
          <t>FLEN</t>
        </is>
      </c>
      <c r="G516" t="n">
        <v>1.5</v>
      </c>
      <c r="H516" t="n">
        <v>0</v>
      </c>
      <c r="I516" t="n">
        <v>0</v>
      </c>
      <c r="J516" t="n">
        <v>1</v>
      </c>
      <c r="K516" t="n">
        <v>0</v>
      </c>
      <c r="L516" t="n">
        <v>0</v>
      </c>
      <c r="M516" t="n">
        <v>0</v>
      </c>
      <c r="N516" t="n">
        <v>0</v>
      </c>
      <c r="O516" t="n">
        <v>1</v>
      </c>
      <c r="P516" t="n">
        <v>0</v>
      </c>
      <c r="Q516" t="n">
        <v>1</v>
      </c>
      <c r="R516" s="2" t="inlineStr">
        <is>
          <t>Svedjenäva</t>
        </is>
      </c>
      <c r="S516">
        <f>HYPERLINK("https://klasma.github.io/Logging_0482/artfynd/A 61870-2022 artfynd.xlsx", "A 61870-2022")</f>
        <v/>
      </c>
      <c r="T516">
        <f>HYPERLINK("https://klasma.github.io/Logging_0482/kartor/A 61870-2022 karta.png", "A 61870-2022")</f>
        <v/>
      </c>
      <c r="V516">
        <f>HYPERLINK("https://klasma.github.io/Logging_0482/klagomål/A 61870-2022 FSC-klagomål.docx", "A 61870-2022")</f>
        <v/>
      </c>
      <c r="W516">
        <f>HYPERLINK("https://klasma.github.io/Logging_0482/klagomålsmail/A 61870-2022 FSC-klagomål mail.docx", "A 61870-2022")</f>
        <v/>
      </c>
      <c r="X516">
        <f>HYPERLINK("https://klasma.github.io/Logging_0482/tillsyn/A 61870-2022 tillsynsbegäran.docx", "A 61870-2022")</f>
        <v/>
      </c>
      <c r="Y516">
        <f>HYPERLINK("https://klasma.github.io/Logging_0482/tillsynsmail/A 61870-2022 tillsynsbegäran mail.docx", "A 61870-2022")</f>
        <v/>
      </c>
    </row>
    <row r="517" ht="15" customHeight="1">
      <c r="A517" t="inlineStr">
        <is>
          <t>A 61987-2022</t>
        </is>
      </c>
      <c r="B517" s="1" t="n">
        <v>44918</v>
      </c>
      <c r="C517" s="1" t="n">
        <v>45761</v>
      </c>
      <c r="D517" t="inlineStr">
        <is>
          <t>SÖDERMANLANDS LÄN</t>
        </is>
      </c>
      <c r="E517" t="inlineStr">
        <is>
          <t>ESKILSTUNA</t>
        </is>
      </c>
      <c r="G517" t="n">
        <v>4.3</v>
      </c>
      <c r="H517" t="n">
        <v>0</v>
      </c>
      <c r="I517" t="n">
        <v>0</v>
      </c>
      <c r="J517" t="n">
        <v>1</v>
      </c>
      <c r="K517" t="n">
        <v>0</v>
      </c>
      <c r="L517" t="n">
        <v>0</v>
      </c>
      <c r="M517" t="n">
        <v>0</v>
      </c>
      <c r="N517" t="n">
        <v>0</v>
      </c>
      <c r="O517" t="n">
        <v>1</v>
      </c>
      <c r="P517" t="n">
        <v>0</v>
      </c>
      <c r="Q517" t="n">
        <v>1</v>
      </c>
      <c r="R517" s="2" t="inlineStr">
        <is>
          <t>Svinrot</t>
        </is>
      </c>
      <c r="S517">
        <f>HYPERLINK("https://klasma.github.io/Logging_0484/artfynd/A 61987-2022 artfynd.xlsx", "A 61987-2022")</f>
        <v/>
      </c>
      <c r="T517">
        <f>HYPERLINK("https://klasma.github.io/Logging_0484/kartor/A 61987-2022 karta.png", "A 61987-2022")</f>
        <v/>
      </c>
      <c r="V517">
        <f>HYPERLINK("https://klasma.github.io/Logging_0484/klagomål/A 61987-2022 FSC-klagomål.docx", "A 61987-2022")</f>
        <v/>
      </c>
      <c r="W517">
        <f>HYPERLINK("https://klasma.github.io/Logging_0484/klagomålsmail/A 61987-2022 FSC-klagomål mail.docx", "A 61987-2022")</f>
        <v/>
      </c>
      <c r="X517">
        <f>HYPERLINK("https://klasma.github.io/Logging_0484/tillsyn/A 61987-2022 tillsynsbegäran.docx", "A 61987-2022")</f>
        <v/>
      </c>
      <c r="Y517">
        <f>HYPERLINK("https://klasma.github.io/Logging_0484/tillsynsmail/A 61987-2022 tillsynsbegäran mail.docx", "A 61987-2022")</f>
        <v/>
      </c>
    </row>
    <row r="518" ht="15" customHeight="1">
      <c r="A518" t="inlineStr">
        <is>
          <t>A 61986-2022</t>
        </is>
      </c>
      <c r="B518" s="1" t="n">
        <v>44918</v>
      </c>
      <c r="C518" s="1" t="n">
        <v>45761</v>
      </c>
      <c r="D518" t="inlineStr">
        <is>
          <t>SÖDERMANLANDS LÄN</t>
        </is>
      </c>
      <c r="E518" t="inlineStr">
        <is>
          <t>GNESTA</t>
        </is>
      </c>
      <c r="F518" t="inlineStr">
        <is>
          <t>Kommuner</t>
        </is>
      </c>
      <c r="G518" t="n">
        <v>7.5</v>
      </c>
      <c r="H518" t="n">
        <v>1</v>
      </c>
      <c r="I518" t="n">
        <v>0</v>
      </c>
      <c r="J518" t="n">
        <v>0</v>
      </c>
      <c r="K518" t="n">
        <v>0</v>
      </c>
      <c r="L518" t="n">
        <v>0</v>
      </c>
      <c r="M518" t="n">
        <v>0</v>
      </c>
      <c r="N518" t="n">
        <v>0</v>
      </c>
      <c r="O518" t="n">
        <v>0</v>
      </c>
      <c r="P518" t="n">
        <v>0</v>
      </c>
      <c r="Q518" t="n">
        <v>1</v>
      </c>
      <c r="R518" s="2" t="inlineStr">
        <is>
          <t>Mattlummer</t>
        </is>
      </c>
      <c r="S518">
        <f>HYPERLINK("https://klasma.github.io/Logging_0461/artfynd/A 61986-2022 artfynd.xlsx", "A 61986-2022")</f>
        <v/>
      </c>
      <c r="T518">
        <f>HYPERLINK("https://klasma.github.io/Logging_0461/kartor/A 61986-2022 karta.png", "A 61986-2022")</f>
        <v/>
      </c>
      <c r="V518">
        <f>HYPERLINK("https://klasma.github.io/Logging_0461/klagomål/A 61986-2022 FSC-klagomål.docx", "A 61986-2022")</f>
        <v/>
      </c>
      <c r="W518">
        <f>HYPERLINK("https://klasma.github.io/Logging_0461/klagomålsmail/A 61986-2022 FSC-klagomål mail.docx", "A 61986-2022")</f>
        <v/>
      </c>
      <c r="X518">
        <f>HYPERLINK("https://klasma.github.io/Logging_0461/tillsyn/A 61986-2022 tillsynsbegäran.docx", "A 61986-2022")</f>
        <v/>
      </c>
      <c r="Y518">
        <f>HYPERLINK("https://klasma.github.io/Logging_0461/tillsynsmail/A 61986-2022 tillsynsbegäran mail.docx", "A 61986-2022")</f>
        <v/>
      </c>
    </row>
    <row r="519" ht="15" customHeight="1">
      <c r="A519" t="inlineStr">
        <is>
          <t>A 62007-2022</t>
        </is>
      </c>
      <c r="B519" s="1" t="n">
        <v>44918</v>
      </c>
      <c r="C519" s="1" t="n">
        <v>45761</v>
      </c>
      <c r="D519" t="inlineStr">
        <is>
          <t>SÖDERMANLANDS LÄN</t>
        </is>
      </c>
      <c r="E519" t="inlineStr">
        <is>
          <t>GNESTA</t>
        </is>
      </c>
      <c r="F519" t="inlineStr">
        <is>
          <t>Kommuner</t>
        </is>
      </c>
      <c r="G519" t="n">
        <v>0.6</v>
      </c>
      <c r="H519" t="n">
        <v>0</v>
      </c>
      <c r="I519" t="n">
        <v>0</v>
      </c>
      <c r="J519" t="n">
        <v>1</v>
      </c>
      <c r="K519" t="n">
        <v>0</v>
      </c>
      <c r="L519" t="n">
        <v>0</v>
      </c>
      <c r="M519" t="n">
        <v>0</v>
      </c>
      <c r="N519" t="n">
        <v>0</v>
      </c>
      <c r="O519" t="n">
        <v>1</v>
      </c>
      <c r="P519" t="n">
        <v>0</v>
      </c>
      <c r="Q519" t="n">
        <v>1</v>
      </c>
      <c r="R519" s="2" t="inlineStr">
        <is>
          <t>Orange taggsvamp</t>
        </is>
      </c>
      <c r="S519">
        <f>HYPERLINK("https://klasma.github.io/Logging_0461/artfynd/A 62007-2022 artfynd.xlsx", "A 62007-2022")</f>
        <v/>
      </c>
      <c r="T519">
        <f>HYPERLINK("https://klasma.github.io/Logging_0461/kartor/A 62007-2022 karta.png", "A 62007-2022")</f>
        <v/>
      </c>
      <c r="V519">
        <f>HYPERLINK("https://klasma.github.io/Logging_0461/klagomål/A 62007-2022 FSC-klagomål.docx", "A 62007-2022")</f>
        <v/>
      </c>
      <c r="W519">
        <f>HYPERLINK("https://klasma.github.io/Logging_0461/klagomålsmail/A 62007-2022 FSC-klagomål mail.docx", "A 62007-2022")</f>
        <v/>
      </c>
      <c r="X519">
        <f>HYPERLINK("https://klasma.github.io/Logging_0461/tillsyn/A 62007-2022 tillsynsbegäran.docx", "A 62007-2022")</f>
        <v/>
      </c>
      <c r="Y519">
        <f>HYPERLINK("https://klasma.github.io/Logging_0461/tillsynsmail/A 62007-2022 tillsynsbegäran mail.docx", "A 62007-2022")</f>
        <v/>
      </c>
    </row>
    <row r="520" ht="15" customHeight="1">
      <c r="A520" t="inlineStr">
        <is>
          <t>A 692-2023</t>
        </is>
      </c>
      <c r="B520" s="1" t="n">
        <v>44930</v>
      </c>
      <c r="C520" s="1" t="n">
        <v>45761</v>
      </c>
      <c r="D520" t="inlineStr">
        <is>
          <t>SÖDERMANLANDS LÄN</t>
        </is>
      </c>
      <c r="E520" t="inlineStr">
        <is>
          <t>STRÄNGNÄS</t>
        </is>
      </c>
      <c r="F520" t="inlineStr">
        <is>
          <t>Övriga Aktiebolag</t>
        </is>
      </c>
      <c r="G520" t="n">
        <v>19.8</v>
      </c>
      <c r="H520" t="n">
        <v>0</v>
      </c>
      <c r="I520" t="n">
        <v>1</v>
      </c>
      <c r="J520" t="n">
        <v>0</v>
      </c>
      <c r="K520" t="n">
        <v>0</v>
      </c>
      <c r="L520" t="n">
        <v>0</v>
      </c>
      <c r="M520" t="n">
        <v>0</v>
      </c>
      <c r="N520" t="n">
        <v>0</v>
      </c>
      <c r="O520" t="n">
        <v>0</v>
      </c>
      <c r="P520" t="n">
        <v>0</v>
      </c>
      <c r="Q520" t="n">
        <v>1</v>
      </c>
      <c r="R520" s="2" t="inlineStr">
        <is>
          <t>Åttafläckig praktbagge</t>
        </is>
      </c>
      <c r="S520">
        <f>HYPERLINK("https://klasma.github.io/Logging_0486/artfynd/A 692-2023 artfynd.xlsx", "A 692-2023")</f>
        <v/>
      </c>
      <c r="T520">
        <f>HYPERLINK("https://klasma.github.io/Logging_0486/kartor/A 692-2023 karta.png", "A 692-2023")</f>
        <v/>
      </c>
      <c r="V520">
        <f>HYPERLINK("https://klasma.github.io/Logging_0486/klagomål/A 692-2023 FSC-klagomål.docx", "A 692-2023")</f>
        <v/>
      </c>
      <c r="W520">
        <f>HYPERLINK("https://klasma.github.io/Logging_0486/klagomålsmail/A 692-2023 FSC-klagomål mail.docx", "A 692-2023")</f>
        <v/>
      </c>
      <c r="X520">
        <f>HYPERLINK("https://klasma.github.io/Logging_0486/tillsyn/A 692-2023 tillsynsbegäran.docx", "A 692-2023")</f>
        <v/>
      </c>
      <c r="Y520">
        <f>HYPERLINK("https://klasma.github.io/Logging_0486/tillsynsmail/A 692-2023 tillsynsbegäran mail.docx", "A 692-2023")</f>
        <v/>
      </c>
    </row>
    <row r="521" ht="15" customHeight="1">
      <c r="A521" t="inlineStr">
        <is>
          <t>A 882-2023</t>
        </is>
      </c>
      <c r="B521" s="1" t="n">
        <v>44931</v>
      </c>
      <c r="C521" s="1" t="n">
        <v>45761</v>
      </c>
      <c r="D521" t="inlineStr">
        <is>
          <t>SÖDERMANLANDS LÄN</t>
        </is>
      </c>
      <c r="E521" t="inlineStr">
        <is>
          <t>FLEN</t>
        </is>
      </c>
      <c r="F521" t="inlineStr">
        <is>
          <t>Holmen skog AB</t>
        </is>
      </c>
      <c r="G521" t="n">
        <v>0.9</v>
      </c>
      <c r="H521" t="n">
        <v>0</v>
      </c>
      <c r="I521" t="n">
        <v>1</v>
      </c>
      <c r="J521" t="n">
        <v>0</v>
      </c>
      <c r="K521" t="n">
        <v>0</v>
      </c>
      <c r="L521" t="n">
        <v>0</v>
      </c>
      <c r="M521" t="n">
        <v>0</v>
      </c>
      <c r="N521" t="n">
        <v>0</v>
      </c>
      <c r="O521" t="n">
        <v>0</v>
      </c>
      <c r="P521" t="n">
        <v>0</v>
      </c>
      <c r="Q521" t="n">
        <v>1</v>
      </c>
      <c r="R521" s="2" t="inlineStr">
        <is>
          <t>Aspvedgnagare</t>
        </is>
      </c>
      <c r="S521">
        <f>HYPERLINK("https://klasma.github.io/Logging_0482/artfynd/A 882-2023 artfynd.xlsx", "A 882-2023")</f>
        <v/>
      </c>
      <c r="T521">
        <f>HYPERLINK("https://klasma.github.io/Logging_0482/kartor/A 882-2023 karta.png", "A 882-2023")</f>
        <v/>
      </c>
      <c r="V521">
        <f>HYPERLINK("https://klasma.github.io/Logging_0482/klagomål/A 882-2023 FSC-klagomål.docx", "A 882-2023")</f>
        <v/>
      </c>
      <c r="W521">
        <f>HYPERLINK("https://klasma.github.io/Logging_0482/klagomålsmail/A 882-2023 FSC-klagomål mail.docx", "A 882-2023")</f>
        <v/>
      </c>
      <c r="X521">
        <f>HYPERLINK("https://klasma.github.io/Logging_0482/tillsyn/A 882-2023 tillsynsbegäran.docx", "A 882-2023")</f>
        <v/>
      </c>
      <c r="Y521">
        <f>HYPERLINK("https://klasma.github.io/Logging_0482/tillsynsmail/A 882-2023 tillsynsbegäran mail.docx", "A 882-2023")</f>
        <v/>
      </c>
    </row>
    <row r="522" ht="15" customHeight="1">
      <c r="A522" t="inlineStr">
        <is>
          <t>A 2303-2023</t>
        </is>
      </c>
      <c r="B522" s="1" t="n">
        <v>44942</v>
      </c>
      <c r="C522" s="1" t="n">
        <v>45761</v>
      </c>
      <c r="D522" t="inlineStr">
        <is>
          <t>SÖDERMANLANDS LÄN</t>
        </is>
      </c>
      <c r="E522" t="inlineStr">
        <is>
          <t>STRÄNGNÄS</t>
        </is>
      </c>
      <c r="F522" t="inlineStr">
        <is>
          <t>Övriga Aktiebolag</t>
        </is>
      </c>
      <c r="G522" t="n">
        <v>7.1</v>
      </c>
      <c r="H522" t="n">
        <v>1</v>
      </c>
      <c r="I522" t="n">
        <v>0</v>
      </c>
      <c r="J522" t="n">
        <v>0</v>
      </c>
      <c r="K522" t="n">
        <v>0</v>
      </c>
      <c r="L522" t="n">
        <v>0</v>
      </c>
      <c r="M522" t="n">
        <v>0</v>
      </c>
      <c r="N522" t="n">
        <v>0</v>
      </c>
      <c r="O522" t="n">
        <v>0</v>
      </c>
      <c r="P522" t="n">
        <v>0</v>
      </c>
      <c r="Q522" t="n">
        <v>1</v>
      </c>
      <c r="R522" s="2" t="inlineStr">
        <is>
          <t>Grönvit nattviol</t>
        </is>
      </c>
      <c r="S522">
        <f>HYPERLINK("https://klasma.github.io/Logging_0486/artfynd/A 2303-2023 artfynd.xlsx", "A 2303-2023")</f>
        <v/>
      </c>
      <c r="T522">
        <f>HYPERLINK("https://klasma.github.io/Logging_0486/kartor/A 2303-2023 karta.png", "A 2303-2023")</f>
        <v/>
      </c>
      <c r="V522">
        <f>HYPERLINK("https://klasma.github.io/Logging_0486/klagomål/A 2303-2023 FSC-klagomål.docx", "A 2303-2023")</f>
        <v/>
      </c>
      <c r="W522">
        <f>HYPERLINK("https://klasma.github.io/Logging_0486/klagomålsmail/A 2303-2023 FSC-klagomål mail.docx", "A 2303-2023")</f>
        <v/>
      </c>
      <c r="X522">
        <f>HYPERLINK("https://klasma.github.io/Logging_0486/tillsyn/A 2303-2023 tillsynsbegäran.docx", "A 2303-2023")</f>
        <v/>
      </c>
      <c r="Y522">
        <f>HYPERLINK("https://klasma.github.io/Logging_0486/tillsynsmail/A 2303-2023 tillsynsbegäran mail.docx", "A 2303-2023")</f>
        <v/>
      </c>
    </row>
    <row r="523" ht="15" customHeight="1">
      <c r="A523" t="inlineStr">
        <is>
          <t>A 2842-2023</t>
        </is>
      </c>
      <c r="B523" s="1" t="n">
        <v>44945</v>
      </c>
      <c r="C523" s="1" t="n">
        <v>45761</v>
      </c>
      <c r="D523" t="inlineStr">
        <is>
          <t>SÖDERMANLANDS LÄN</t>
        </is>
      </c>
      <c r="E523" t="inlineStr">
        <is>
          <t>NYKÖPING</t>
        </is>
      </c>
      <c r="G523" t="n">
        <v>6.7</v>
      </c>
      <c r="H523" t="n">
        <v>0</v>
      </c>
      <c r="I523" t="n">
        <v>1</v>
      </c>
      <c r="J523" t="n">
        <v>0</v>
      </c>
      <c r="K523" t="n">
        <v>0</v>
      </c>
      <c r="L523" t="n">
        <v>0</v>
      </c>
      <c r="M523" t="n">
        <v>0</v>
      </c>
      <c r="N523" t="n">
        <v>0</v>
      </c>
      <c r="O523" t="n">
        <v>0</v>
      </c>
      <c r="P523" t="n">
        <v>0</v>
      </c>
      <c r="Q523" t="n">
        <v>1</v>
      </c>
      <c r="R523" s="2" t="inlineStr">
        <is>
          <t>Svavelriska</t>
        </is>
      </c>
      <c r="S523">
        <f>HYPERLINK("https://klasma.github.io/Logging_0480/artfynd/A 2842-2023 artfynd.xlsx", "A 2842-2023")</f>
        <v/>
      </c>
      <c r="T523">
        <f>HYPERLINK("https://klasma.github.io/Logging_0480/kartor/A 2842-2023 karta.png", "A 2842-2023")</f>
        <v/>
      </c>
      <c r="V523">
        <f>HYPERLINK("https://klasma.github.io/Logging_0480/klagomål/A 2842-2023 FSC-klagomål.docx", "A 2842-2023")</f>
        <v/>
      </c>
      <c r="W523">
        <f>HYPERLINK("https://klasma.github.io/Logging_0480/klagomålsmail/A 2842-2023 FSC-klagomål mail.docx", "A 2842-2023")</f>
        <v/>
      </c>
      <c r="X523">
        <f>HYPERLINK("https://klasma.github.io/Logging_0480/tillsyn/A 2842-2023 tillsynsbegäran.docx", "A 2842-2023")</f>
        <v/>
      </c>
      <c r="Y523">
        <f>HYPERLINK("https://klasma.github.io/Logging_0480/tillsynsmail/A 2842-2023 tillsynsbegäran mail.docx", "A 2842-2023")</f>
        <v/>
      </c>
    </row>
    <row r="524" ht="15" customHeight="1">
      <c r="A524" t="inlineStr">
        <is>
          <t>A 4699-2023</t>
        </is>
      </c>
      <c r="B524" s="1" t="n">
        <v>44957</v>
      </c>
      <c r="C524" s="1" t="n">
        <v>45761</v>
      </c>
      <c r="D524" t="inlineStr">
        <is>
          <t>SÖDERMANLANDS LÄN</t>
        </is>
      </c>
      <c r="E524" t="inlineStr">
        <is>
          <t>FLEN</t>
        </is>
      </c>
      <c r="G524" t="n">
        <v>1.4</v>
      </c>
      <c r="H524" t="n">
        <v>1</v>
      </c>
      <c r="I524" t="n">
        <v>0</v>
      </c>
      <c r="J524" t="n">
        <v>0</v>
      </c>
      <c r="K524" t="n">
        <v>0</v>
      </c>
      <c r="L524" t="n">
        <v>0</v>
      </c>
      <c r="M524" t="n">
        <v>0</v>
      </c>
      <c r="N524" t="n">
        <v>0</v>
      </c>
      <c r="O524" t="n">
        <v>0</v>
      </c>
      <c r="P524" t="n">
        <v>0</v>
      </c>
      <c r="Q524" t="n">
        <v>1</v>
      </c>
      <c r="R524" s="2" t="inlineStr">
        <is>
          <t>Gullviva</t>
        </is>
      </c>
      <c r="S524">
        <f>HYPERLINK("https://klasma.github.io/Logging_0482/artfynd/A 4699-2023 artfynd.xlsx", "A 4699-2023")</f>
        <v/>
      </c>
      <c r="T524">
        <f>HYPERLINK("https://klasma.github.io/Logging_0482/kartor/A 4699-2023 karta.png", "A 4699-2023")</f>
        <v/>
      </c>
      <c r="V524">
        <f>HYPERLINK("https://klasma.github.io/Logging_0482/klagomål/A 4699-2023 FSC-klagomål.docx", "A 4699-2023")</f>
        <v/>
      </c>
      <c r="W524">
        <f>HYPERLINK("https://klasma.github.io/Logging_0482/klagomålsmail/A 4699-2023 FSC-klagomål mail.docx", "A 4699-2023")</f>
        <v/>
      </c>
      <c r="X524">
        <f>HYPERLINK("https://klasma.github.io/Logging_0482/tillsyn/A 4699-2023 tillsynsbegäran.docx", "A 4699-2023")</f>
        <v/>
      </c>
      <c r="Y524">
        <f>HYPERLINK("https://klasma.github.io/Logging_0482/tillsynsmail/A 4699-2023 tillsynsbegäran mail.docx", "A 4699-2023")</f>
        <v/>
      </c>
    </row>
    <row r="525" ht="15" customHeight="1">
      <c r="A525" t="inlineStr">
        <is>
          <t>A 6570-2023</t>
        </is>
      </c>
      <c r="B525" s="1" t="n">
        <v>44963</v>
      </c>
      <c r="C525" s="1" t="n">
        <v>45761</v>
      </c>
      <c r="D525" t="inlineStr">
        <is>
          <t>SÖDERMANLANDS LÄN</t>
        </is>
      </c>
      <c r="E525" t="inlineStr">
        <is>
          <t>STRÄNGNÄS</t>
        </is>
      </c>
      <c r="G525" t="n">
        <v>1</v>
      </c>
      <c r="H525" t="n">
        <v>1</v>
      </c>
      <c r="I525" t="n">
        <v>0</v>
      </c>
      <c r="J525" t="n">
        <v>1</v>
      </c>
      <c r="K525" t="n">
        <v>0</v>
      </c>
      <c r="L525" t="n">
        <v>0</v>
      </c>
      <c r="M525" t="n">
        <v>0</v>
      </c>
      <c r="N525" t="n">
        <v>0</v>
      </c>
      <c r="O525" t="n">
        <v>1</v>
      </c>
      <c r="P525" t="n">
        <v>0</v>
      </c>
      <c r="Q525" t="n">
        <v>1</v>
      </c>
      <c r="R525" s="2" t="inlineStr">
        <is>
          <t>Nordfladdermus</t>
        </is>
      </c>
      <c r="S525">
        <f>HYPERLINK("https://klasma.github.io/Logging_0486/artfynd/A 6570-2023 artfynd.xlsx", "A 6570-2023")</f>
        <v/>
      </c>
      <c r="T525">
        <f>HYPERLINK("https://klasma.github.io/Logging_0486/kartor/A 6570-2023 karta.png", "A 6570-2023")</f>
        <v/>
      </c>
      <c r="U525">
        <f>HYPERLINK("https://klasma.github.io/Logging_0486/knärot/A 6570-2023 karta knärot.png", "A 6570-2023")</f>
        <v/>
      </c>
      <c r="V525">
        <f>HYPERLINK("https://klasma.github.io/Logging_0486/klagomål/A 6570-2023 FSC-klagomål.docx", "A 6570-2023")</f>
        <v/>
      </c>
      <c r="W525">
        <f>HYPERLINK("https://klasma.github.io/Logging_0486/klagomålsmail/A 6570-2023 FSC-klagomål mail.docx", "A 6570-2023")</f>
        <v/>
      </c>
      <c r="X525">
        <f>HYPERLINK("https://klasma.github.io/Logging_0486/tillsyn/A 6570-2023 tillsynsbegäran.docx", "A 6570-2023")</f>
        <v/>
      </c>
      <c r="Y525">
        <f>HYPERLINK("https://klasma.github.io/Logging_0486/tillsynsmail/A 6570-2023 tillsynsbegäran mail.docx", "A 6570-2023")</f>
        <v/>
      </c>
    </row>
    <row r="526" ht="15" customHeight="1">
      <c r="A526" t="inlineStr">
        <is>
          <t>A 6395-2023</t>
        </is>
      </c>
      <c r="B526" s="1" t="n">
        <v>44965</v>
      </c>
      <c r="C526" s="1" t="n">
        <v>45761</v>
      </c>
      <c r="D526" t="inlineStr">
        <is>
          <t>SÖDERMANLANDS LÄN</t>
        </is>
      </c>
      <c r="E526" t="inlineStr">
        <is>
          <t>GNESTA</t>
        </is>
      </c>
      <c r="G526" t="n">
        <v>5.1</v>
      </c>
      <c r="H526" t="n">
        <v>0</v>
      </c>
      <c r="I526" t="n">
        <v>0</v>
      </c>
      <c r="J526" t="n">
        <v>1</v>
      </c>
      <c r="K526" t="n">
        <v>0</v>
      </c>
      <c r="L526" t="n">
        <v>0</v>
      </c>
      <c r="M526" t="n">
        <v>0</v>
      </c>
      <c r="N526" t="n">
        <v>0</v>
      </c>
      <c r="O526" t="n">
        <v>1</v>
      </c>
      <c r="P526" t="n">
        <v>0</v>
      </c>
      <c r="Q526" t="n">
        <v>1</v>
      </c>
      <c r="R526" s="2" t="inlineStr">
        <is>
          <t>Svinrot</t>
        </is>
      </c>
      <c r="S526">
        <f>HYPERLINK("https://klasma.github.io/Logging_0461/artfynd/A 6395-2023 artfynd.xlsx", "A 6395-2023")</f>
        <v/>
      </c>
      <c r="T526">
        <f>HYPERLINK("https://klasma.github.io/Logging_0461/kartor/A 6395-2023 karta.png", "A 6395-2023")</f>
        <v/>
      </c>
      <c r="V526">
        <f>HYPERLINK("https://klasma.github.io/Logging_0461/klagomål/A 6395-2023 FSC-klagomål.docx", "A 6395-2023")</f>
        <v/>
      </c>
      <c r="W526">
        <f>HYPERLINK("https://klasma.github.io/Logging_0461/klagomålsmail/A 6395-2023 FSC-klagomål mail.docx", "A 6395-2023")</f>
        <v/>
      </c>
      <c r="X526">
        <f>HYPERLINK("https://klasma.github.io/Logging_0461/tillsyn/A 6395-2023 tillsynsbegäran.docx", "A 6395-2023")</f>
        <v/>
      </c>
      <c r="Y526">
        <f>HYPERLINK("https://klasma.github.io/Logging_0461/tillsynsmail/A 6395-2023 tillsynsbegäran mail.docx", "A 6395-2023")</f>
        <v/>
      </c>
    </row>
    <row r="527" ht="15" customHeight="1">
      <c r="A527" t="inlineStr">
        <is>
          <t>A 7506-2023</t>
        </is>
      </c>
      <c r="B527" s="1" t="n">
        <v>44971</v>
      </c>
      <c r="C527" s="1" t="n">
        <v>45761</v>
      </c>
      <c r="D527" t="inlineStr">
        <is>
          <t>SÖDERMANLANDS LÄN</t>
        </is>
      </c>
      <c r="E527" t="inlineStr">
        <is>
          <t>FLEN</t>
        </is>
      </c>
      <c r="G527" t="n">
        <v>3.3</v>
      </c>
      <c r="H527" t="n">
        <v>0</v>
      </c>
      <c r="I527" t="n">
        <v>0</v>
      </c>
      <c r="J527" t="n">
        <v>1</v>
      </c>
      <c r="K527" t="n">
        <v>0</v>
      </c>
      <c r="L527" t="n">
        <v>0</v>
      </c>
      <c r="M527" t="n">
        <v>0</v>
      </c>
      <c r="N527" t="n">
        <v>0</v>
      </c>
      <c r="O527" t="n">
        <v>1</v>
      </c>
      <c r="P527" t="n">
        <v>0</v>
      </c>
      <c r="Q527" t="n">
        <v>1</v>
      </c>
      <c r="R527" s="2" t="inlineStr">
        <is>
          <t>Svinrot</t>
        </is>
      </c>
      <c r="S527">
        <f>HYPERLINK("https://klasma.github.io/Logging_0482/artfynd/A 7506-2023 artfynd.xlsx", "A 7506-2023")</f>
        <v/>
      </c>
      <c r="T527">
        <f>HYPERLINK("https://klasma.github.io/Logging_0482/kartor/A 7506-2023 karta.png", "A 7506-2023")</f>
        <v/>
      </c>
      <c r="V527">
        <f>HYPERLINK("https://klasma.github.io/Logging_0482/klagomål/A 7506-2023 FSC-klagomål.docx", "A 7506-2023")</f>
        <v/>
      </c>
      <c r="W527">
        <f>HYPERLINK("https://klasma.github.io/Logging_0482/klagomålsmail/A 7506-2023 FSC-klagomål mail.docx", "A 7506-2023")</f>
        <v/>
      </c>
      <c r="X527">
        <f>HYPERLINK("https://klasma.github.io/Logging_0482/tillsyn/A 7506-2023 tillsynsbegäran.docx", "A 7506-2023")</f>
        <v/>
      </c>
      <c r="Y527">
        <f>HYPERLINK("https://klasma.github.io/Logging_0482/tillsynsmail/A 7506-2023 tillsynsbegäran mail.docx", "A 7506-2023")</f>
        <v/>
      </c>
    </row>
    <row r="528" ht="15" customHeight="1">
      <c r="A528" t="inlineStr">
        <is>
          <t>A 7681-2023</t>
        </is>
      </c>
      <c r="B528" s="1" t="n">
        <v>44972</v>
      </c>
      <c r="C528" s="1" t="n">
        <v>45761</v>
      </c>
      <c r="D528" t="inlineStr">
        <is>
          <t>SÖDERMANLANDS LÄN</t>
        </is>
      </c>
      <c r="E528" t="inlineStr">
        <is>
          <t>GNESTA</t>
        </is>
      </c>
      <c r="G528" t="n">
        <v>2.3</v>
      </c>
      <c r="H528" t="n">
        <v>0</v>
      </c>
      <c r="I528" t="n">
        <v>0</v>
      </c>
      <c r="J528" t="n">
        <v>1</v>
      </c>
      <c r="K528" t="n">
        <v>0</v>
      </c>
      <c r="L528" t="n">
        <v>0</v>
      </c>
      <c r="M528" t="n">
        <v>0</v>
      </c>
      <c r="N528" t="n">
        <v>0</v>
      </c>
      <c r="O528" t="n">
        <v>1</v>
      </c>
      <c r="P528" t="n">
        <v>0</v>
      </c>
      <c r="Q528" t="n">
        <v>1</v>
      </c>
      <c r="R528" s="2" t="inlineStr">
        <is>
          <t>Gullklöver</t>
        </is>
      </c>
      <c r="S528">
        <f>HYPERLINK("https://klasma.github.io/Logging_0461/artfynd/A 7681-2023 artfynd.xlsx", "A 7681-2023")</f>
        <v/>
      </c>
      <c r="T528">
        <f>HYPERLINK("https://klasma.github.io/Logging_0461/kartor/A 7681-2023 karta.png", "A 7681-2023")</f>
        <v/>
      </c>
      <c r="V528">
        <f>HYPERLINK("https://klasma.github.io/Logging_0461/klagomål/A 7681-2023 FSC-klagomål.docx", "A 7681-2023")</f>
        <v/>
      </c>
      <c r="W528">
        <f>HYPERLINK("https://klasma.github.io/Logging_0461/klagomålsmail/A 7681-2023 FSC-klagomål mail.docx", "A 7681-2023")</f>
        <v/>
      </c>
      <c r="X528">
        <f>HYPERLINK("https://klasma.github.io/Logging_0461/tillsyn/A 7681-2023 tillsynsbegäran.docx", "A 7681-2023")</f>
        <v/>
      </c>
      <c r="Y528">
        <f>HYPERLINK("https://klasma.github.io/Logging_0461/tillsynsmail/A 7681-2023 tillsynsbegäran mail.docx", "A 7681-2023")</f>
        <v/>
      </c>
    </row>
    <row r="529" ht="15" customHeight="1">
      <c r="A529" t="inlineStr">
        <is>
          <t>A 7661-2023</t>
        </is>
      </c>
      <c r="B529" s="1" t="n">
        <v>44972</v>
      </c>
      <c r="C529" s="1" t="n">
        <v>45761</v>
      </c>
      <c r="D529" t="inlineStr">
        <is>
          <t>SÖDERMANLANDS LÄN</t>
        </is>
      </c>
      <c r="E529" t="inlineStr">
        <is>
          <t>GNESTA</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HYPERLINK("https://klasma.github.io/Logging_0461/artfynd/A 7661-2023 artfynd.xlsx", "A 7661-2023")</f>
        <v/>
      </c>
      <c r="T529">
        <f>HYPERLINK("https://klasma.github.io/Logging_0461/kartor/A 7661-2023 karta.png", "A 7661-2023")</f>
        <v/>
      </c>
      <c r="V529">
        <f>HYPERLINK("https://klasma.github.io/Logging_0461/klagomål/A 7661-2023 FSC-klagomål.docx", "A 7661-2023")</f>
        <v/>
      </c>
      <c r="W529">
        <f>HYPERLINK("https://klasma.github.io/Logging_0461/klagomålsmail/A 7661-2023 FSC-klagomål mail.docx", "A 7661-2023")</f>
        <v/>
      </c>
      <c r="X529">
        <f>HYPERLINK("https://klasma.github.io/Logging_0461/tillsyn/A 7661-2023 tillsynsbegäran.docx", "A 7661-2023")</f>
        <v/>
      </c>
      <c r="Y529">
        <f>HYPERLINK("https://klasma.github.io/Logging_0461/tillsynsmail/A 7661-2023 tillsynsbegäran mail.docx", "A 7661-2023")</f>
        <v/>
      </c>
    </row>
    <row r="530" ht="15" customHeight="1">
      <c r="A530" t="inlineStr">
        <is>
          <t>A 7741-2023</t>
        </is>
      </c>
      <c r="B530" s="1" t="n">
        <v>44973</v>
      </c>
      <c r="C530" s="1" t="n">
        <v>45761</v>
      </c>
      <c r="D530" t="inlineStr">
        <is>
          <t>SÖDERMANLANDS LÄN</t>
        </is>
      </c>
      <c r="E530" t="inlineStr">
        <is>
          <t>GNESTA</t>
        </is>
      </c>
      <c r="G530" t="n">
        <v>3.4</v>
      </c>
      <c r="H530" t="n">
        <v>1</v>
      </c>
      <c r="I530" t="n">
        <v>0</v>
      </c>
      <c r="J530" t="n">
        <v>0</v>
      </c>
      <c r="K530" t="n">
        <v>0</v>
      </c>
      <c r="L530" t="n">
        <v>0</v>
      </c>
      <c r="M530" t="n">
        <v>0</v>
      </c>
      <c r="N530" t="n">
        <v>0</v>
      </c>
      <c r="O530" t="n">
        <v>0</v>
      </c>
      <c r="P530" t="n">
        <v>0</v>
      </c>
      <c r="Q530" t="n">
        <v>1</v>
      </c>
      <c r="R530" s="2" t="inlineStr">
        <is>
          <t>Blåsippa</t>
        </is>
      </c>
      <c r="S530">
        <f>HYPERLINK("https://klasma.github.io/Logging_0461/artfynd/A 7741-2023 artfynd.xlsx", "A 7741-2023")</f>
        <v/>
      </c>
      <c r="T530">
        <f>HYPERLINK("https://klasma.github.io/Logging_0461/kartor/A 7741-2023 karta.png", "A 7741-2023")</f>
        <v/>
      </c>
      <c r="V530">
        <f>HYPERLINK("https://klasma.github.io/Logging_0461/klagomål/A 7741-2023 FSC-klagomål.docx", "A 7741-2023")</f>
        <v/>
      </c>
      <c r="W530">
        <f>HYPERLINK("https://klasma.github.io/Logging_0461/klagomålsmail/A 7741-2023 FSC-klagomål mail.docx", "A 7741-2023")</f>
        <v/>
      </c>
      <c r="X530">
        <f>HYPERLINK("https://klasma.github.io/Logging_0461/tillsyn/A 7741-2023 tillsynsbegäran.docx", "A 7741-2023")</f>
        <v/>
      </c>
      <c r="Y530">
        <f>HYPERLINK("https://klasma.github.io/Logging_0461/tillsynsmail/A 7741-2023 tillsynsbegäran mail.docx", "A 7741-2023")</f>
        <v/>
      </c>
    </row>
    <row r="531" ht="15" customHeight="1">
      <c r="A531" t="inlineStr">
        <is>
          <t>A 8019-2023</t>
        </is>
      </c>
      <c r="B531" s="1" t="n">
        <v>44973</v>
      </c>
      <c r="C531" s="1" t="n">
        <v>45761</v>
      </c>
      <c r="D531" t="inlineStr">
        <is>
          <t>SÖDERMANLANDS LÄN</t>
        </is>
      </c>
      <c r="E531" t="inlineStr">
        <is>
          <t>GNESTA</t>
        </is>
      </c>
      <c r="G531" t="n">
        <v>3.9</v>
      </c>
      <c r="H531" t="n">
        <v>0</v>
      </c>
      <c r="I531" t="n">
        <v>0</v>
      </c>
      <c r="J531" t="n">
        <v>1</v>
      </c>
      <c r="K531" t="n">
        <v>0</v>
      </c>
      <c r="L531" t="n">
        <v>0</v>
      </c>
      <c r="M531" t="n">
        <v>0</v>
      </c>
      <c r="N531" t="n">
        <v>0</v>
      </c>
      <c r="O531" t="n">
        <v>1</v>
      </c>
      <c r="P531" t="n">
        <v>0</v>
      </c>
      <c r="Q531" t="n">
        <v>1</v>
      </c>
      <c r="R531" s="2" t="inlineStr">
        <is>
          <t>Klasefibbla</t>
        </is>
      </c>
      <c r="S531">
        <f>HYPERLINK("https://klasma.github.io/Logging_0461/artfynd/A 8019-2023 artfynd.xlsx", "A 8019-2023")</f>
        <v/>
      </c>
      <c r="T531">
        <f>HYPERLINK("https://klasma.github.io/Logging_0461/kartor/A 8019-2023 karta.png", "A 8019-2023")</f>
        <v/>
      </c>
      <c r="V531">
        <f>HYPERLINK("https://klasma.github.io/Logging_0461/klagomål/A 8019-2023 FSC-klagomål.docx", "A 8019-2023")</f>
        <v/>
      </c>
      <c r="W531">
        <f>HYPERLINK("https://klasma.github.io/Logging_0461/klagomålsmail/A 8019-2023 FSC-klagomål mail.docx", "A 8019-2023")</f>
        <v/>
      </c>
      <c r="X531">
        <f>HYPERLINK("https://klasma.github.io/Logging_0461/tillsyn/A 8019-2023 tillsynsbegäran.docx", "A 8019-2023")</f>
        <v/>
      </c>
      <c r="Y531">
        <f>HYPERLINK("https://klasma.github.io/Logging_0461/tillsynsmail/A 8019-2023 tillsynsbegäran mail.docx", "A 8019-2023")</f>
        <v/>
      </c>
    </row>
    <row r="532" ht="15" customHeight="1">
      <c r="A532" t="inlineStr">
        <is>
          <t>A 9221-2023</t>
        </is>
      </c>
      <c r="B532" s="1" t="n">
        <v>44977</v>
      </c>
      <c r="C532" s="1" t="n">
        <v>45761</v>
      </c>
      <c r="D532" t="inlineStr">
        <is>
          <t>SÖDERMANLANDS LÄN</t>
        </is>
      </c>
      <c r="E532" t="inlineStr">
        <is>
          <t>NYKÖPING</t>
        </is>
      </c>
      <c r="F532" t="inlineStr">
        <is>
          <t>Allmännings- och besparingsskogar</t>
        </is>
      </c>
      <c r="G532" t="n">
        <v>20.4</v>
      </c>
      <c r="H532" t="n">
        <v>0</v>
      </c>
      <c r="I532" t="n">
        <v>0</v>
      </c>
      <c r="J532" t="n">
        <v>1</v>
      </c>
      <c r="K532" t="n">
        <v>0</v>
      </c>
      <c r="L532" t="n">
        <v>0</v>
      </c>
      <c r="M532" t="n">
        <v>0</v>
      </c>
      <c r="N532" t="n">
        <v>0</v>
      </c>
      <c r="O532" t="n">
        <v>1</v>
      </c>
      <c r="P532" t="n">
        <v>0</v>
      </c>
      <c r="Q532" t="n">
        <v>1</v>
      </c>
      <c r="R532" s="2" t="inlineStr">
        <is>
          <t>Igelkott</t>
        </is>
      </c>
      <c r="S532">
        <f>HYPERLINK("https://klasma.github.io/Logging_0480/artfynd/A 9221-2023 artfynd.xlsx", "A 9221-2023")</f>
        <v/>
      </c>
      <c r="T532">
        <f>HYPERLINK("https://klasma.github.io/Logging_0480/kartor/A 9221-2023 karta.png", "A 9221-2023")</f>
        <v/>
      </c>
      <c r="V532">
        <f>HYPERLINK("https://klasma.github.io/Logging_0480/klagomål/A 9221-2023 FSC-klagomål.docx", "A 9221-2023")</f>
        <v/>
      </c>
      <c r="W532">
        <f>HYPERLINK("https://klasma.github.io/Logging_0480/klagomålsmail/A 9221-2023 FSC-klagomål mail.docx", "A 9221-2023")</f>
        <v/>
      </c>
      <c r="X532">
        <f>HYPERLINK("https://klasma.github.io/Logging_0480/tillsyn/A 9221-2023 tillsynsbegäran.docx", "A 9221-2023")</f>
        <v/>
      </c>
      <c r="Y532">
        <f>HYPERLINK("https://klasma.github.io/Logging_0480/tillsynsmail/A 9221-2023 tillsynsbegäran mail.docx", "A 9221-2023")</f>
        <v/>
      </c>
    </row>
    <row r="533" ht="15" customHeight="1">
      <c r="A533" t="inlineStr">
        <is>
          <t>A 9303-2023</t>
        </is>
      </c>
      <c r="B533" s="1" t="n">
        <v>44980</v>
      </c>
      <c r="C533" s="1" t="n">
        <v>45761</v>
      </c>
      <c r="D533" t="inlineStr">
        <is>
          <t>SÖDERMANLANDS LÄN</t>
        </is>
      </c>
      <c r="E533" t="inlineStr">
        <is>
          <t>GNESTA</t>
        </is>
      </c>
      <c r="G533" t="n">
        <v>0.7</v>
      </c>
      <c r="H533" t="n">
        <v>0</v>
      </c>
      <c r="I533" t="n">
        <v>1</v>
      </c>
      <c r="J533" t="n">
        <v>0</v>
      </c>
      <c r="K533" t="n">
        <v>0</v>
      </c>
      <c r="L533" t="n">
        <v>0</v>
      </c>
      <c r="M533" t="n">
        <v>0</v>
      </c>
      <c r="N533" t="n">
        <v>0</v>
      </c>
      <c r="O533" t="n">
        <v>0</v>
      </c>
      <c r="P533" t="n">
        <v>0</v>
      </c>
      <c r="Q533" t="n">
        <v>1</v>
      </c>
      <c r="R533" s="2" t="inlineStr">
        <is>
          <t>Zontaggsvamp</t>
        </is>
      </c>
      <c r="S533">
        <f>HYPERLINK("https://klasma.github.io/Logging_0461/artfynd/A 9303-2023 artfynd.xlsx", "A 9303-2023")</f>
        <v/>
      </c>
      <c r="T533">
        <f>HYPERLINK("https://klasma.github.io/Logging_0461/kartor/A 9303-2023 karta.png", "A 9303-2023")</f>
        <v/>
      </c>
      <c r="V533">
        <f>HYPERLINK("https://klasma.github.io/Logging_0461/klagomål/A 9303-2023 FSC-klagomål.docx", "A 9303-2023")</f>
        <v/>
      </c>
      <c r="W533">
        <f>HYPERLINK("https://klasma.github.io/Logging_0461/klagomålsmail/A 9303-2023 FSC-klagomål mail.docx", "A 9303-2023")</f>
        <v/>
      </c>
      <c r="X533">
        <f>HYPERLINK("https://klasma.github.io/Logging_0461/tillsyn/A 9303-2023 tillsynsbegäran.docx", "A 9303-2023")</f>
        <v/>
      </c>
      <c r="Y533">
        <f>HYPERLINK("https://klasma.github.io/Logging_0461/tillsynsmail/A 9303-2023 tillsynsbegäran mail.docx", "A 9303-2023")</f>
        <v/>
      </c>
    </row>
    <row r="534" ht="15" customHeight="1">
      <c r="A534" t="inlineStr">
        <is>
          <t>A 9645-2023</t>
        </is>
      </c>
      <c r="B534" s="1" t="n">
        <v>44984</v>
      </c>
      <c r="C534" s="1" t="n">
        <v>45761</v>
      </c>
      <c r="D534" t="inlineStr">
        <is>
          <t>SÖDERMANLANDS LÄN</t>
        </is>
      </c>
      <c r="E534" t="inlineStr">
        <is>
          <t>ESKILSTUNA</t>
        </is>
      </c>
      <c r="G534" t="n">
        <v>2.3</v>
      </c>
      <c r="H534" t="n">
        <v>1</v>
      </c>
      <c r="I534" t="n">
        <v>0</v>
      </c>
      <c r="J534" t="n">
        <v>0</v>
      </c>
      <c r="K534" t="n">
        <v>0</v>
      </c>
      <c r="L534" t="n">
        <v>0</v>
      </c>
      <c r="M534" t="n">
        <v>0</v>
      </c>
      <c r="N534" t="n">
        <v>0</v>
      </c>
      <c r="O534" t="n">
        <v>0</v>
      </c>
      <c r="P534" t="n">
        <v>0</v>
      </c>
      <c r="Q534" t="n">
        <v>1</v>
      </c>
      <c r="R534" s="2" t="inlineStr">
        <is>
          <t>Skogsduva</t>
        </is>
      </c>
      <c r="S534">
        <f>HYPERLINK("https://klasma.github.io/Logging_0484/artfynd/A 9645-2023 artfynd.xlsx", "A 9645-2023")</f>
        <v/>
      </c>
      <c r="T534">
        <f>HYPERLINK("https://klasma.github.io/Logging_0484/kartor/A 9645-2023 karta.png", "A 9645-2023")</f>
        <v/>
      </c>
      <c r="V534">
        <f>HYPERLINK("https://klasma.github.io/Logging_0484/klagomål/A 9645-2023 FSC-klagomål.docx", "A 9645-2023")</f>
        <v/>
      </c>
      <c r="W534">
        <f>HYPERLINK("https://klasma.github.io/Logging_0484/klagomålsmail/A 9645-2023 FSC-klagomål mail.docx", "A 9645-2023")</f>
        <v/>
      </c>
      <c r="X534">
        <f>HYPERLINK("https://klasma.github.io/Logging_0484/tillsyn/A 9645-2023 tillsynsbegäran.docx", "A 9645-2023")</f>
        <v/>
      </c>
      <c r="Y534">
        <f>HYPERLINK("https://klasma.github.io/Logging_0484/tillsynsmail/A 9645-2023 tillsynsbegäran mail.docx", "A 9645-2023")</f>
        <v/>
      </c>
      <c r="Z534">
        <f>HYPERLINK("https://klasma.github.io/Logging_0484/fåglar/A 9645-2023 prioriterade fågelarter.docx", "A 9645-2023")</f>
        <v/>
      </c>
    </row>
    <row r="535" ht="15" customHeight="1">
      <c r="A535" t="inlineStr">
        <is>
          <t>A 11123-2023</t>
        </is>
      </c>
      <c r="B535" s="1" t="n">
        <v>44986</v>
      </c>
      <c r="C535" s="1" t="n">
        <v>45761</v>
      </c>
      <c r="D535" t="inlineStr">
        <is>
          <t>SÖDERMANLANDS LÄN</t>
        </is>
      </c>
      <c r="E535" t="inlineStr">
        <is>
          <t>TROSA</t>
        </is>
      </c>
      <c r="F535" t="inlineStr">
        <is>
          <t>Övriga statliga verk och myndigheter</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HYPERLINK("https://klasma.github.io/Logging_0488/artfynd/A 11123-2023 artfynd.xlsx", "A 11123-2023")</f>
        <v/>
      </c>
      <c r="T535">
        <f>HYPERLINK("https://klasma.github.io/Logging_0488/kartor/A 11123-2023 karta.png", "A 11123-2023")</f>
        <v/>
      </c>
      <c r="V535">
        <f>HYPERLINK("https://klasma.github.io/Logging_0488/klagomål/A 11123-2023 FSC-klagomål.docx", "A 11123-2023")</f>
        <v/>
      </c>
      <c r="W535">
        <f>HYPERLINK("https://klasma.github.io/Logging_0488/klagomålsmail/A 11123-2023 FSC-klagomål mail.docx", "A 11123-2023")</f>
        <v/>
      </c>
      <c r="X535">
        <f>HYPERLINK("https://klasma.github.io/Logging_0488/tillsyn/A 11123-2023 tillsynsbegäran.docx", "A 11123-2023")</f>
        <v/>
      </c>
      <c r="Y535">
        <f>HYPERLINK("https://klasma.github.io/Logging_0488/tillsynsmail/A 11123-2023 tillsynsbegäran mail.docx", "A 11123-2023")</f>
        <v/>
      </c>
      <c r="Z535">
        <f>HYPERLINK("https://klasma.github.io/Logging_0488/fåglar/A 11123-2023 prioriterade fågelarter.docx", "A 11123-2023")</f>
        <v/>
      </c>
    </row>
    <row r="536" ht="15" customHeight="1">
      <c r="A536" t="inlineStr">
        <is>
          <t>A 12238-2023</t>
        </is>
      </c>
      <c r="B536" s="1" t="n">
        <v>44995</v>
      </c>
      <c r="C536" s="1" t="n">
        <v>45761</v>
      </c>
      <c r="D536" t="inlineStr">
        <is>
          <t>SÖDERMANLANDS LÄN</t>
        </is>
      </c>
      <c r="E536" t="inlineStr">
        <is>
          <t>KATRINEHOLM</t>
        </is>
      </c>
      <c r="F536" t="inlineStr">
        <is>
          <t>Övriga Aktiebolag</t>
        </is>
      </c>
      <c r="G536" t="n">
        <v>58</v>
      </c>
      <c r="H536" t="n">
        <v>0</v>
      </c>
      <c r="I536" t="n">
        <v>0</v>
      </c>
      <c r="J536" t="n">
        <v>1</v>
      </c>
      <c r="K536" t="n">
        <v>0</v>
      </c>
      <c r="L536" t="n">
        <v>0</v>
      </c>
      <c r="M536" t="n">
        <v>0</v>
      </c>
      <c r="N536" t="n">
        <v>0</v>
      </c>
      <c r="O536" t="n">
        <v>1</v>
      </c>
      <c r="P536" t="n">
        <v>0</v>
      </c>
      <c r="Q536" t="n">
        <v>1</v>
      </c>
      <c r="R536" s="2" t="inlineStr">
        <is>
          <t>Skogsklocka</t>
        </is>
      </c>
      <c r="S536">
        <f>HYPERLINK("https://klasma.github.io/Logging_0483/artfynd/A 12238-2023 artfynd.xlsx", "A 12238-2023")</f>
        <v/>
      </c>
      <c r="T536">
        <f>HYPERLINK("https://klasma.github.io/Logging_0483/kartor/A 12238-2023 karta.png", "A 12238-2023")</f>
        <v/>
      </c>
      <c r="V536">
        <f>HYPERLINK("https://klasma.github.io/Logging_0483/klagomål/A 12238-2023 FSC-klagomål.docx", "A 12238-2023")</f>
        <v/>
      </c>
      <c r="W536">
        <f>HYPERLINK("https://klasma.github.io/Logging_0483/klagomålsmail/A 12238-2023 FSC-klagomål mail.docx", "A 12238-2023")</f>
        <v/>
      </c>
      <c r="X536">
        <f>HYPERLINK("https://klasma.github.io/Logging_0483/tillsyn/A 12238-2023 tillsynsbegäran.docx", "A 12238-2023")</f>
        <v/>
      </c>
      <c r="Y536">
        <f>HYPERLINK("https://klasma.github.io/Logging_0483/tillsynsmail/A 12238-2023 tillsynsbegäran mail.docx", "A 12238-2023")</f>
        <v/>
      </c>
    </row>
    <row r="537" ht="15" customHeight="1">
      <c r="A537" t="inlineStr">
        <is>
          <t>A 12174-2023</t>
        </is>
      </c>
      <c r="B537" s="1" t="n">
        <v>44995</v>
      </c>
      <c r="C537" s="1" t="n">
        <v>45761</v>
      </c>
      <c r="D537" t="inlineStr">
        <is>
          <t>SÖDERMANLANDS LÄN</t>
        </is>
      </c>
      <c r="E537" t="inlineStr">
        <is>
          <t>GNESTA</t>
        </is>
      </c>
      <c r="G537" t="n">
        <v>11.2</v>
      </c>
      <c r="H537" t="n">
        <v>0</v>
      </c>
      <c r="I537" t="n">
        <v>0</v>
      </c>
      <c r="J537" t="n">
        <v>1</v>
      </c>
      <c r="K537" t="n">
        <v>0</v>
      </c>
      <c r="L537" t="n">
        <v>0</v>
      </c>
      <c r="M537" t="n">
        <v>0</v>
      </c>
      <c r="N537" t="n">
        <v>0</v>
      </c>
      <c r="O537" t="n">
        <v>1</v>
      </c>
      <c r="P537" t="n">
        <v>0</v>
      </c>
      <c r="Q537" t="n">
        <v>1</v>
      </c>
      <c r="R537" s="2" t="inlineStr">
        <is>
          <t>Klasefibbla</t>
        </is>
      </c>
      <c r="S537">
        <f>HYPERLINK("https://klasma.github.io/Logging_0461/artfynd/A 12174-2023 artfynd.xlsx", "A 12174-2023")</f>
        <v/>
      </c>
      <c r="T537">
        <f>HYPERLINK("https://klasma.github.io/Logging_0461/kartor/A 12174-2023 karta.png", "A 12174-2023")</f>
        <v/>
      </c>
      <c r="V537">
        <f>HYPERLINK("https://klasma.github.io/Logging_0461/klagomål/A 12174-2023 FSC-klagomål.docx", "A 12174-2023")</f>
        <v/>
      </c>
      <c r="W537">
        <f>HYPERLINK("https://klasma.github.io/Logging_0461/klagomålsmail/A 12174-2023 FSC-klagomål mail.docx", "A 12174-2023")</f>
        <v/>
      </c>
      <c r="X537">
        <f>HYPERLINK("https://klasma.github.io/Logging_0461/tillsyn/A 12174-2023 tillsynsbegäran.docx", "A 12174-2023")</f>
        <v/>
      </c>
      <c r="Y537">
        <f>HYPERLINK("https://klasma.github.io/Logging_0461/tillsynsmail/A 12174-2023 tillsynsbegäran mail.docx", "A 12174-2023")</f>
        <v/>
      </c>
    </row>
    <row r="538" ht="15" customHeight="1">
      <c r="A538" t="inlineStr">
        <is>
          <t>A 11890-2023</t>
        </is>
      </c>
      <c r="B538" s="1" t="n">
        <v>44995</v>
      </c>
      <c r="C538" s="1" t="n">
        <v>45761</v>
      </c>
      <c r="D538" t="inlineStr">
        <is>
          <t>SÖDERMANLANDS LÄN</t>
        </is>
      </c>
      <c r="E538" t="inlineStr">
        <is>
          <t>KATRINEHOLM</t>
        </is>
      </c>
      <c r="F538" t="inlineStr">
        <is>
          <t>Kommuner</t>
        </is>
      </c>
      <c r="G538" t="n">
        <v>6.7</v>
      </c>
      <c r="H538" t="n">
        <v>1</v>
      </c>
      <c r="I538" t="n">
        <v>1</v>
      </c>
      <c r="J538" t="n">
        <v>0</v>
      </c>
      <c r="K538" t="n">
        <v>0</v>
      </c>
      <c r="L538" t="n">
        <v>0</v>
      </c>
      <c r="M538" t="n">
        <v>0</v>
      </c>
      <c r="N538" t="n">
        <v>0</v>
      </c>
      <c r="O538" t="n">
        <v>0</v>
      </c>
      <c r="P538" t="n">
        <v>0</v>
      </c>
      <c r="Q538" t="n">
        <v>1</v>
      </c>
      <c r="R538" s="2" t="inlineStr">
        <is>
          <t>Skogsknipprot</t>
        </is>
      </c>
      <c r="S538">
        <f>HYPERLINK("https://klasma.github.io/Logging_0483/artfynd/A 11890-2023 artfynd.xlsx", "A 11890-2023")</f>
        <v/>
      </c>
      <c r="T538">
        <f>HYPERLINK("https://klasma.github.io/Logging_0483/kartor/A 11890-2023 karta.png", "A 11890-2023")</f>
        <v/>
      </c>
      <c r="V538">
        <f>HYPERLINK("https://klasma.github.io/Logging_0483/klagomål/A 11890-2023 FSC-klagomål.docx", "A 11890-2023")</f>
        <v/>
      </c>
      <c r="W538">
        <f>HYPERLINK("https://klasma.github.io/Logging_0483/klagomålsmail/A 11890-2023 FSC-klagomål mail.docx", "A 11890-2023")</f>
        <v/>
      </c>
      <c r="X538">
        <f>HYPERLINK("https://klasma.github.io/Logging_0483/tillsyn/A 11890-2023 tillsynsbegäran.docx", "A 11890-2023")</f>
        <v/>
      </c>
      <c r="Y538">
        <f>HYPERLINK("https://klasma.github.io/Logging_0483/tillsynsmail/A 11890-2023 tillsynsbegäran mail.docx", "A 11890-2023")</f>
        <v/>
      </c>
    </row>
    <row r="539" ht="15" customHeight="1">
      <c r="A539" t="inlineStr">
        <is>
          <t>A 12419-2023</t>
        </is>
      </c>
      <c r="B539" s="1" t="n">
        <v>44998</v>
      </c>
      <c r="C539" s="1" t="n">
        <v>45761</v>
      </c>
      <c r="D539" t="inlineStr">
        <is>
          <t>SÖDERMANLANDS LÄN</t>
        </is>
      </c>
      <c r="E539" t="inlineStr">
        <is>
          <t>FLEN</t>
        </is>
      </c>
      <c r="G539" t="n">
        <v>6.3</v>
      </c>
      <c r="H539" t="n">
        <v>1</v>
      </c>
      <c r="I539" t="n">
        <v>0</v>
      </c>
      <c r="J539" t="n">
        <v>1</v>
      </c>
      <c r="K539" t="n">
        <v>0</v>
      </c>
      <c r="L539" t="n">
        <v>0</v>
      </c>
      <c r="M539" t="n">
        <v>0</v>
      </c>
      <c r="N539" t="n">
        <v>0</v>
      </c>
      <c r="O539" t="n">
        <v>1</v>
      </c>
      <c r="P539" t="n">
        <v>0</v>
      </c>
      <c r="Q539" t="n">
        <v>1</v>
      </c>
      <c r="R539" s="2" t="inlineStr">
        <is>
          <t>Havsörn</t>
        </is>
      </c>
      <c r="S539">
        <f>HYPERLINK("https://klasma.github.io/Logging_0482/artfynd/A 12419-2023 artfynd.xlsx", "A 12419-2023")</f>
        <v/>
      </c>
      <c r="T539">
        <f>HYPERLINK("https://klasma.github.io/Logging_0482/kartor/A 12419-2023 karta.png", "A 12419-2023")</f>
        <v/>
      </c>
      <c r="V539">
        <f>HYPERLINK("https://klasma.github.io/Logging_0482/klagomål/A 12419-2023 FSC-klagomål.docx", "A 12419-2023")</f>
        <v/>
      </c>
      <c r="W539">
        <f>HYPERLINK("https://klasma.github.io/Logging_0482/klagomålsmail/A 12419-2023 FSC-klagomål mail.docx", "A 12419-2023")</f>
        <v/>
      </c>
      <c r="X539">
        <f>HYPERLINK("https://klasma.github.io/Logging_0482/tillsyn/A 12419-2023 tillsynsbegäran.docx", "A 12419-2023")</f>
        <v/>
      </c>
      <c r="Y539">
        <f>HYPERLINK("https://klasma.github.io/Logging_0482/tillsynsmail/A 12419-2023 tillsynsbegäran mail.docx", "A 12419-2023")</f>
        <v/>
      </c>
      <c r="Z539">
        <f>HYPERLINK("https://klasma.github.io/Logging_0482/fåglar/A 12419-2023 prioriterade fågelarter.docx", "A 12419-2023")</f>
        <v/>
      </c>
    </row>
    <row r="540" ht="15" customHeight="1">
      <c r="A540" t="inlineStr">
        <is>
          <t>A 12891-2023</t>
        </is>
      </c>
      <c r="B540" s="1" t="n">
        <v>45001</v>
      </c>
      <c r="C540" s="1" t="n">
        <v>45761</v>
      </c>
      <c r="D540" t="inlineStr">
        <is>
          <t>SÖDERMANLANDS LÄN</t>
        </is>
      </c>
      <c r="E540" t="inlineStr">
        <is>
          <t>NYKÖPING</t>
        </is>
      </c>
      <c r="F540" t="inlineStr">
        <is>
          <t>Holmen skog AB</t>
        </is>
      </c>
      <c r="G540" t="n">
        <v>6.9</v>
      </c>
      <c r="H540" t="n">
        <v>1</v>
      </c>
      <c r="I540" t="n">
        <v>0</v>
      </c>
      <c r="J540" t="n">
        <v>0</v>
      </c>
      <c r="K540" t="n">
        <v>0</v>
      </c>
      <c r="L540" t="n">
        <v>0</v>
      </c>
      <c r="M540" t="n">
        <v>0</v>
      </c>
      <c r="N540" t="n">
        <v>0</v>
      </c>
      <c r="O540" t="n">
        <v>0</v>
      </c>
      <c r="P540" t="n">
        <v>0</v>
      </c>
      <c r="Q540" t="n">
        <v>1</v>
      </c>
      <c r="R540" s="2" t="inlineStr">
        <is>
          <t>Revlummer</t>
        </is>
      </c>
      <c r="S540">
        <f>HYPERLINK("https://klasma.github.io/Logging_0480/artfynd/A 12891-2023 artfynd.xlsx", "A 12891-2023")</f>
        <v/>
      </c>
      <c r="T540">
        <f>HYPERLINK("https://klasma.github.io/Logging_0480/kartor/A 12891-2023 karta.png", "A 12891-2023")</f>
        <v/>
      </c>
      <c r="V540">
        <f>HYPERLINK("https://klasma.github.io/Logging_0480/klagomål/A 12891-2023 FSC-klagomål.docx", "A 12891-2023")</f>
        <v/>
      </c>
      <c r="W540">
        <f>HYPERLINK("https://klasma.github.io/Logging_0480/klagomålsmail/A 12891-2023 FSC-klagomål mail.docx", "A 12891-2023")</f>
        <v/>
      </c>
      <c r="X540">
        <f>HYPERLINK("https://klasma.github.io/Logging_0480/tillsyn/A 12891-2023 tillsynsbegäran.docx", "A 12891-2023")</f>
        <v/>
      </c>
      <c r="Y540">
        <f>HYPERLINK("https://klasma.github.io/Logging_0480/tillsynsmail/A 12891-2023 tillsynsbegäran mail.docx", "A 12891-2023")</f>
        <v/>
      </c>
    </row>
    <row r="541" ht="15" customHeight="1">
      <c r="A541" t="inlineStr">
        <is>
          <t>A 13858-2023</t>
        </is>
      </c>
      <c r="B541" s="1" t="n">
        <v>45007</v>
      </c>
      <c r="C541" s="1" t="n">
        <v>45761</v>
      </c>
      <c r="D541" t="inlineStr">
        <is>
          <t>SÖDERMANLANDS LÄN</t>
        </is>
      </c>
      <c r="E541" t="inlineStr">
        <is>
          <t>FLEN</t>
        </is>
      </c>
      <c r="F541" t="inlineStr">
        <is>
          <t>Holmen skog AB</t>
        </is>
      </c>
      <c r="G541" t="n">
        <v>0.8</v>
      </c>
      <c r="H541" t="n">
        <v>0</v>
      </c>
      <c r="I541" t="n">
        <v>0</v>
      </c>
      <c r="J541" t="n">
        <v>1</v>
      </c>
      <c r="K541" t="n">
        <v>0</v>
      </c>
      <c r="L541" t="n">
        <v>0</v>
      </c>
      <c r="M541" t="n">
        <v>0</v>
      </c>
      <c r="N541" t="n">
        <v>0</v>
      </c>
      <c r="O541" t="n">
        <v>1</v>
      </c>
      <c r="P541" t="n">
        <v>0</v>
      </c>
      <c r="Q541" t="n">
        <v>1</v>
      </c>
      <c r="R541" s="2" t="inlineStr">
        <is>
          <t>Svedjenäva</t>
        </is>
      </c>
      <c r="S541">
        <f>HYPERLINK("https://klasma.github.io/Logging_0482/artfynd/A 13858-2023 artfynd.xlsx", "A 13858-2023")</f>
        <v/>
      </c>
      <c r="T541">
        <f>HYPERLINK("https://klasma.github.io/Logging_0482/kartor/A 13858-2023 karta.png", "A 13858-2023")</f>
        <v/>
      </c>
      <c r="V541">
        <f>HYPERLINK("https://klasma.github.io/Logging_0482/klagomål/A 13858-2023 FSC-klagomål.docx", "A 13858-2023")</f>
        <v/>
      </c>
      <c r="W541">
        <f>HYPERLINK("https://klasma.github.io/Logging_0482/klagomålsmail/A 13858-2023 FSC-klagomål mail.docx", "A 13858-2023")</f>
        <v/>
      </c>
      <c r="X541">
        <f>HYPERLINK("https://klasma.github.io/Logging_0482/tillsyn/A 13858-2023 tillsynsbegäran.docx", "A 13858-2023")</f>
        <v/>
      </c>
      <c r="Y541">
        <f>HYPERLINK("https://klasma.github.io/Logging_0482/tillsynsmail/A 13858-2023 tillsynsbegäran mail.docx", "A 13858-2023")</f>
        <v/>
      </c>
    </row>
    <row r="542" ht="15" customHeight="1">
      <c r="A542" t="inlineStr">
        <is>
          <t>A 14013-2023</t>
        </is>
      </c>
      <c r="B542" s="1" t="n">
        <v>45007</v>
      </c>
      <c r="C542" s="1" t="n">
        <v>45761</v>
      </c>
      <c r="D542" t="inlineStr">
        <is>
          <t>SÖDERMANLANDS LÄN</t>
        </is>
      </c>
      <c r="E542" t="inlineStr">
        <is>
          <t>KATRINEHOLM</t>
        </is>
      </c>
      <c r="G542" t="n">
        <v>10.8</v>
      </c>
      <c r="H542" t="n">
        <v>1</v>
      </c>
      <c r="I542" t="n">
        <v>0</v>
      </c>
      <c r="J542" t="n">
        <v>1</v>
      </c>
      <c r="K542" t="n">
        <v>0</v>
      </c>
      <c r="L542" t="n">
        <v>0</v>
      </c>
      <c r="M542" t="n">
        <v>0</v>
      </c>
      <c r="N542" t="n">
        <v>0</v>
      </c>
      <c r="O542" t="n">
        <v>1</v>
      </c>
      <c r="P542" t="n">
        <v>0</v>
      </c>
      <c r="Q542" t="n">
        <v>1</v>
      </c>
      <c r="R542" s="2" t="inlineStr">
        <is>
          <t>Grönsångare</t>
        </is>
      </c>
      <c r="S542">
        <f>HYPERLINK("https://klasma.github.io/Logging_0483/artfynd/A 14013-2023 artfynd.xlsx", "A 14013-2023")</f>
        <v/>
      </c>
      <c r="T542">
        <f>HYPERLINK("https://klasma.github.io/Logging_0483/kartor/A 14013-2023 karta.png", "A 14013-2023")</f>
        <v/>
      </c>
      <c r="V542">
        <f>HYPERLINK("https://klasma.github.io/Logging_0483/klagomål/A 14013-2023 FSC-klagomål.docx", "A 14013-2023")</f>
        <v/>
      </c>
      <c r="W542">
        <f>HYPERLINK("https://klasma.github.io/Logging_0483/klagomålsmail/A 14013-2023 FSC-klagomål mail.docx", "A 14013-2023")</f>
        <v/>
      </c>
      <c r="X542">
        <f>HYPERLINK("https://klasma.github.io/Logging_0483/tillsyn/A 14013-2023 tillsynsbegäran.docx", "A 14013-2023")</f>
        <v/>
      </c>
      <c r="Y542">
        <f>HYPERLINK("https://klasma.github.io/Logging_0483/tillsynsmail/A 14013-2023 tillsynsbegäran mail.docx", "A 14013-2023")</f>
        <v/>
      </c>
      <c r="Z542">
        <f>HYPERLINK("https://klasma.github.io/Logging_0483/fåglar/A 14013-2023 prioriterade fågelarter.docx", "A 14013-2023")</f>
        <v/>
      </c>
    </row>
    <row r="543" ht="15" customHeight="1">
      <c r="A543" t="inlineStr">
        <is>
          <t>A 14327-2023</t>
        </is>
      </c>
      <c r="B543" s="1" t="n">
        <v>45012</v>
      </c>
      <c r="C543" s="1" t="n">
        <v>45761</v>
      </c>
      <c r="D543" t="inlineStr">
        <is>
          <t>SÖDERMANLANDS LÄN</t>
        </is>
      </c>
      <c r="E543" t="inlineStr">
        <is>
          <t>ESKILSTUNA</t>
        </is>
      </c>
      <c r="F543" t="inlineStr">
        <is>
          <t>Kommuner</t>
        </is>
      </c>
      <c r="G543" t="n">
        <v>2.6</v>
      </c>
      <c r="H543" t="n">
        <v>1</v>
      </c>
      <c r="I543" t="n">
        <v>0</v>
      </c>
      <c r="J543" t="n">
        <v>0</v>
      </c>
      <c r="K543" t="n">
        <v>0</v>
      </c>
      <c r="L543" t="n">
        <v>0</v>
      </c>
      <c r="M543" t="n">
        <v>0</v>
      </c>
      <c r="N543" t="n">
        <v>0</v>
      </c>
      <c r="O543" t="n">
        <v>0</v>
      </c>
      <c r="P543" t="n">
        <v>0</v>
      </c>
      <c r="Q543" t="n">
        <v>1</v>
      </c>
      <c r="R543" s="2" t="inlineStr">
        <is>
          <t>Mattlummer</t>
        </is>
      </c>
      <c r="S543">
        <f>HYPERLINK("https://klasma.github.io/Logging_0484/artfynd/A 14327-2023 artfynd.xlsx", "A 14327-2023")</f>
        <v/>
      </c>
      <c r="T543">
        <f>HYPERLINK("https://klasma.github.io/Logging_0484/kartor/A 14327-2023 karta.png", "A 14327-2023")</f>
        <v/>
      </c>
      <c r="V543">
        <f>HYPERLINK("https://klasma.github.io/Logging_0484/klagomål/A 14327-2023 FSC-klagomål.docx", "A 14327-2023")</f>
        <v/>
      </c>
      <c r="W543">
        <f>HYPERLINK("https://klasma.github.io/Logging_0484/klagomålsmail/A 14327-2023 FSC-klagomål mail.docx", "A 14327-2023")</f>
        <v/>
      </c>
      <c r="X543">
        <f>HYPERLINK("https://klasma.github.io/Logging_0484/tillsyn/A 14327-2023 tillsynsbegäran.docx", "A 14327-2023")</f>
        <v/>
      </c>
      <c r="Y543">
        <f>HYPERLINK("https://klasma.github.io/Logging_0484/tillsynsmail/A 14327-2023 tillsynsbegäran mail.docx", "A 14327-2023")</f>
        <v/>
      </c>
    </row>
    <row r="544" ht="15" customHeight="1">
      <c r="A544" t="inlineStr">
        <is>
          <t>A 16078-2023</t>
        </is>
      </c>
      <c r="B544" s="1" t="n">
        <v>45027</v>
      </c>
      <c r="C544" s="1" t="n">
        <v>45761</v>
      </c>
      <c r="D544" t="inlineStr">
        <is>
          <t>SÖDERMANLANDS LÄN</t>
        </is>
      </c>
      <c r="E544" t="inlineStr">
        <is>
          <t>NYKÖPING</t>
        </is>
      </c>
      <c r="G544" t="n">
        <v>0.9</v>
      </c>
      <c r="H544" t="n">
        <v>0</v>
      </c>
      <c r="I544" t="n">
        <v>0</v>
      </c>
      <c r="J544" t="n">
        <v>1</v>
      </c>
      <c r="K544" t="n">
        <v>0</v>
      </c>
      <c r="L544" t="n">
        <v>0</v>
      </c>
      <c r="M544" t="n">
        <v>0</v>
      </c>
      <c r="N544" t="n">
        <v>0</v>
      </c>
      <c r="O544" t="n">
        <v>1</v>
      </c>
      <c r="P544" t="n">
        <v>0</v>
      </c>
      <c r="Q544" t="n">
        <v>1</v>
      </c>
      <c r="R544" s="2" t="inlineStr">
        <is>
          <t>Rödlånke</t>
        </is>
      </c>
      <c r="S544">
        <f>HYPERLINK("https://klasma.github.io/Logging_0480/artfynd/A 16078-2023 artfynd.xlsx", "A 16078-2023")</f>
        <v/>
      </c>
      <c r="T544">
        <f>HYPERLINK("https://klasma.github.io/Logging_0480/kartor/A 16078-2023 karta.png", "A 16078-2023")</f>
        <v/>
      </c>
      <c r="V544">
        <f>HYPERLINK("https://klasma.github.io/Logging_0480/klagomål/A 16078-2023 FSC-klagomål.docx", "A 16078-2023")</f>
        <v/>
      </c>
      <c r="W544">
        <f>HYPERLINK("https://klasma.github.io/Logging_0480/klagomålsmail/A 16078-2023 FSC-klagomål mail.docx", "A 16078-2023")</f>
        <v/>
      </c>
      <c r="X544">
        <f>HYPERLINK("https://klasma.github.io/Logging_0480/tillsyn/A 16078-2023 tillsynsbegäran.docx", "A 16078-2023")</f>
        <v/>
      </c>
      <c r="Y544">
        <f>HYPERLINK("https://klasma.github.io/Logging_0480/tillsynsmail/A 16078-2023 tillsynsbegäran mail.docx", "A 16078-2023")</f>
        <v/>
      </c>
    </row>
    <row r="545" ht="15" customHeight="1">
      <c r="A545" t="inlineStr">
        <is>
          <t>A 17653-2023</t>
        </is>
      </c>
      <c r="B545" s="1" t="n">
        <v>45036</v>
      </c>
      <c r="C545" s="1" t="n">
        <v>45761</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Bronspraktbagge</t>
        </is>
      </c>
      <c r="S545">
        <f>HYPERLINK("https://klasma.github.io/Logging_0461/artfynd/A 17653-2023 artfynd.xlsx", "A 17653-2023")</f>
        <v/>
      </c>
      <c r="T545">
        <f>HYPERLINK("https://klasma.github.io/Logging_0461/kartor/A 17653-2023 karta.png", "A 17653-2023")</f>
        <v/>
      </c>
      <c r="V545">
        <f>HYPERLINK("https://klasma.github.io/Logging_0461/klagomål/A 17653-2023 FSC-klagomål.docx", "A 17653-2023")</f>
        <v/>
      </c>
      <c r="W545">
        <f>HYPERLINK("https://klasma.github.io/Logging_0461/klagomålsmail/A 17653-2023 FSC-klagomål mail.docx", "A 17653-2023")</f>
        <v/>
      </c>
      <c r="X545">
        <f>HYPERLINK("https://klasma.github.io/Logging_0461/tillsyn/A 17653-2023 tillsynsbegäran.docx", "A 17653-2023")</f>
        <v/>
      </c>
      <c r="Y545">
        <f>HYPERLINK("https://klasma.github.io/Logging_0461/tillsynsmail/A 17653-2023 tillsynsbegäran mail.docx", "A 17653-2023")</f>
        <v/>
      </c>
    </row>
    <row r="546" ht="15" customHeight="1">
      <c r="A546" t="inlineStr">
        <is>
          <t>A 19627-2023</t>
        </is>
      </c>
      <c r="B546" s="1" t="n">
        <v>45050</v>
      </c>
      <c r="C546" s="1" t="n">
        <v>45761</v>
      </c>
      <c r="D546" t="inlineStr">
        <is>
          <t>SÖDERMANLANDS LÄN</t>
        </is>
      </c>
      <c r="E546" t="inlineStr">
        <is>
          <t>ESKILSTUNA</t>
        </is>
      </c>
      <c r="F546" t="inlineStr">
        <is>
          <t>Allmännings- och besparingsskogar</t>
        </is>
      </c>
      <c r="G546" t="n">
        <v>2.7</v>
      </c>
      <c r="H546" t="n">
        <v>1</v>
      </c>
      <c r="I546" t="n">
        <v>0</v>
      </c>
      <c r="J546" t="n">
        <v>0</v>
      </c>
      <c r="K546" t="n">
        <v>0</v>
      </c>
      <c r="L546" t="n">
        <v>0</v>
      </c>
      <c r="M546" t="n">
        <v>0</v>
      </c>
      <c r="N546" t="n">
        <v>0</v>
      </c>
      <c r="O546" t="n">
        <v>0</v>
      </c>
      <c r="P546" t="n">
        <v>0</v>
      </c>
      <c r="Q546" t="n">
        <v>1</v>
      </c>
      <c r="R546" s="2" t="inlineStr">
        <is>
          <t>Revlummer</t>
        </is>
      </c>
      <c r="S546">
        <f>HYPERLINK("https://klasma.github.io/Logging_0484/artfynd/A 19627-2023 artfynd.xlsx", "A 19627-2023")</f>
        <v/>
      </c>
      <c r="T546">
        <f>HYPERLINK("https://klasma.github.io/Logging_0484/kartor/A 19627-2023 karta.png", "A 19627-2023")</f>
        <v/>
      </c>
      <c r="V546">
        <f>HYPERLINK("https://klasma.github.io/Logging_0484/klagomål/A 19627-2023 FSC-klagomål.docx", "A 19627-2023")</f>
        <v/>
      </c>
      <c r="W546">
        <f>HYPERLINK("https://klasma.github.io/Logging_0484/klagomålsmail/A 19627-2023 FSC-klagomål mail.docx", "A 19627-2023")</f>
        <v/>
      </c>
      <c r="X546">
        <f>HYPERLINK("https://klasma.github.io/Logging_0484/tillsyn/A 19627-2023 tillsynsbegäran.docx", "A 19627-2023")</f>
        <v/>
      </c>
      <c r="Y546">
        <f>HYPERLINK("https://klasma.github.io/Logging_0484/tillsynsmail/A 19627-2023 tillsynsbegäran mail.docx", "A 19627-2023")</f>
        <v/>
      </c>
    </row>
    <row r="547" ht="15" customHeight="1">
      <c r="A547" t="inlineStr">
        <is>
          <t>A 20325-2023</t>
        </is>
      </c>
      <c r="B547" s="1" t="n">
        <v>45056</v>
      </c>
      <c r="C547" s="1" t="n">
        <v>45761</v>
      </c>
      <c r="D547" t="inlineStr">
        <is>
          <t>SÖDERMANLANDS LÄN</t>
        </is>
      </c>
      <c r="E547" t="inlineStr">
        <is>
          <t>NYKÖPING</t>
        </is>
      </c>
      <c r="G547" t="n">
        <v>0.2</v>
      </c>
      <c r="H547" t="n">
        <v>0</v>
      </c>
      <c r="I547" t="n">
        <v>1</v>
      </c>
      <c r="J547" t="n">
        <v>0</v>
      </c>
      <c r="K547" t="n">
        <v>0</v>
      </c>
      <c r="L547" t="n">
        <v>0</v>
      </c>
      <c r="M547" t="n">
        <v>0</v>
      </c>
      <c r="N547" t="n">
        <v>0</v>
      </c>
      <c r="O547" t="n">
        <v>0</v>
      </c>
      <c r="P547" t="n">
        <v>0</v>
      </c>
      <c r="Q547" t="n">
        <v>1</v>
      </c>
      <c r="R547" s="2" t="inlineStr">
        <is>
          <t>Kamjordstjärna</t>
        </is>
      </c>
      <c r="S547">
        <f>HYPERLINK("https://klasma.github.io/Logging_0480/artfynd/A 20325-2023 artfynd.xlsx", "A 20325-2023")</f>
        <v/>
      </c>
      <c r="T547">
        <f>HYPERLINK("https://klasma.github.io/Logging_0480/kartor/A 20325-2023 karta.png", "A 20325-2023")</f>
        <v/>
      </c>
      <c r="V547">
        <f>HYPERLINK("https://klasma.github.io/Logging_0480/klagomål/A 20325-2023 FSC-klagomål.docx", "A 20325-2023")</f>
        <v/>
      </c>
      <c r="W547">
        <f>HYPERLINK("https://klasma.github.io/Logging_0480/klagomålsmail/A 20325-2023 FSC-klagomål mail.docx", "A 20325-2023")</f>
        <v/>
      </c>
      <c r="X547">
        <f>HYPERLINK("https://klasma.github.io/Logging_0480/tillsyn/A 20325-2023 tillsynsbegäran.docx", "A 20325-2023")</f>
        <v/>
      </c>
      <c r="Y547">
        <f>HYPERLINK("https://klasma.github.io/Logging_0480/tillsynsmail/A 20325-2023 tillsynsbegäran mail.docx", "A 20325-2023")</f>
        <v/>
      </c>
    </row>
    <row r="548" ht="15" customHeight="1">
      <c r="A548" t="inlineStr">
        <is>
          <t>A 23637-2023</t>
        </is>
      </c>
      <c r="B548" s="1" t="n">
        <v>45077</v>
      </c>
      <c r="C548" s="1" t="n">
        <v>45761</v>
      </c>
      <c r="D548" t="inlineStr">
        <is>
          <t>SÖDERMANLANDS LÄN</t>
        </is>
      </c>
      <c r="E548" t="inlineStr">
        <is>
          <t>ESKILSTUNA</t>
        </is>
      </c>
      <c r="G548" t="n">
        <v>15.8</v>
      </c>
      <c r="H548" t="n">
        <v>0</v>
      </c>
      <c r="I548" t="n">
        <v>0</v>
      </c>
      <c r="J548" t="n">
        <v>0</v>
      </c>
      <c r="K548" t="n">
        <v>1</v>
      </c>
      <c r="L548" t="n">
        <v>0</v>
      </c>
      <c r="M548" t="n">
        <v>0</v>
      </c>
      <c r="N548" t="n">
        <v>0</v>
      </c>
      <c r="O548" t="n">
        <v>1</v>
      </c>
      <c r="P548" t="n">
        <v>1</v>
      </c>
      <c r="Q548" t="n">
        <v>1</v>
      </c>
      <c r="R548" s="2" t="inlineStr">
        <is>
          <t>Violett fingersvamp</t>
        </is>
      </c>
      <c r="S548">
        <f>HYPERLINK("https://klasma.github.io/Logging_0484/artfynd/A 23637-2023 artfynd.xlsx", "A 23637-2023")</f>
        <v/>
      </c>
      <c r="T548">
        <f>HYPERLINK("https://klasma.github.io/Logging_0484/kartor/A 23637-2023 karta.png", "A 23637-2023")</f>
        <v/>
      </c>
      <c r="V548">
        <f>HYPERLINK("https://klasma.github.io/Logging_0484/klagomål/A 23637-2023 FSC-klagomål.docx", "A 23637-2023")</f>
        <v/>
      </c>
      <c r="W548">
        <f>HYPERLINK("https://klasma.github.io/Logging_0484/klagomålsmail/A 23637-2023 FSC-klagomål mail.docx", "A 23637-2023")</f>
        <v/>
      </c>
      <c r="X548">
        <f>HYPERLINK("https://klasma.github.io/Logging_0484/tillsyn/A 23637-2023 tillsynsbegäran.docx", "A 23637-2023")</f>
        <v/>
      </c>
      <c r="Y548">
        <f>HYPERLINK("https://klasma.github.io/Logging_0484/tillsynsmail/A 23637-2023 tillsynsbegäran mail.docx", "A 23637-2023")</f>
        <v/>
      </c>
    </row>
    <row r="549" ht="15" customHeight="1">
      <c r="A549" t="inlineStr">
        <is>
          <t>A 23568-2023</t>
        </is>
      </c>
      <c r="B549" s="1" t="n">
        <v>45077</v>
      </c>
      <c r="C549" s="1" t="n">
        <v>45761</v>
      </c>
      <c r="D549" t="inlineStr">
        <is>
          <t>SÖDERMANLANDS LÄN</t>
        </is>
      </c>
      <c r="E549" t="inlineStr">
        <is>
          <t>KATRINEHOLM</t>
        </is>
      </c>
      <c r="F549" t="inlineStr">
        <is>
          <t>Kommuner</t>
        </is>
      </c>
      <c r="G549" t="n">
        <v>1.4</v>
      </c>
      <c r="H549" t="n">
        <v>0</v>
      </c>
      <c r="I549" t="n">
        <v>0</v>
      </c>
      <c r="J549" t="n">
        <v>1</v>
      </c>
      <c r="K549" t="n">
        <v>0</v>
      </c>
      <c r="L549" t="n">
        <v>0</v>
      </c>
      <c r="M549" t="n">
        <v>0</v>
      </c>
      <c r="N549" t="n">
        <v>0</v>
      </c>
      <c r="O549" t="n">
        <v>1</v>
      </c>
      <c r="P549" t="n">
        <v>0</v>
      </c>
      <c r="Q549" t="n">
        <v>1</v>
      </c>
      <c r="R549" s="2" t="inlineStr">
        <is>
          <t>Fyrflikig jordstjärna</t>
        </is>
      </c>
      <c r="S549">
        <f>HYPERLINK("https://klasma.github.io/Logging_0483/artfynd/A 23568-2023 artfynd.xlsx", "A 23568-2023")</f>
        <v/>
      </c>
      <c r="T549">
        <f>HYPERLINK("https://klasma.github.io/Logging_0483/kartor/A 23568-2023 karta.png", "A 23568-2023")</f>
        <v/>
      </c>
      <c r="V549">
        <f>HYPERLINK("https://klasma.github.io/Logging_0483/klagomål/A 23568-2023 FSC-klagomål.docx", "A 23568-2023")</f>
        <v/>
      </c>
      <c r="W549">
        <f>HYPERLINK("https://klasma.github.io/Logging_0483/klagomålsmail/A 23568-2023 FSC-klagomål mail.docx", "A 23568-2023")</f>
        <v/>
      </c>
      <c r="X549">
        <f>HYPERLINK("https://klasma.github.io/Logging_0483/tillsyn/A 23568-2023 tillsynsbegäran.docx", "A 23568-2023")</f>
        <v/>
      </c>
      <c r="Y549">
        <f>HYPERLINK("https://klasma.github.io/Logging_0483/tillsynsmail/A 23568-2023 tillsynsbegäran mail.docx", "A 23568-2023")</f>
        <v/>
      </c>
    </row>
    <row r="550" ht="15" customHeight="1">
      <c r="A550" t="inlineStr">
        <is>
          <t>A 25123-2023</t>
        </is>
      </c>
      <c r="B550" s="1" t="n">
        <v>45086</v>
      </c>
      <c r="C550" s="1" t="n">
        <v>45761</v>
      </c>
      <c r="D550" t="inlineStr">
        <is>
          <t>SÖDERMANLANDS LÄN</t>
        </is>
      </c>
      <c r="E550" t="inlineStr">
        <is>
          <t>ESKILSTUNA</t>
        </is>
      </c>
      <c r="F550" t="inlineStr">
        <is>
          <t>Sveaskog</t>
        </is>
      </c>
      <c r="G550" t="n">
        <v>1</v>
      </c>
      <c r="H550" t="n">
        <v>1</v>
      </c>
      <c r="I550" t="n">
        <v>0</v>
      </c>
      <c r="J550" t="n">
        <v>0</v>
      </c>
      <c r="K550" t="n">
        <v>0</v>
      </c>
      <c r="L550" t="n">
        <v>0</v>
      </c>
      <c r="M550" t="n">
        <v>0</v>
      </c>
      <c r="N550" t="n">
        <v>0</v>
      </c>
      <c r="O550" t="n">
        <v>0</v>
      </c>
      <c r="P550" t="n">
        <v>0</v>
      </c>
      <c r="Q550" t="n">
        <v>1</v>
      </c>
      <c r="R550" s="2" t="inlineStr">
        <is>
          <t>Mattlummer</t>
        </is>
      </c>
      <c r="S550">
        <f>HYPERLINK("https://klasma.github.io/Logging_0484/artfynd/A 25123-2023 artfynd.xlsx", "A 25123-2023")</f>
        <v/>
      </c>
      <c r="T550">
        <f>HYPERLINK("https://klasma.github.io/Logging_0484/kartor/A 25123-2023 karta.png", "A 25123-2023")</f>
        <v/>
      </c>
      <c r="V550">
        <f>HYPERLINK("https://klasma.github.io/Logging_0484/klagomål/A 25123-2023 FSC-klagomål.docx", "A 25123-2023")</f>
        <v/>
      </c>
      <c r="W550">
        <f>HYPERLINK("https://klasma.github.io/Logging_0484/klagomålsmail/A 25123-2023 FSC-klagomål mail.docx", "A 25123-2023")</f>
        <v/>
      </c>
      <c r="X550">
        <f>HYPERLINK("https://klasma.github.io/Logging_0484/tillsyn/A 25123-2023 tillsynsbegäran.docx", "A 25123-2023")</f>
        <v/>
      </c>
      <c r="Y550">
        <f>HYPERLINK("https://klasma.github.io/Logging_0484/tillsynsmail/A 25123-2023 tillsynsbegäran mail.docx", "A 25123-2023")</f>
        <v/>
      </c>
    </row>
    <row r="551" ht="15" customHeight="1">
      <c r="A551" t="inlineStr">
        <is>
          <t>A 26114-2023</t>
        </is>
      </c>
      <c r="B551" s="1" t="n">
        <v>45091</v>
      </c>
      <c r="C551" s="1" t="n">
        <v>45761</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26114-2023 artfynd.xlsx", "A 26114-2023")</f>
        <v/>
      </c>
      <c r="T551">
        <f>HYPERLINK("https://klasma.github.io/Logging_0484/kartor/A 26114-2023 karta.png", "A 26114-2023")</f>
        <v/>
      </c>
      <c r="V551">
        <f>HYPERLINK("https://klasma.github.io/Logging_0484/klagomål/A 26114-2023 FSC-klagomål.docx", "A 26114-2023")</f>
        <v/>
      </c>
      <c r="W551">
        <f>HYPERLINK("https://klasma.github.io/Logging_0484/klagomålsmail/A 26114-2023 FSC-klagomål mail.docx", "A 26114-2023")</f>
        <v/>
      </c>
      <c r="X551">
        <f>HYPERLINK("https://klasma.github.io/Logging_0484/tillsyn/A 26114-2023 tillsynsbegäran.docx", "A 26114-2023")</f>
        <v/>
      </c>
      <c r="Y551">
        <f>HYPERLINK("https://klasma.github.io/Logging_0484/tillsynsmail/A 26114-2023 tillsynsbegäran mail.docx", "A 26114-2023")</f>
        <v/>
      </c>
    </row>
    <row r="552" ht="15" customHeight="1">
      <c r="A552" t="inlineStr">
        <is>
          <t>A 26133-2023</t>
        </is>
      </c>
      <c r="B552" s="1" t="n">
        <v>45091</v>
      </c>
      <c r="C552" s="1" t="n">
        <v>45761</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26133-2023 artfynd.xlsx", "A 26133-2023")</f>
        <v/>
      </c>
      <c r="T552">
        <f>HYPERLINK("https://klasma.github.io/Logging_0484/kartor/A 26133-2023 karta.png", "A 26133-2023")</f>
        <v/>
      </c>
      <c r="V552">
        <f>HYPERLINK("https://klasma.github.io/Logging_0484/klagomål/A 26133-2023 FSC-klagomål.docx", "A 26133-2023")</f>
        <v/>
      </c>
      <c r="W552">
        <f>HYPERLINK("https://klasma.github.io/Logging_0484/klagomålsmail/A 26133-2023 FSC-klagomål mail.docx", "A 26133-2023")</f>
        <v/>
      </c>
      <c r="X552">
        <f>HYPERLINK("https://klasma.github.io/Logging_0484/tillsyn/A 26133-2023 tillsynsbegäran.docx", "A 26133-2023")</f>
        <v/>
      </c>
      <c r="Y552">
        <f>HYPERLINK("https://klasma.github.io/Logging_0484/tillsynsmail/A 26133-2023 tillsynsbegäran mail.docx", "A 26133-2023")</f>
        <v/>
      </c>
    </row>
    <row r="553" ht="15" customHeight="1">
      <c r="A553" t="inlineStr">
        <is>
          <t>A 26099-2023</t>
        </is>
      </c>
      <c r="B553" s="1" t="n">
        <v>45091</v>
      </c>
      <c r="C553" s="1" t="n">
        <v>45761</v>
      </c>
      <c r="D553" t="inlineStr">
        <is>
          <t>SÖDERMANLANDS LÄN</t>
        </is>
      </c>
      <c r="E553" t="inlineStr">
        <is>
          <t>ESKILSTUNA</t>
        </is>
      </c>
      <c r="F553" t="inlineStr">
        <is>
          <t>Sveaskog</t>
        </is>
      </c>
      <c r="G553" t="n">
        <v>1.2</v>
      </c>
      <c r="H553" t="n">
        <v>1</v>
      </c>
      <c r="I553" t="n">
        <v>0</v>
      </c>
      <c r="J553" t="n">
        <v>0</v>
      </c>
      <c r="K553" t="n">
        <v>0</v>
      </c>
      <c r="L553" t="n">
        <v>1</v>
      </c>
      <c r="M553" t="n">
        <v>0</v>
      </c>
      <c r="N553" t="n">
        <v>0</v>
      </c>
      <c r="O553" t="n">
        <v>1</v>
      </c>
      <c r="P553" t="n">
        <v>1</v>
      </c>
      <c r="Q553" t="n">
        <v>1</v>
      </c>
      <c r="R553" s="2" t="inlineStr">
        <is>
          <t>Tornseglare</t>
        </is>
      </c>
      <c r="S553">
        <f>HYPERLINK("https://klasma.github.io/Logging_0484/artfynd/A 26099-2023 artfynd.xlsx", "A 26099-2023")</f>
        <v/>
      </c>
      <c r="T553">
        <f>HYPERLINK("https://klasma.github.io/Logging_0484/kartor/A 26099-2023 karta.png", "A 26099-2023")</f>
        <v/>
      </c>
      <c r="V553">
        <f>HYPERLINK("https://klasma.github.io/Logging_0484/klagomål/A 26099-2023 FSC-klagomål.docx", "A 26099-2023")</f>
        <v/>
      </c>
      <c r="W553">
        <f>HYPERLINK("https://klasma.github.io/Logging_0484/klagomålsmail/A 26099-2023 FSC-klagomål mail.docx", "A 26099-2023")</f>
        <v/>
      </c>
      <c r="X553">
        <f>HYPERLINK("https://klasma.github.io/Logging_0484/tillsyn/A 26099-2023 tillsynsbegäran.docx", "A 26099-2023")</f>
        <v/>
      </c>
      <c r="Y553">
        <f>HYPERLINK("https://klasma.github.io/Logging_0484/tillsynsmail/A 26099-2023 tillsynsbegäran mail.docx", "A 26099-2023")</f>
        <v/>
      </c>
      <c r="Z553">
        <f>HYPERLINK("https://klasma.github.io/Logging_0484/fåglar/A 26099-2023 prioriterade fågelarter.docx", "A 26099-2023")</f>
        <v/>
      </c>
    </row>
    <row r="554" ht="15" customHeight="1">
      <c r="A554" t="inlineStr">
        <is>
          <t>A 26950-2023</t>
        </is>
      </c>
      <c r="B554" s="1" t="n">
        <v>45091</v>
      </c>
      <c r="C554" s="1" t="n">
        <v>45761</v>
      </c>
      <c r="D554" t="inlineStr">
        <is>
          <t>SÖDERMANLANDS LÄN</t>
        </is>
      </c>
      <c r="E554" t="inlineStr">
        <is>
          <t>KATRINEHOLM</t>
        </is>
      </c>
      <c r="G554" t="n">
        <v>13.5</v>
      </c>
      <c r="H554" t="n">
        <v>1</v>
      </c>
      <c r="I554" t="n">
        <v>0</v>
      </c>
      <c r="J554" t="n">
        <v>1</v>
      </c>
      <c r="K554" t="n">
        <v>0</v>
      </c>
      <c r="L554" t="n">
        <v>0</v>
      </c>
      <c r="M554" t="n">
        <v>0</v>
      </c>
      <c r="N554" t="n">
        <v>0</v>
      </c>
      <c r="O554" t="n">
        <v>1</v>
      </c>
      <c r="P554" t="n">
        <v>0</v>
      </c>
      <c r="Q554" t="n">
        <v>1</v>
      </c>
      <c r="R554" s="2" t="inlineStr">
        <is>
          <t>Havsörn</t>
        </is>
      </c>
      <c r="S554">
        <f>HYPERLINK("https://klasma.github.io/Logging_0483/artfynd/A 26950-2023 artfynd.xlsx", "A 26950-2023")</f>
        <v/>
      </c>
      <c r="T554">
        <f>HYPERLINK("https://klasma.github.io/Logging_0483/kartor/A 26950-2023 karta.png", "A 26950-2023")</f>
        <v/>
      </c>
      <c r="V554">
        <f>HYPERLINK("https://klasma.github.io/Logging_0483/klagomål/A 26950-2023 FSC-klagomål.docx", "A 26950-2023")</f>
        <v/>
      </c>
      <c r="W554">
        <f>HYPERLINK("https://klasma.github.io/Logging_0483/klagomålsmail/A 26950-2023 FSC-klagomål mail.docx", "A 26950-2023")</f>
        <v/>
      </c>
      <c r="X554">
        <f>HYPERLINK("https://klasma.github.io/Logging_0483/tillsyn/A 26950-2023 tillsynsbegäran.docx", "A 26950-2023")</f>
        <v/>
      </c>
      <c r="Y554">
        <f>HYPERLINK("https://klasma.github.io/Logging_0483/tillsynsmail/A 26950-2023 tillsynsbegäran mail.docx", "A 26950-2023")</f>
        <v/>
      </c>
      <c r="Z554">
        <f>HYPERLINK("https://klasma.github.io/Logging_0483/fåglar/A 26950-2023 prioriterade fågelarter.docx", "A 26950-2023")</f>
        <v/>
      </c>
    </row>
    <row r="555" ht="15" customHeight="1">
      <c r="A555" t="inlineStr">
        <is>
          <t>A 27580-2023</t>
        </is>
      </c>
      <c r="B555" s="1" t="n">
        <v>45097</v>
      </c>
      <c r="C555" s="1" t="n">
        <v>45761</v>
      </c>
      <c r="D555" t="inlineStr">
        <is>
          <t>SÖDERMANLANDS LÄN</t>
        </is>
      </c>
      <c r="E555" t="inlineStr">
        <is>
          <t>ESKILSTUNA</t>
        </is>
      </c>
      <c r="F555" t="inlineStr">
        <is>
          <t>Sveaskog</t>
        </is>
      </c>
      <c r="G555" t="n">
        <v>9.199999999999999</v>
      </c>
      <c r="H555" t="n">
        <v>0</v>
      </c>
      <c r="I555" t="n">
        <v>0</v>
      </c>
      <c r="J555" t="n">
        <v>1</v>
      </c>
      <c r="K555" t="n">
        <v>0</v>
      </c>
      <c r="L555" t="n">
        <v>0</v>
      </c>
      <c r="M555" t="n">
        <v>0</v>
      </c>
      <c r="N555" t="n">
        <v>0</v>
      </c>
      <c r="O555" t="n">
        <v>1</v>
      </c>
      <c r="P555" t="n">
        <v>0</v>
      </c>
      <c r="Q555" t="n">
        <v>1</v>
      </c>
      <c r="R555" s="2" t="inlineStr">
        <is>
          <t>Motaggsvamp</t>
        </is>
      </c>
      <c r="S555">
        <f>HYPERLINK("https://klasma.github.io/Logging_0484/artfynd/A 27580-2023 artfynd.xlsx", "A 27580-2023")</f>
        <v/>
      </c>
      <c r="T555">
        <f>HYPERLINK("https://klasma.github.io/Logging_0484/kartor/A 27580-2023 karta.png", "A 27580-2023")</f>
        <v/>
      </c>
      <c r="V555">
        <f>HYPERLINK("https://klasma.github.io/Logging_0484/klagomål/A 27580-2023 FSC-klagomål.docx", "A 27580-2023")</f>
        <v/>
      </c>
      <c r="W555">
        <f>HYPERLINK("https://klasma.github.io/Logging_0484/klagomålsmail/A 27580-2023 FSC-klagomål mail.docx", "A 27580-2023")</f>
        <v/>
      </c>
      <c r="X555">
        <f>HYPERLINK("https://klasma.github.io/Logging_0484/tillsyn/A 27580-2023 tillsynsbegäran.docx", "A 27580-2023")</f>
        <v/>
      </c>
      <c r="Y555">
        <f>HYPERLINK("https://klasma.github.io/Logging_0484/tillsynsmail/A 27580-2023 tillsynsbegäran mail.docx", "A 27580-2023")</f>
        <v/>
      </c>
    </row>
    <row r="556" ht="15" customHeight="1">
      <c r="A556" t="inlineStr">
        <is>
          <t>A 30260-2023</t>
        </is>
      </c>
      <c r="B556" s="1" t="n">
        <v>45099</v>
      </c>
      <c r="C556" s="1" t="n">
        <v>45761</v>
      </c>
      <c r="D556" t="inlineStr">
        <is>
          <t>SÖDERMANLANDS LÄN</t>
        </is>
      </c>
      <c r="E556" t="inlineStr">
        <is>
          <t>KATRINEHOLM</t>
        </is>
      </c>
      <c r="G556" t="n">
        <v>4.8</v>
      </c>
      <c r="H556" t="n">
        <v>1</v>
      </c>
      <c r="I556" t="n">
        <v>0</v>
      </c>
      <c r="J556" t="n">
        <v>0</v>
      </c>
      <c r="K556" t="n">
        <v>0</v>
      </c>
      <c r="L556" t="n">
        <v>0</v>
      </c>
      <c r="M556" t="n">
        <v>0</v>
      </c>
      <c r="N556" t="n">
        <v>0</v>
      </c>
      <c r="O556" t="n">
        <v>0</v>
      </c>
      <c r="P556" t="n">
        <v>0</v>
      </c>
      <c r="Q556" t="n">
        <v>1</v>
      </c>
      <c r="R556" s="2" t="inlineStr">
        <is>
          <t>Fläcknycklar</t>
        </is>
      </c>
      <c r="S556">
        <f>HYPERLINK("https://klasma.github.io/Logging_0483/artfynd/A 30260-2023 artfynd.xlsx", "A 30260-2023")</f>
        <v/>
      </c>
      <c r="T556">
        <f>HYPERLINK("https://klasma.github.io/Logging_0483/kartor/A 30260-2023 karta.png", "A 30260-2023")</f>
        <v/>
      </c>
      <c r="V556">
        <f>HYPERLINK("https://klasma.github.io/Logging_0483/klagomål/A 30260-2023 FSC-klagomål.docx", "A 30260-2023")</f>
        <v/>
      </c>
      <c r="W556">
        <f>HYPERLINK("https://klasma.github.io/Logging_0483/klagomålsmail/A 30260-2023 FSC-klagomål mail.docx", "A 30260-2023")</f>
        <v/>
      </c>
      <c r="X556">
        <f>HYPERLINK("https://klasma.github.io/Logging_0483/tillsyn/A 30260-2023 tillsynsbegäran.docx", "A 30260-2023")</f>
        <v/>
      </c>
      <c r="Y556">
        <f>HYPERLINK("https://klasma.github.io/Logging_0483/tillsynsmail/A 30260-2023 tillsynsbegäran mail.docx", "A 30260-2023")</f>
        <v/>
      </c>
    </row>
    <row r="557" ht="15" customHeight="1">
      <c r="A557" t="inlineStr">
        <is>
          <t>A 30229-2023</t>
        </is>
      </c>
      <c r="B557" s="1" t="n">
        <v>45099</v>
      </c>
      <c r="C557" s="1" t="n">
        <v>45761</v>
      </c>
      <c r="D557" t="inlineStr">
        <is>
          <t>SÖDERMANLANDS LÄN</t>
        </is>
      </c>
      <c r="E557" t="inlineStr">
        <is>
          <t>KATRINEHOLM</t>
        </is>
      </c>
      <c r="G557" t="n">
        <v>11.8</v>
      </c>
      <c r="H557" t="n">
        <v>0</v>
      </c>
      <c r="I557" t="n">
        <v>0</v>
      </c>
      <c r="J557" t="n">
        <v>1</v>
      </c>
      <c r="K557" t="n">
        <v>0</v>
      </c>
      <c r="L557" t="n">
        <v>0</v>
      </c>
      <c r="M557" t="n">
        <v>0</v>
      </c>
      <c r="N557" t="n">
        <v>0</v>
      </c>
      <c r="O557" t="n">
        <v>1</v>
      </c>
      <c r="P557" t="n">
        <v>0</v>
      </c>
      <c r="Q557" t="n">
        <v>1</v>
      </c>
      <c r="R557" s="2" t="inlineStr">
        <is>
          <t>Silversmygare</t>
        </is>
      </c>
      <c r="S557">
        <f>HYPERLINK("https://klasma.github.io/Logging_0483/artfynd/A 30229-2023 artfynd.xlsx", "A 30229-2023")</f>
        <v/>
      </c>
      <c r="T557">
        <f>HYPERLINK("https://klasma.github.io/Logging_0483/kartor/A 30229-2023 karta.png", "A 30229-2023")</f>
        <v/>
      </c>
      <c r="V557">
        <f>HYPERLINK("https://klasma.github.io/Logging_0483/klagomål/A 30229-2023 FSC-klagomål.docx", "A 30229-2023")</f>
        <v/>
      </c>
      <c r="W557">
        <f>HYPERLINK("https://klasma.github.io/Logging_0483/klagomålsmail/A 30229-2023 FSC-klagomål mail.docx", "A 30229-2023")</f>
        <v/>
      </c>
      <c r="X557">
        <f>HYPERLINK("https://klasma.github.io/Logging_0483/tillsyn/A 30229-2023 tillsynsbegäran.docx", "A 30229-2023")</f>
        <v/>
      </c>
      <c r="Y557">
        <f>HYPERLINK("https://klasma.github.io/Logging_0483/tillsynsmail/A 30229-2023 tillsynsbegäran mail.docx", "A 30229-2023")</f>
        <v/>
      </c>
    </row>
    <row r="558" ht="15" customHeight="1">
      <c r="A558" t="inlineStr">
        <is>
          <t>A 30975-2023</t>
        </is>
      </c>
      <c r="B558" s="1" t="n">
        <v>45103</v>
      </c>
      <c r="C558" s="1" t="n">
        <v>45761</v>
      </c>
      <c r="D558" t="inlineStr">
        <is>
          <t>SÖDERMANLANDS LÄN</t>
        </is>
      </c>
      <c r="E558" t="inlineStr">
        <is>
          <t>ESKILSTUNA</t>
        </is>
      </c>
      <c r="G558" t="n">
        <v>0.9</v>
      </c>
      <c r="H558" t="n">
        <v>1</v>
      </c>
      <c r="I558" t="n">
        <v>0</v>
      </c>
      <c r="J558" t="n">
        <v>0</v>
      </c>
      <c r="K558" t="n">
        <v>1</v>
      </c>
      <c r="L558" t="n">
        <v>0</v>
      </c>
      <c r="M558" t="n">
        <v>0</v>
      </c>
      <c r="N558" t="n">
        <v>0</v>
      </c>
      <c r="O558" t="n">
        <v>1</v>
      </c>
      <c r="P558" t="n">
        <v>1</v>
      </c>
      <c r="Q558" t="n">
        <v>1</v>
      </c>
      <c r="R558" s="2" t="inlineStr">
        <is>
          <t>Bombmurkla</t>
        </is>
      </c>
      <c r="S558">
        <f>HYPERLINK("https://klasma.github.io/Logging_0484/artfynd/A 30975-2023 artfynd.xlsx", "A 30975-2023")</f>
        <v/>
      </c>
      <c r="T558">
        <f>HYPERLINK("https://klasma.github.io/Logging_0484/kartor/A 30975-2023 karta.png", "A 30975-2023")</f>
        <v/>
      </c>
      <c r="V558">
        <f>HYPERLINK("https://klasma.github.io/Logging_0484/klagomål/A 30975-2023 FSC-klagomål.docx", "A 30975-2023")</f>
        <v/>
      </c>
      <c r="W558">
        <f>HYPERLINK("https://klasma.github.io/Logging_0484/klagomålsmail/A 30975-2023 FSC-klagomål mail.docx", "A 30975-2023")</f>
        <v/>
      </c>
      <c r="X558">
        <f>HYPERLINK("https://klasma.github.io/Logging_0484/tillsyn/A 30975-2023 tillsynsbegäran.docx", "A 30975-2023")</f>
        <v/>
      </c>
      <c r="Y558">
        <f>HYPERLINK("https://klasma.github.io/Logging_0484/tillsynsmail/A 30975-2023 tillsynsbegäran mail.docx", "A 30975-2023")</f>
        <v/>
      </c>
    </row>
    <row r="559" ht="15" customHeight="1">
      <c r="A559" t="inlineStr">
        <is>
          <t>A 28542-2023</t>
        </is>
      </c>
      <c r="B559" s="1" t="n">
        <v>45103</v>
      </c>
      <c r="C559" s="1" t="n">
        <v>45761</v>
      </c>
      <c r="D559" t="inlineStr">
        <is>
          <t>SÖDERMANLANDS LÄN</t>
        </is>
      </c>
      <c r="E559" t="inlineStr">
        <is>
          <t>NYKÖPING</t>
        </is>
      </c>
      <c r="G559" t="n">
        <v>2.8</v>
      </c>
      <c r="H559" t="n">
        <v>1</v>
      </c>
      <c r="I559" t="n">
        <v>0</v>
      </c>
      <c r="J559" t="n">
        <v>0</v>
      </c>
      <c r="K559" t="n">
        <v>1</v>
      </c>
      <c r="L559" t="n">
        <v>0</v>
      </c>
      <c r="M559" t="n">
        <v>0</v>
      </c>
      <c r="N559" t="n">
        <v>0</v>
      </c>
      <c r="O559" t="n">
        <v>1</v>
      </c>
      <c r="P559" t="n">
        <v>1</v>
      </c>
      <c r="Q559" t="n">
        <v>1</v>
      </c>
      <c r="R559" s="2" t="inlineStr">
        <is>
          <t>Knärot</t>
        </is>
      </c>
      <c r="S559">
        <f>HYPERLINK("https://klasma.github.io/Logging_0480/artfynd/A 28542-2023 artfynd.xlsx", "A 28542-2023")</f>
        <v/>
      </c>
      <c r="T559">
        <f>HYPERLINK("https://klasma.github.io/Logging_0480/kartor/A 28542-2023 karta.png", "A 28542-2023")</f>
        <v/>
      </c>
      <c r="U559">
        <f>HYPERLINK("https://klasma.github.io/Logging_0480/knärot/A 28542-2023 karta knärot.png", "A 28542-2023")</f>
        <v/>
      </c>
      <c r="V559">
        <f>HYPERLINK("https://klasma.github.io/Logging_0480/klagomål/A 28542-2023 FSC-klagomål.docx", "A 28542-2023")</f>
        <v/>
      </c>
      <c r="W559">
        <f>HYPERLINK("https://klasma.github.io/Logging_0480/klagomålsmail/A 28542-2023 FSC-klagomål mail.docx", "A 28542-2023")</f>
        <v/>
      </c>
      <c r="X559">
        <f>HYPERLINK("https://klasma.github.io/Logging_0480/tillsyn/A 28542-2023 tillsynsbegäran.docx", "A 28542-2023")</f>
        <v/>
      </c>
      <c r="Y559">
        <f>HYPERLINK("https://klasma.github.io/Logging_0480/tillsynsmail/A 28542-2023 tillsynsbegäran mail.docx", "A 28542-2023")</f>
        <v/>
      </c>
    </row>
    <row r="560" ht="15" customHeight="1">
      <c r="A560" t="inlineStr">
        <is>
          <t>A 29647-2023</t>
        </is>
      </c>
      <c r="B560" s="1" t="n">
        <v>45107</v>
      </c>
      <c r="C560" s="1" t="n">
        <v>45761</v>
      </c>
      <c r="D560" t="inlineStr">
        <is>
          <t>SÖDERMANLANDS LÄN</t>
        </is>
      </c>
      <c r="E560" t="inlineStr">
        <is>
          <t>ESKILSTUNA</t>
        </is>
      </c>
      <c r="F560" t="inlineStr">
        <is>
          <t>Allmännings- och besparingsskogar</t>
        </is>
      </c>
      <c r="G560" t="n">
        <v>0.9</v>
      </c>
      <c r="H560" t="n">
        <v>1</v>
      </c>
      <c r="I560" t="n">
        <v>0</v>
      </c>
      <c r="J560" t="n">
        <v>1</v>
      </c>
      <c r="K560" t="n">
        <v>0</v>
      </c>
      <c r="L560" t="n">
        <v>0</v>
      </c>
      <c r="M560" t="n">
        <v>0</v>
      </c>
      <c r="N560" t="n">
        <v>0</v>
      </c>
      <c r="O560" t="n">
        <v>1</v>
      </c>
      <c r="P560" t="n">
        <v>0</v>
      </c>
      <c r="Q560" t="n">
        <v>1</v>
      </c>
      <c r="R560" s="2" t="inlineStr">
        <is>
          <t>Rödvingetrast</t>
        </is>
      </c>
      <c r="S560">
        <f>HYPERLINK("https://klasma.github.io/Logging_0484/artfynd/A 29647-2023 artfynd.xlsx", "A 29647-2023")</f>
        <v/>
      </c>
      <c r="T560">
        <f>HYPERLINK("https://klasma.github.io/Logging_0484/kartor/A 29647-2023 karta.png", "A 29647-2023")</f>
        <v/>
      </c>
      <c r="V560">
        <f>HYPERLINK("https://klasma.github.io/Logging_0484/klagomål/A 29647-2023 FSC-klagomål.docx", "A 29647-2023")</f>
        <v/>
      </c>
      <c r="W560">
        <f>HYPERLINK("https://klasma.github.io/Logging_0484/klagomålsmail/A 29647-2023 FSC-klagomål mail.docx", "A 29647-2023")</f>
        <v/>
      </c>
      <c r="X560">
        <f>HYPERLINK("https://klasma.github.io/Logging_0484/tillsyn/A 29647-2023 tillsynsbegäran.docx", "A 29647-2023")</f>
        <v/>
      </c>
      <c r="Y560">
        <f>HYPERLINK("https://klasma.github.io/Logging_0484/tillsynsmail/A 29647-2023 tillsynsbegäran mail.docx", "A 29647-2023")</f>
        <v/>
      </c>
      <c r="Z560">
        <f>HYPERLINK("https://klasma.github.io/Logging_0484/fåglar/A 29647-2023 prioriterade fågelarter.docx", "A 29647-2023")</f>
        <v/>
      </c>
    </row>
    <row r="561" ht="15" customHeight="1">
      <c r="A561" t="inlineStr">
        <is>
          <t>A 32279-2023</t>
        </is>
      </c>
      <c r="B561" s="1" t="n">
        <v>45109</v>
      </c>
      <c r="C561" s="1" t="n">
        <v>45761</v>
      </c>
      <c r="D561" t="inlineStr">
        <is>
          <t>SÖDERMANLANDS LÄN</t>
        </is>
      </c>
      <c r="E561" t="inlineStr">
        <is>
          <t>VINGÅKER</t>
        </is>
      </c>
      <c r="G561" t="n">
        <v>11.8</v>
      </c>
      <c r="H561" t="n">
        <v>0</v>
      </c>
      <c r="I561" t="n">
        <v>1</v>
      </c>
      <c r="J561" t="n">
        <v>0</v>
      </c>
      <c r="K561" t="n">
        <v>0</v>
      </c>
      <c r="L561" t="n">
        <v>0</v>
      </c>
      <c r="M561" t="n">
        <v>0</v>
      </c>
      <c r="N561" t="n">
        <v>0</v>
      </c>
      <c r="O561" t="n">
        <v>0</v>
      </c>
      <c r="P561" t="n">
        <v>0</v>
      </c>
      <c r="Q561" t="n">
        <v>1</v>
      </c>
      <c r="R561" s="2" t="inlineStr">
        <is>
          <t>Barkticka</t>
        </is>
      </c>
      <c r="S561">
        <f>HYPERLINK("https://klasma.github.io/Logging_0428/artfynd/A 32279-2023 artfynd.xlsx", "A 32279-2023")</f>
        <v/>
      </c>
      <c r="T561">
        <f>HYPERLINK("https://klasma.github.io/Logging_0428/kartor/A 32279-2023 karta.png", "A 32279-2023")</f>
        <v/>
      </c>
      <c r="V561">
        <f>HYPERLINK("https://klasma.github.io/Logging_0428/klagomål/A 32279-2023 FSC-klagomål.docx", "A 32279-2023")</f>
        <v/>
      </c>
      <c r="W561">
        <f>HYPERLINK("https://klasma.github.io/Logging_0428/klagomålsmail/A 32279-2023 FSC-klagomål mail.docx", "A 32279-2023")</f>
        <v/>
      </c>
      <c r="X561">
        <f>HYPERLINK("https://klasma.github.io/Logging_0428/tillsyn/A 32279-2023 tillsynsbegäran.docx", "A 32279-2023")</f>
        <v/>
      </c>
      <c r="Y561">
        <f>HYPERLINK("https://klasma.github.io/Logging_0428/tillsynsmail/A 32279-2023 tillsynsbegäran mail.docx", "A 32279-2023")</f>
        <v/>
      </c>
    </row>
    <row r="562" ht="15" customHeight="1">
      <c r="A562" t="inlineStr">
        <is>
          <t>A 30045-2023</t>
        </is>
      </c>
      <c r="B562" s="1" t="n">
        <v>45110</v>
      </c>
      <c r="C562" s="1" t="n">
        <v>45761</v>
      </c>
      <c r="D562" t="inlineStr">
        <is>
          <t>SÖDERMANLANDS LÄN</t>
        </is>
      </c>
      <c r="E562" t="inlineStr">
        <is>
          <t>KATRINEHOLM</t>
        </is>
      </c>
      <c r="F562" t="inlineStr">
        <is>
          <t>Holmen skog AB</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HYPERLINK("https://klasma.github.io/Logging_0483/artfynd/A 30045-2023 artfynd.xlsx", "A 30045-2023")</f>
        <v/>
      </c>
      <c r="T562">
        <f>HYPERLINK("https://klasma.github.io/Logging_0483/kartor/A 30045-2023 karta.png", "A 30045-2023")</f>
        <v/>
      </c>
      <c r="V562">
        <f>HYPERLINK("https://klasma.github.io/Logging_0483/klagomål/A 30045-2023 FSC-klagomål.docx", "A 30045-2023")</f>
        <v/>
      </c>
      <c r="W562">
        <f>HYPERLINK("https://klasma.github.io/Logging_0483/klagomålsmail/A 30045-2023 FSC-klagomål mail.docx", "A 30045-2023")</f>
        <v/>
      </c>
      <c r="X562">
        <f>HYPERLINK("https://klasma.github.io/Logging_0483/tillsyn/A 30045-2023 tillsynsbegäran.docx", "A 30045-2023")</f>
        <v/>
      </c>
      <c r="Y562">
        <f>HYPERLINK("https://klasma.github.io/Logging_0483/tillsynsmail/A 30045-2023 tillsynsbegäran mail.docx", "A 30045-2023")</f>
        <v/>
      </c>
    </row>
    <row r="563" ht="15" customHeight="1">
      <c r="A563" t="inlineStr">
        <is>
          <t>A 30124-2023</t>
        </is>
      </c>
      <c r="B563" s="1" t="n">
        <v>45110</v>
      </c>
      <c r="C563" s="1" t="n">
        <v>45761</v>
      </c>
      <c r="D563" t="inlineStr">
        <is>
          <t>SÖDERMANLANDS LÄN</t>
        </is>
      </c>
      <c r="E563" t="inlineStr">
        <is>
          <t>KATRINEHOLM</t>
        </is>
      </c>
      <c r="G563" t="n">
        <v>1.8</v>
      </c>
      <c r="H563" t="n">
        <v>1</v>
      </c>
      <c r="I563" t="n">
        <v>0</v>
      </c>
      <c r="J563" t="n">
        <v>0</v>
      </c>
      <c r="K563" t="n">
        <v>1</v>
      </c>
      <c r="L563" t="n">
        <v>0</v>
      </c>
      <c r="M563" t="n">
        <v>0</v>
      </c>
      <c r="N563" t="n">
        <v>0</v>
      </c>
      <c r="O563" t="n">
        <v>1</v>
      </c>
      <c r="P563" t="n">
        <v>1</v>
      </c>
      <c r="Q563" t="n">
        <v>1</v>
      </c>
      <c r="R563" s="2" t="inlineStr">
        <is>
          <t>Bombmurkla</t>
        </is>
      </c>
      <c r="S563">
        <f>HYPERLINK("https://klasma.github.io/Logging_0483/artfynd/A 30124-2023 artfynd.xlsx", "A 30124-2023")</f>
        <v/>
      </c>
      <c r="T563">
        <f>HYPERLINK("https://klasma.github.io/Logging_0483/kartor/A 30124-2023 karta.png", "A 30124-2023")</f>
        <v/>
      </c>
      <c r="V563">
        <f>HYPERLINK("https://klasma.github.io/Logging_0483/klagomål/A 30124-2023 FSC-klagomål.docx", "A 30124-2023")</f>
        <v/>
      </c>
      <c r="W563">
        <f>HYPERLINK("https://klasma.github.io/Logging_0483/klagomålsmail/A 30124-2023 FSC-klagomål mail.docx", "A 30124-2023")</f>
        <v/>
      </c>
      <c r="X563">
        <f>HYPERLINK("https://klasma.github.io/Logging_0483/tillsyn/A 30124-2023 tillsynsbegäran.docx", "A 30124-2023")</f>
        <v/>
      </c>
      <c r="Y563">
        <f>HYPERLINK("https://klasma.github.io/Logging_0483/tillsynsmail/A 30124-2023 tillsynsbegäran mail.docx", "A 30124-2023")</f>
        <v/>
      </c>
    </row>
    <row r="564" ht="15" customHeight="1">
      <c r="A564" t="inlineStr">
        <is>
          <t>A 30584-2023</t>
        </is>
      </c>
      <c r="B564" s="1" t="n">
        <v>45112</v>
      </c>
      <c r="C564" s="1" t="n">
        <v>45761</v>
      </c>
      <c r="D564" t="inlineStr">
        <is>
          <t>SÖDERMANLANDS LÄN</t>
        </is>
      </c>
      <c r="E564" t="inlineStr">
        <is>
          <t>FLEN</t>
        </is>
      </c>
      <c r="F564" t="inlineStr">
        <is>
          <t>Kyrkan</t>
        </is>
      </c>
      <c r="G564" t="n">
        <v>8</v>
      </c>
      <c r="H564" t="n">
        <v>1</v>
      </c>
      <c r="I564" t="n">
        <v>0</v>
      </c>
      <c r="J564" t="n">
        <v>1</v>
      </c>
      <c r="K564" t="n">
        <v>0</v>
      </c>
      <c r="L564" t="n">
        <v>0</v>
      </c>
      <c r="M564" t="n">
        <v>0</v>
      </c>
      <c r="N564" t="n">
        <v>0</v>
      </c>
      <c r="O564" t="n">
        <v>1</v>
      </c>
      <c r="P564" t="n">
        <v>0</v>
      </c>
      <c r="Q564" t="n">
        <v>1</v>
      </c>
      <c r="R564" s="2" t="inlineStr">
        <is>
          <t>Havsörn</t>
        </is>
      </c>
      <c r="S564">
        <f>HYPERLINK("https://klasma.github.io/Logging_0482/artfynd/A 30584-2023 artfynd.xlsx", "A 30584-2023")</f>
        <v/>
      </c>
      <c r="T564">
        <f>HYPERLINK("https://klasma.github.io/Logging_0482/kartor/A 30584-2023 karta.png", "A 30584-2023")</f>
        <v/>
      </c>
      <c r="V564">
        <f>HYPERLINK("https://klasma.github.io/Logging_0482/klagomål/A 30584-2023 FSC-klagomål.docx", "A 30584-2023")</f>
        <v/>
      </c>
      <c r="W564">
        <f>HYPERLINK("https://klasma.github.io/Logging_0482/klagomålsmail/A 30584-2023 FSC-klagomål mail.docx", "A 30584-2023")</f>
        <v/>
      </c>
      <c r="X564">
        <f>HYPERLINK("https://klasma.github.io/Logging_0482/tillsyn/A 30584-2023 tillsynsbegäran.docx", "A 30584-2023")</f>
        <v/>
      </c>
      <c r="Y564">
        <f>HYPERLINK("https://klasma.github.io/Logging_0482/tillsynsmail/A 30584-2023 tillsynsbegäran mail.docx", "A 30584-2023")</f>
        <v/>
      </c>
      <c r="Z564">
        <f>HYPERLINK("https://klasma.github.io/Logging_0482/fåglar/A 30584-2023 prioriterade fågelarter.docx", "A 30584-2023")</f>
        <v/>
      </c>
    </row>
    <row r="565" ht="15" customHeight="1">
      <c r="A565" t="inlineStr">
        <is>
          <t>A 31987-2023</t>
        </is>
      </c>
      <c r="B565" s="1" t="n">
        <v>45119</v>
      </c>
      <c r="C565" s="1" t="n">
        <v>45761</v>
      </c>
      <c r="D565" t="inlineStr">
        <is>
          <t>SÖDERMANLANDS LÄN</t>
        </is>
      </c>
      <c r="E565" t="inlineStr">
        <is>
          <t>ESKILSTUNA</t>
        </is>
      </c>
      <c r="F565" t="inlineStr">
        <is>
          <t>Sveaskog</t>
        </is>
      </c>
      <c r="G565" t="n">
        <v>1.4</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HYPERLINK("https://klasma.github.io/Logging_0484/artfynd/A 31987-2023 artfynd.xlsx", "A 31987-2023")</f>
        <v/>
      </c>
      <c r="T565">
        <f>HYPERLINK("https://klasma.github.io/Logging_0484/kartor/A 31987-2023 karta.png", "A 31987-2023")</f>
        <v/>
      </c>
      <c r="V565">
        <f>HYPERLINK("https://klasma.github.io/Logging_0484/klagomål/A 31987-2023 FSC-klagomål.docx", "A 31987-2023")</f>
        <v/>
      </c>
      <c r="W565">
        <f>HYPERLINK("https://klasma.github.io/Logging_0484/klagomålsmail/A 31987-2023 FSC-klagomål mail.docx", "A 31987-2023")</f>
        <v/>
      </c>
      <c r="X565">
        <f>HYPERLINK("https://klasma.github.io/Logging_0484/tillsyn/A 31987-2023 tillsynsbegäran.docx", "A 31987-2023")</f>
        <v/>
      </c>
      <c r="Y565">
        <f>HYPERLINK("https://klasma.github.io/Logging_0484/tillsynsmail/A 31987-2023 tillsynsbegäran mail.docx", "A 31987-2023")</f>
        <v/>
      </c>
    </row>
    <row r="566" ht="15" customHeight="1">
      <c r="A566" t="inlineStr">
        <is>
          <t>A 33639-2023</t>
        </is>
      </c>
      <c r="B566" s="1" t="n">
        <v>45119</v>
      </c>
      <c r="C566" s="1" t="n">
        <v>45761</v>
      </c>
      <c r="D566" t="inlineStr">
        <is>
          <t>SÖDERMANLANDS LÄN</t>
        </is>
      </c>
      <c r="E566" t="inlineStr">
        <is>
          <t>GNESTA</t>
        </is>
      </c>
      <c r="G566" t="n">
        <v>6.1</v>
      </c>
      <c r="H566" t="n">
        <v>0</v>
      </c>
      <c r="I566" t="n">
        <v>1</v>
      </c>
      <c r="J566" t="n">
        <v>0</v>
      </c>
      <c r="K566" t="n">
        <v>0</v>
      </c>
      <c r="L566" t="n">
        <v>0</v>
      </c>
      <c r="M566" t="n">
        <v>0</v>
      </c>
      <c r="N566" t="n">
        <v>0</v>
      </c>
      <c r="O566" t="n">
        <v>0</v>
      </c>
      <c r="P566" t="n">
        <v>0</v>
      </c>
      <c r="Q566" t="n">
        <v>1</v>
      </c>
      <c r="R566" s="2" t="inlineStr">
        <is>
          <t>Springkorn</t>
        </is>
      </c>
      <c r="S566">
        <f>HYPERLINK("https://klasma.github.io/Logging_0461/artfynd/A 33639-2023 artfynd.xlsx", "A 33639-2023")</f>
        <v/>
      </c>
      <c r="T566">
        <f>HYPERLINK("https://klasma.github.io/Logging_0461/kartor/A 33639-2023 karta.png", "A 33639-2023")</f>
        <v/>
      </c>
      <c r="V566">
        <f>HYPERLINK("https://klasma.github.io/Logging_0461/klagomål/A 33639-2023 FSC-klagomål.docx", "A 33639-2023")</f>
        <v/>
      </c>
      <c r="W566">
        <f>HYPERLINK("https://klasma.github.io/Logging_0461/klagomålsmail/A 33639-2023 FSC-klagomål mail.docx", "A 33639-2023")</f>
        <v/>
      </c>
      <c r="X566">
        <f>HYPERLINK("https://klasma.github.io/Logging_0461/tillsyn/A 33639-2023 tillsynsbegäran.docx", "A 33639-2023")</f>
        <v/>
      </c>
      <c r="Y566">
        <f>HYPERLINK("https://klasma.github.io/Logging_0461/tillsynsmail/A 33639-2023 tillsynsbegäran mail.docx", "A 33639-2023")</f>
        <v/>
      </c>
    </row>
    <row r="567" ht="15" customHeight="1">
      <c r="A567" t="inlineStr">
        <is>
          <t>A 32314-2023</t>
        </is>
      </c>
      <c r="B567" s="1" t="n">
        <v>45120</v>
      </c>
      <c r="C567" s="1" t="n">
        <v>45761</v>
      </c>
      <c r="D567" t="inlineStr">
        <is>
          <t>SÖDERMANLANDS LÄN</t>
        </is>
      </c>
      <c r="E567" t="inlineStr">
        <is>
          <t>ESKILSTUNA</t>
        </is>
      </c>
      <c r="F567" t="inlineStr">
        <is>
          <t>Sveaskog</t>
        </is>
      </c>
      <c r="G567" t="n">
        <v>4</v>
      </c>
      <c r="H567" t="n">
        <v>0</v>
      </c>
      <c r="I567" t="n">
        <v>1</v>
      </c>
      <c r="J567" t="n">
        <v>0</v>
      </c>
      <c r="K567" t="n">
        <v>0</v>
      </c>
      <c r="L567" t="n">
        <v>0</v>
      </c>
      <c r="M567" t="n">
        <v>0</v>
      </c>
      <c r="N567" t="n">
        <v>0</v>
      </c>
      <c r="O567" t="n">
        <v>0</v>
      </c>
      <c r="P567" t="n">
        <v>0</v>
      </c>
      <c r="Q567" t="n">
        <v>1</v>
      </c>
      <c r="R567" s="2" t="inlineStr">
        <is>
          <t>Grovticka</t>
        </is>
      </c>
      <c r="S567">
        <f>HYPERLINK("https://klasma.github.io/Logging_0484/artfynd/A 32314-2023 artfynd.xlsx", "A 32314-2023")</f>
        <v/>
      </c>
      <c r="T567">
        <f>HYPERLINK("https://klasma.github.io/Logging_0484/kartor/A 32314-2023 karta.png", "A 32314-2023")</f>
        <v/>
      </c>
      <c r="V567">
        <f>HYPERLINK("https://klasma.github.io/Logging_0484/klagomål/A 32314-2023 FSC-klagomål.docx", "A 32314-2023")</f>
        <v/>
      </c>
      <c r="W567">
        <f>HYPERLINK("https://klasma.github.io/Logging_0484/klagomålsmail/A 32314-2023 FSC-klagomål mail.docx", "A 32314-2023")</f>
        <v/>
      </c>
      <c r="X567">
        <f>HYPERLINK("https://klasma.github.io/Logging_0484/tillsyn/A 32314-2023 tillsynsbegäran.docx", "A 32314-2023")</f>
        <v/>
      </c>
      <c r="Y567">
        <f>HYPERLINK("https://klasma.github.io/Logging_0484/tillsynsmail/A 32314-2023 tillsynsbegäran mail.docx", "A 32314-2023")</f>
        <v/>
      </c>
    </row>
    <row r="568" ht="15" customHeight="1">
      <c r="A568" t="inlineStr">
        <is>
          <t>A 33801-2023</t>
        </is>
      </c>
      <c r="B568" s="1" t="n">
        <v>45133</v>
      </c>
      <c r="C568" s="1" t="n">
        <v>45761</v>
      </c>
      <c r="D568" t="inlineStr">
        <is>
          <t>SÖDERMANLANDS LÄN</t>
        </is>
      </c>
      <c r="E568" t="inlineStr">
        <is>
          <t>KATRINEHOLM</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HYPERLINK("https://klasma.github.io/Logging_0483/artfynd/A 33801-2023 artfynd.xlsx", "A 33801-2023")</f>
        <v/>
      </c>
      <c r="T568">
        <f>HYPERLINK("https://klasma.github.io/Logging_0483/kartor/A 33801-2023 karta.png", "A 33801-2023")</f>
        <v/>
      </c>
      <c r="V568">
        <f>HYPERLINK("https://klasma.github.io/Logging_0483/klagomål/A 33801-2023 FSC-klagomål.docx", "A 33801-2023")</f>
        <v/>
      </c>
      <c r="W568">
        <f>HYPERLINK("https://klasma.github.io/Logging_0483/klagomålsmail/A 33801-2023 FSC-klagomål mail.docx", "A 33801-2023")</f>
        <v/>
      </c>
      <c r="X568">
        <f>HYPERLINK("https://klasma.github.io/Logging_0483/tillsyn/A 33801-2023 tillsynsbegäran.docx", "A 33801-2023")</f>
        <v/>
      </c>
      <c r="Y568">
        <f>HYPERLINK("https://klasma.github.io/Logging_0483/tillsynsmail/A 33801-2023 tillsynsbegäran mail.docx", "A 33801-2023")</f>
        <v/>
      </c>
    </row>
    <row r="569" ht="15" customHeight="1">
      <c r="A569" t="inlineStr">
        <is>
          <t>A 34717-2023</t>
        </is>
      </c>
      <c r="B569" s="1" t="n">
        <v>45141</v>
      </c>
      <c r="C569" s="1" t="n">
        <v>45761</v>
      </c>
      <c r="D569" t="inlineStr">
        <is>
          <t>SÖDERMANLANDS LÄN</t>
        </is>
      </c>
      <c r="E569" t="inlineStr">
        <is>
          <t>ESKILSTUNA</t>
        </is>
      </c>
      <c r="F569" t="inlineStr">
        <is>
          <t>Kyrkan</t>
        </is>
      </c>
      <c r="G569" t="n">
        <v>1.5</v>
      </c>
      <c r="H569" t="n">
        <v>0</v>
      </c>
      <c r="I569" t="n">
        <v>0</v>
      </c>
      <c r="J569" t="n">
        <v>1</v>
      </c>
      <c r="K569" t="n">
        <v>0</v>
      </c>
      <c r="L569" t="n">
        <v>0</v>
      </c>
      <c r="M569" t="n">
        <v>0</v>
      </c>
      <c r="N569" t="n">
        <v>0</v>
      </c>
      <c r="O569" t="n">
        <v>1</v>
      </c>
      <c r="P569" t="n">
        <v>0</v>
      </c>
      <c r="Q569" t="n">
        <v>1</v>
      </c>
      <c r="R569" s="2" t="inlineStr">
        <is>
          <t>Triplax rufipes</t>
        </is>
      </c>
      <c r="S569">
        <f>HYPERLINK("https://klasma.github.io/Logging_0484/artfynd/A 34717-2023 artfynd.xlsx", "A 34717-2023")</f>
        <v/>
      </c>
      <c r="T569">
        <f>HYPERLINK("https://klasma.github.io/Logging_0484/kartor/A 34717-2023 karta.png", "A 34717-2023")</f>
        <v/>
      </c>
      <c r="V569">
        <f>HYPERLINK("https://klasma.github.io/Logging_0484/klagomål/A 34717-2023 FSC-klagomål.docx", "A 34717-2023")</f>
        <v/>
      </c>
      <c r="W569">
        <f>HYPERLINK("https://klasma.github.io/Logging_0484/klagomålsmail/A 34717-2023 FSC-klagomål mail.docx", "A 34717-2023")</f>
        <v/>
      </c>
      <c r="X569">
        <f>HYPERLINK("https://klasma.github.io/Logging_0484/tillsyn/A 34717-2023 tillsynsbegäran.docx", "A 34717-2023")</f>
        <v/>
      </c>
      <c r="Y569">
        <f>HYPERLINK("https://klasma.github.io/Logging_0484/tillsynsmail/A 34717-2023 tillsynsbegäran mail.docx", "A 34717-2023")</f>
        <v/>
      </c>
    </row>
    <row r="570" ht="15" customHeight="1">
      <c r="A570" t="inlineStr">
        <is>
          <t>A 35122-2023</t>
        </is>
      </c>
      <c r="B570" s="1" t="n">
        <v>45145</v>
      </c>
      <c r="C570" s="1" t="n">
        <v>45761</v>
      </c>
      <c r="D570" t="inlineStr">
        <is>
          <t>SÖDERMANLANDS LÄN</t>
        </is>
      </c>
      <c r="E570" t="inlineStr">
        <is>
          <t>NYKÖPING</t>
        </is>
      </c>
      <c r="G570" t="n">
        <v>3.2</v>
      </c>
      <c r="H570" t="n">
        <v>1</v>
      </c>
      <c r="I570" t="n">
        <v>0</v>
      </c>
      <c r="J570" t="n">
        <v>0</v>
      </c>
      <c r="K570" t="n">
        <v>0</v>
      </c>
      <c r="L570" t="n">
        <v>0</v>
      </c>
      <c r="M570" t="n">
        <v>0</v>
      </c>
      <c r="N570" t="n">
        <v>0</v>
      </c>
      <c r="O570" t="n">
        <v>0</v>
      </c>
      <c r="P570" t="n">
        <v>0</v>
      </c>
      <c r="Q570" t="n">
        <v>1</v>
      </c>
      <c r="R570" s="2" t="inlineStr">
        <is>
          <t>Blåsippa</t>
        </is>
      </c>
      <c r="S570">
        <f>HYPERLINK("https://klasma.github.io/Logging_0480/artfynd/A 35122-2023 artfynd.xlsx", "A 35122-2023")</f>
        <v/>
      </c>
      <c r="T570">
        <f>HYPERLINK("https://klasma.github.io/Logging_0480/kartor/A 35122-2023 karta.png", "A 35122-2023")</f>
        <v/>
      </c>
      <c r="V570">
        <f>HYPERLINK("https://klasma.github.io/Logging_0480/klagomål/A 35122-2023 FSC-klagomål.docx", "A 35122-2023")</f>
        <v/>
      </c>
      <c r="W570">
        <f>HYPERLINK("https://klasma.github.io/Logging_0480/klagomålsmail/A 35122-2023 FSC-klagomål mail.docx", "A 35122-2023")</f>
        <v/>
      </c>
      <c r="X570">
        <f>HYPERLINK("https://klasma.github.io/Logging_0480/tillsyn/A 35122-2023 tillsynsbegäran.docx", "A 35122-2023")</f>
        <v/>
      </c>
      <c r="Y570">
        <f>HYPERLINK("https://klasma.github.io/Logging_0480/tillsynsmail/A 35122-2023 tillsynsbegäran mail.docx", "A 35122-2023")</f>
        <v/>
      </c>
    </row>
    <row r="571" ht="15" customHeight="1">
      <c r="A571" t="inlineStr">
        <is>
          <t>A 37317-2023</t>
        </is>
      </c>
      <c r="B571" s="1" t="n">
        <v>45156</v>
      </c>
      <c r="C571" s="1" t="n">
        <v>45761</v>
      </c>
      <c r="D571" t="inlineStr">
        <is>
          <t>SÖDERMANLANDS LÄN</t>
        </is>
      </c>
      <c r="E571" t="inlineStr">
        <is>
          <t>FLEN</t>
        </is>
      </c>
      <c r="F571" t="inlineStr">
        <is>
          <t>Holmen skog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HYPERLINK("https://klasma.github.io/Logging_0482/artfynd/A 37317-2023 artfynd.xlsx", "A 37317-2023")</f>
        <v/>
      </c>
      <c r="T571">
        <f>HYPERLINK("https://klasma.github.io/Logging_0482/kartor/A 37317-2023 karta.png", "A 37317-2023")</f>
        <v/>
      </c>
      <c r="V571">
        <f>HYPERLINK("https://klasma.github.io/Logging_0482/klagomål/A 37317-2023 FSC-klagomål.docx", "A 37317-2023")</f>
        <v/>
      </c>
      <c r="W571">
        <f>HYPERLINK("https://klasma.github.io/Logging_0482/klagomålsmail/A 37317-2023 FSC-klagomål mail.docx", "A 37317-2023")</f>
        <v/>
      </c>
      <c r="X571">
        <f>HYPERLINK("https://klasma.github.io/Logging_0482/tillsyn/A 37317-2023 tillsynsbegäran.docx", "A 37317-2023")</f>
        <v/>
      </c>
      <c r="Y571">
        <f>HYPERLINK("https://klasma.github.io/Logging_0482/tillsynsmail/A 37317-2023 tillsynsbegäran mail.docx", "A 37317-2023")</f>
        <v/>
      </c>
    </row>
    <row r="572" ht="15" customHeight="1">
      <c r="A572" t="inlineStr">
        <is>
          <t>A 39019-2023</t>
        </is>
      </c>
      <c r="B572" s="1" t="n">
        <v>45163</v>
      </c>
      <c r="C572" s="1" t="n">
        <v>45761</v>
      </c>
      <c r="D572" t="inlineStr">
        <is>
          <t>SÖDERMANLANDS LÄN</t>
        </is>
      </c>
      <c r="E572" t="inlineStr">
        <is>
          <t>NYKÖPING</t>
        </is>
      </c>
      <c r="F572" t="inlineStr">
        <is>
          <t>Kommuner</t>
        </is>
      </c>
      <c r="G572" t="n">
        <v>12.3</v>
      </c>
      <c r="H572" t="n">
        <v>1</v>
      </c>
      <c r="I572" t="n">
        <v>0</v>
      </c>
      <c r="J572" t="n">
        <v>1</v>
      </c>
      <c r="K572" t="n">
        <v>0</v>
      </c>
      <c r="L572" t="n">
        <v>0</v>
      </c>
      <c r="M572" t="n">
        <v>0</v>
      </c>
      <c r="N572" t="n">
        <v>0</v>
      </c>
      <c r="O572" t="n">
        <v>1</v>
      </c>
      <c r="P572" t="n">
        <v>0</v>
      </c>
      <c r="Q572" t="n">
        <v>1</v>
      </c>
      <c r="R572" s="2" t="inlineStr">
        <is>
          <t>Mindre hackspett</t>
        </is>
      </c>
      <c r="S572">
        <f>HYPERLINK("https://klasma.github.io/Logging_0480/artfynd/A 39019-2023 artfynd.xlsx", "A 39019-2023")</f>
        <v/>
      </c>
      <c r="T572">
        <f>HYPERLINK("https://klasma.github.io/Logging_0480/kartor/A 39019-2023 karta.png", "A 39019-2023")</f>
        <v/>
      </c>
      <c r="V572">
        <f>HYPERLINK("https://klasma.github.io/Logging_0480/klagomål/A 39019-2023 FSC-klagomål.docx", "A 39019-2023")</f>
        <v/>
      </c>
      <c r="W572">
        <f>HYPERLINK("https://klasma.github.io/Logging_0480/klagomålsmail/A 39019-2023 FSC-klagomål mail.docx", "A 39019-2023")</f>
        <v/>
      </c>
      <c r="X572">
        <f>HYPERLINK("https://klasma.github.io/Logging_0480/tillsyn/A 39019-2023 tillsynsbegäran.docx", "A 39019-2023")</f>
        <v/>
      </c>
      <c r="Y572">
        <f>HYPERLINK("https://klasma.github.io/Logging_0480/tillsynsmail/A 39019-2023 tillsynsbegäran mail.docx", "A 39019-2023")</f>
        <v/>
      </c>
      <c r="Z572">
        <f>HYPERLINK("https://klasma.github.io/Logging_0480/fåglar/A 39019-2023 prioriterade fågelarter.docx", "A 39019-2023")</f>
        <v/>
      </c>
    </row>
    <row r="573" ht="15" customHeight="1">
      <c r="A573" t="inlineStr">
        <is>
          <t>A 39240-2023</t>
        </is>
      </c>
      <c r="B573" s="1" t="n">
        <v>45166</v>
      </c>
      <c r="C573" s="1" t="n">
        <v>45761</v>
      </c>
      <c r="D573" t="inlineStr">
        <is>
          <t>SÖDERMANLANDS LÄN</t>
        </is>
      </c>
      <c r="E573" t="inlineStr">
        <is>
          <t>FLEN</t>
        </is>
      </c>
      <c r="F573" t="inlineStr">
        <is>
          <t>Holmen skog AB</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HYPERLINK("https://klasma.github.io/Logging_0482/artfynd/A 39240-2023 artfynd.xlsx", "A 39240-2023")</f>
        <v/>
      </c>
      <c r="T573">
        <f>HYPERLINK("https://klasma.github.io/Logging_0482/kartor/A 39240-2023 karta.png", "A 39240-2023")</f>
        <v/>
      </c>
      <c r="V573">
        <f>HYPERLINK("https://klasma.github.io/Logging_0482/klagomål/A 39240-2023 FSC-klagomål.docx", "A 39240-2023")</f>
        <v/>
      </c>
      <c r="W573">
        <f>HYPERLINK("https://klasma.github.io/Logging_0482/klagomålsmail/A 39240-2023 FSC-klagomål mail.docx", "A 39240-2023")</f>
        <v/>
      </c>
      <c r="X573">
        <f>HYPERLINK("https://klasma.github.io/Logging_0482/tillsyn/A 39240-2023 tillsynsbegäran.docx", "A 39240-2023")</f>
        <v/>
      </c>
      <c r="Y573">
        <f>HYPERLINK("https://klasma.github.io/Logging_0482/tillsynsmail/A 39240-2023 tillsynsbegäran mail.docx", "A 39240-2023")</f>
        <v/>
      </c>
    </row>
    <row r="574" ht="15" customHeight="1">
      <c r="A574" t="inlineStr">
        <is>
          <t>A 40267-2023</t>
        </is>
      </c>
      <c r="B574" s="1" t="n">
        <v>45169</v>
      </c>
      <c r="C574" s="1" t="n">
        <v>45761</v>
      </c>
      <c r="D574" t="inlineStr">
        <is>
          <t>SÖDERMANLANDS LÄN</t>
        </is>
      </c>
      <c r="E574" t="inlineStr">
        <is>
          <t>GNESTA</t>
        </is>
      </c>
      <c r="F574" t="inlineStr">
        <is>
          <t>Holmen skog AB</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HYPERLINK("https://klasma.github.io/Logging_0461/artfynd/A 40267-2023 artfynd.xlsx", "A 40267-2023")</f>
        <v/>
      </c>
      <c r="T574">
        <f>HYPERLINK("https://klasma.github.io/Logging_0461/kartor/A 40267-2023 karta.png", "A 40267-2023")</f>
        <v/>
      </c>
      <c r="V574">
        <f>HYPERLINK("https://klasma.github.io/Logging_0461/klagomål/A 40267-2023 FSC-klagomål.docx", "A 40267-2023")</f>
        <v/>
      </c>
      <c r="W574">
        <f>HYPERLINK("https://klasma.github.io/Logging_0461/klagomålsmail/A 40267-2023 FSC-klagomål mail.docx", "A 40267-2023")</f>
        <v/>
      </c>
      <c r="X574">
        <f>HYPERLINK("https://klasma.github.io/Logging_0461/tillsyn/A 40267-2023 tillsynsbegäran.docx", "A 40267-2023")</f>
        <v/>
      </c>
      <c r="Y574">
        <f>HYPERLINK("https://klasma.github.io/Logging_0461/tillsynsmail/A 40267-2023 tillsynsbegäran mail.docx", "A 40267-2023")</f>
        <v/>
      </c>
    </row>
    <row r="575" ht="15" customHeight="1">
      <c r="A575" t="inlineStr">
        <is>
          <t>A 42552-2023</t>
        </is>
      </c>
      <c r="B575" s="1" t="n">
        <v>45181</v>
      </c>
      <c r="C575" s="1" t="n">
        <v>45761</v>
      </c>
      <c r="D575" t="inlineStr">
        <is>
          <t>SÖDERMANLANDS LÄN</t>
        </is>
      </c>
      <c r="E575" t="inlineStr">
        <is>
          <t>GNESTA</t>
        </is>
      </c>
      <c r="F575" t="inlineStr">
        <is>
          <t>Holmen skog AB</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HYPERLINK("https://klasma.github.io/Logging_0461/artfynd/A 42552-2023 artfynd.xlsx", "A 42552-2023")</f>
        <v/>
      </c>
      <c r="T575">
        <f>HYPERLINK("https://klasma.github.io/Logging_0461/kartor/A 42552-2023 karta.png", "A 42552-2023")</f>
        <v/>
      </c>
      <c r="V575">
        <f>HYPERLINK("https://klasma.github.io/Logging_0461/klagomål/A 42552-2023 FSC-klagomål.docx", "A 42552-2023")</f>
        <v/>
      </c>
      <c r="W575">
        <f>HYPERLINK("https://klasma.github.io/Logging_0461/klagomålsmail/A 42552-2023 FSC-klagomål mail.docx", "A 42552-2023")</f>
        <v/>
      </c>
      <c r="X575">
        <f>HYPERLINK("https://klasma.github.io/Logging_0461/tillsyn/A 42552-2023 tillsynsbegäran.docx", "A 42552-2023")</f>
        <v/>
      </c>
      <c r="Y575">
        <f>HYPERLINK("https://klasma.github.io/Logging_0461/tillsynsmail/A 42552-2023 tillsynsbegäran mail.docx", "A 42552-2023")</f>
        <v/>
      </c>
    </row>
    <row r="576" ht="15" customHeight="1">
      <c r="A576" t="inlineStr">
        <is>
          <t>A 42936-2023</t>
        </is>
      </c>
      <c r="B576" s="1" t="n">
        <v>45182</v>
      </c>
      <c r="C576" s="1" t="n">
        <v>45761</v>
      </c>
      <c r="D576" t="inlineStr">
        <is>
          <t>SÖDERMANLANDS LÄN</t>
        </is>
      </c>
      <c r="E576" t="inlineStr">
        <is>
          <t>KATRINEHOLM</t>
        </is>
      </c>
      <c r="F576" t="inlineStr">
        <is>
          <t>Övriga Aktiebolag</t>
        </is>
      </c>
      <c r="G576" t="n">
        <v>36.8</v>
      </c>
      <c r="H576" t="n">
        <v>0</v>
      </c>
      <c r="I576" t="n">
        <v>1</v>
      </c>
      <c r="J576" t="n">
        <v>0</v>
      </c>
      <c r="K576" t="n">
        <v>0</v>
      </c>
      <c r="L576" t="n">
        <v>0</v>
      </c>
      <c r="M576" t="n">
        <v>0</v>
      </c>
      <c r="N576" t="n">
        <v>0</v>
      </c>
      <c r="O576" t="n">
        <v>0</v>
      </c>
      <c r="P576" t="n">
        <v>0</v>
      </c>
      <c r="Q576" t="n">
        <v>1</v>
      </c>
      <c r="R576" s="2" t="inlineStr">
        <is>
          <t>Blomkålssvamp</t>
        </is>
      </c>
      <c r="S576">
        <f>HYPERLINK("https://klasma.github.io/Logging_0483/artfynd/A 42936-2023 artfynd.xlsx", "A 42936-2023")</f>
        <v/>
      </c>
      <c r="T576">
        <f>HYPERLINK("https://klasma.github.io/Logging_0483/kartor/A 42936-2023 karta.png", "A 42936-2023")</f>
        <v/>
      </c>
      <c r="U576">
        <f>HYPERLINK("https://klasma.github.io/Logging_0483/knärot/A 42936-2023 karta knärot.png", "A 42936-2023")</f>
        <v/>
      </c>
      <c r="V576">
        <f>HYPERLINK("https://klasma.github.io/Logging_0483/klagomål/A 42936-2023 FSC-klagomål.docx", "A 42936-2023")</f>
        <v/>
      </c>
      <c r="W576">
        <f>HYPERLINK("https://klasma.github.io/Logging_0483/klagomålsmail/A 42936-2023 FSC-klagomål mail.docx", "A 42936-2023")</f>
        <v/>
      </c>
      <c r="X576">
        <f>HYPERLINK("https://klasma.github.io/Logging_0483/tillsyn/A 42936-2023 tillsynsbegäran.docx", "A 42936-2023")</f>
        <v/>
      </c>
      <c r="Y576">
        <f>HYPERLINK("https://klasma.github.io/Logging_0483/tillsynsmail/A 42936-2023 tillsynsbegäran mail.docx", "A 42936-2023")</f>
        <v/>
      </c>
    </row>
    <row r="577" ht="15" customHeight="1">
      <c r="A577" t="inlineStr">
        <is>
          <t>A 42942-2023</t>
        </is>
      </c>
      <c r="B577" s="1" t="n">
        <v>45182</v>
      </c>
      <c r="C577" s="1" t="n">
        <v>45761</v>
      </c>
      <c r="D577" t="inlineStr">
        <is>
          <t>SÖDERMANLANDS LÄN</t>
        </is>
      </c>
      <c r="E577" t="inlineStr">
        <is>
          <t>KATRINEHOLM</t>
        </is>
      </c>
      <c r="F577" t="inlineStr">
        <is>
          <t>Övriga Aktiebolag</t>
        </is>
      </c>
      <c r="G577" t="n">
        <v>17.4</v>
      </c>
      <c r="H577" t="n">
        <v>0</v>
      </c>
      <c r="I577" t="n">
        <v>0</v>
      </c>
      <c r="J577" t="n">
        <v>1</v>
      </c>
      <c r="K577" t="n">
        <v>0</v>
      </c>
      <c r="L577" t="n">
        <v>0</v>
      </c>
      <c r="M577" t="n">
        <v>0</v>
      </c>
      <c r="N577" t="n">
        <v>0</v>
      </c>
      <c r="O577" t="n">
        <v>1</v>
      </c>
      <c r="P577" t="n">
        <v>0</v>
      </c>
      <c r="Q577" t="n">
        <v>1</v>
      </c>
      <c r="R577" s="2" t="inlineStr">
        <is>
          <t>Rödlånke</t>
        </is>
      </c>
      <c r="S577">
        <f>HYPERLINK("https://klasma.github.io/Logging_0483/artfynd/A 42942-2023 artfynd.xlsx", "A 42942-2023")</f>
        <v/>
      </c>
      <c r="T577">
        <f>HYPERLINK("https://klasma.github.io/Logging_0483/kartor/A 42942-2023 karta.png", "A 42942-2023")</f>
        <v/>
      </c>
      <c r="V577">
        <f>HYPERLINK("https://klasma.github.io/Logging_0483/klagomål/A 42942-2023 FSC-klagomål.docx", "A 42942-2023")</f>
        <v/>
      </c>
      <c r="W577">
        <f>HYPERLINK("https://klasma.github.io/Logging_0483/klagomålsmail/A 42942-2023 FSC-klagomål mail.docx", "A 42942-2023")</f>
        <v/>
      </c>
      <c r="X577">
        <f>HYPERLINK("https://klasma.github.io/Logging_0483/tillsyn/A 42942-2023 tillsynsbegäran.docx", "A 42942-2023")</f>
        <v/>
      </c>
      <c r="Y577">
        <f>HYPERLINK("https://klasma.github.io/Logging_0483/tillsynsmail/A 42942-2023 tillsynsbegäran mail.docx", "A 42942-2023")</f>
        <v/>
      </c>
    </row>
    <row r="578" ht="15" customHeight="1">
      <c r="A578" t="inlineStr">
        <is>
          <t>A 44632-2023</t>
        </is>
      </c>
      <c r="B578" s="1" t="n">
        <v>45184</v>
      </c>
      <c r="C578" s="1" t="n">
        <v>45761</v>
      </c>
      <c r="D578" t="inlineStr">
        <is>
          <t>SÖDERMANLANDS LÄN</t>
        </is>
      </c>
      <c r="E578" t="inlineStr">
        <is>
          <t>KATRINEHOLM</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HYPERLINK("https://klasma.github.io/Logging_0483/artfynd/A 44632-2023 artfynd.xlsx", "A 44632-2023")</f>
        <v/>
      </c>
      <c r="T578">
        <f>HYPERLINK("https://klasma.github.io/Logging_0483/kartor/A 44632-2023 karta.png", "A 44632-2023")</f>
        <v/>
      </c>
      <c r="V578">
        <f>HYPERLINK("https://klasma.github.io/Logging_0483/klagomål/A 44632-2023 FSC-klagomål.docx", "A 44632-2023")</f>
        <v/>
      </c>
      <c r="W578">
        <f>HYPERLINK("https://klasma.github.io/Logging_0483/klagomålsmail/A 44632-2023 FSC-klagomål mail.docx", "A 44632-2023")</f>
        <v/>
      </c>
      <c r="X578">
        <f>HYPERLINK("https://klasma.github.io/Logging_0483/tillsyn/A 44632-2023 tillsynsbegäran.docx", "A 44632-2023")</f>
        <v/>
      </c>
      <c r="Y578">
        <f>HYPERLINK("https://klasma.github.io/Logging_0483/tillsynsmail/A 44632-2023 tillsynsbegäran mail.docx", "A 44632-2023")</f>
        <v/>
      </c>
    </row>
    <row r="579" ht="15" customHeight="1">
      <c r="A579" t="inlineStr">
        <is>
          <t>A 43756-2023</t>
        </is>
      </c>
      <c r="B579" s="1" t="n">
        <v>45187</v>
      </c>
      <c r="C579" s="1" t="n">
        <v>45761</v>
      </c>
      <c r="D579" t="inlineStr">
        <is>
          <t>SÖDERMANLANDS LÄN</t>
        </is>
      </c>
      <c r="E579" t="inlineStr">
        <is>
          <t>NYKÖPING</t>
        </is>
      </c>
      <c r="G579" t="n">
        <v>5.4</v>
      </c>
      <c r="H579" t="n">
        <v>0</v>
      </c>
      <c r="I579" t="n">
        <v>0</v>
      </c>
      <c r="J579" t="n">
        <v>1</v>
      </c>
      <c r="K579" t="n">
        <v>0</v>
      </c>
      <c r="L579" t="n">
        <v>0</v>
      </c>
      <c r="M579" t="n">
        <v>0</v>
      </c>
      <c r="N579" t="n">
        <v>0</v>
      </c>
      <c r="O579" t="n">
        <v>1</v>
      </c>
      <c r="P579" t="n">
        <v>0</v>
      </c>
      <c r="Q579" t="n">
        <v>1</v>
      </c>
      <c r="R579" s="2" t="inlineStr">
        <is>
          <t>Svedjenäva</t>
        </is>
      </c>
      <c r="S579">
        <f>HYPERLINK("https://klasma.github.io/Logging_0480/artfynd/A 43756-2023 artfynd.xlsx", "A 43756-2023")</f>
        <v/>
      </c>
      <c r="T579">
        <f>HYPERLINK("https://klasma.github.io/Logging_0480/kartor/A 43756-2023 karta.png", "A 43756-2023")</f>
        <v/>
      </c>
      <c r="V579">
        <f>HYPERLINK("https://klasma.github.io/Logging_0480/klagomål/A 43756-2023 FSC-klagomål.docx", "A 43756-2023")</f>
        <v/>
      </c>
      <c r="W579">
        <f>HYPERLINK("https://klasma.github.io/Logging_0480/klagomålsmail/A 43756-2023 FSC-klagomål mail.docx", "A 43756-2023")</f>
        <v/>
      </c>
      <c r="X579">
        <f>HYPERLINK("https://klasma.github.io/Logging_0480/tillsyn/A 43756-2023 tillsynsbegäran.docx", "A 43756-2023")</f>
        <v/>
      </c>
      <c r="Y579">
        <f>HYPERLINK("https://klasma.github.io/Logging_0480/tillsynsmail/A 43756-2023 tillsynsbegäran mail.docx", "A 43756-2023")</f>
        <v/>
      </c>
    </row>
    <row r="580" ht="15" customHeight="1">
      <c r="A580" t="inlineStr">
        <is>
          <t>A 44476-2023</t>
        </is>
      </c>
      <c r="B580" s="1" t="n">
        <v>45189</v>
      </c>
      <c r="C580" s="1" t="n">
        <v>45761</v>
      </c>
      <c r="D580" t="inlineStr">
        <is>
          <t>SÖDERMANLANDS LÄN</t>
        </is>
      </c>
      <c r="E580" t="inlineStr">
        <is>
          <t>FLEN</t>
        </is>
      </c>
      <c r="G580" t="n">
        <v>3.2</v>
      </c>
      <c r="H580" t="n">
        <v>0</v>
      </c>
      <c r="I580" t="n">
        <v>0</v>
      </c>
      <c r="J580" t="n">
        <v>1</v>
      </c>
      <c r="K580" t="n">
        <v>0</v>
      </c>
      <c r="L580" t="n">
        <v>0</v>
      </c>
      <c r="M580" t="n">
        <v>0</v>
      </c>
      <c r="N580" t="n">
        <v>0</v>
      </c>
      <c r="O580" t="n">
        <v>1</v>
      </c>
      <c r="P580" t="n">
        <v>0</v>
      </c>
      <c r="Q580" t="n">
        <v>1</v>
      </c>
      <c r="R580" s="2" t="inlineStr">
        <is>
          <t>Svedjenäva</t>
        </is>
      </c>
      <c r="S580">
        <f>HYPERLINK("https://klasma.github.io/Logging_0482/artfynd/A 44476-2023 artfynd.xlsx", "A 44476-2023")</f>
        <v/>
      </c>
      <c r="T580">
        <f>HYPERLINK("https://klasma.github.io/Logging_0482/kartor/A 44476-2023 karta.png", "A 44476-2023")</f>
        <v/>
      </c>
      <c r="V580">
        <f>HYPERLINK("https://klasma.github.io/Logging_0482/klagomål/A 44476-2023 FSC-klagomål.docx", "A 44476-2023")</f>
        <v/>
      </c>
      <c r="W580">
        <f>HYPERLINK("https://klasma.github.io/Logging_0482/klagomålsmail/A 44476-2023 FSC-klagomål mail.docx", "A 44476-2023")</f>
        <v/>
      </c>
      <c r="X580">
        <f>HYPERLINK("https://klasma.github.io/Logging_0482/tillsyn/A 44476-2023 tillsynsbegäran.docx", "A 44476-2023")</f>
        <v/>
      </c>
      <c r="Y580">
        <f>HYPERLINK("https://klasma.github.io/Logging_0482/tillsynsmail/A 44476-2023 tillsynsbegäran mail.docx", "A 44476-2023")</f>
        <v/>
      </c>
    </row>
    <row r="581" ht="15" customHeight="1">
      <c r="A581" t="inlineStr">
        <is>
          <t>A 46596-2023</t>
        </is>
      </c>
      <c r="B581" s="1" t="n">
        <v>45198</v>
      </c>
      <c r="C581" s="1" t="n">
        <v>45761</v>
      </c>
      <c r="D581" t="inlineStr">
        <is>
          <t>SÖDERMANLANDS LÄN</t>
        </is>
      </c>
      <c r="E581" t="inlineStr">
        <is>
          <t>ESKILSTUNA</t>
        </is>
      </c>
      <c r="F581" t="inlineStr">
        <is>
          <t>Allmännings- och besparingsskogar</t>
        </is>
      </c>
      <c r="G581" t="n">
        <v>2.4</v>
      </c>
      <c r="H581" t="n">
        <v>1</v>
      </c>
      <c r="I581" t="n">
        <v>0</v>
      </c>
      <c r="J581" t="n">
        <v>0</v>
      </c>
      <c r="K581" t="n">
        <v>0</v>
      </c>
      <c r="L581" t="n">
        <v>0</v>
      </c>
      <c r="M581" t="n">
        <v>0</v>
      </c>
      <c r="N581" t="n">
        <v>0</v>
      </c>
      <c r="O581" t="n">
        <v>0</v>
      </c>
      <c r="P581" t="n">
        <v>0</v>
      </c>
      <c r="Q581" t="n">
        <v>1</v>
      </c>
      <c r="R581" s="2" t="inlineStr">
        <is>
          <t>Revlummer</t>
        </is>
      </c>
      <c r="S581">
        <f>HYPERLINK("https://klasma.github.io/Logging_0484/artfynd/A 46596-2023 artfynd.xlsx", "A 46596-2023")</f>
        <v/>
      </c>
      <c r="T581">
        <f>HYPERLINK("https://klasma.github.io/Logging_0484/kartor/A 46596-2023 karta.png", "A 46596-2023")</f>
        <v/>
      </c>
      <c r="V581">
        <f>HYPERLINK("https://klasma.github.io/Logging_0484/klagomål/A 46596-2023 FSC-klagomål.docx", "A 46596-2023")</f>
        <v/>
      </c>
      <c r="W581">
        <f>HYPERLINK("https://klasma.github.io/Logging_0484/klagomålsmail/A 46596-2023 FSC-klagomål mail.docx", "A 46596-2023")</f>
        <v/>
      </c>
      <c r="X581">
        <f>HYPERLINK("https://klasma.github.io/Logging_0484/tillsyn/A 46596-2023 tillsynsbegäran.docx", "A 46596-2023")</f>
        <v/>
      </c>
      <c r="Y581">
        <f>HYPERLINK("https://klasma.github.io/Logging_0484/tillsynsmail/A 46596-2023 tillsynsbegäran mail.docx", "A 46596-2023")</f>
        <v/>
      </c>
    </row>
    <row r="582" ht="15" customHeight="1">
      <c r="A582" t="inlineStr">
        <is>
          <t>A 48896-2023</t>
        </is>
      </c>
      <c r="B582" s="1" t="n">
        <v>45209</v>
      </c>
      <c r="C582" s="1" t="n">
        <v>45761</v>
      </c>
      <c r="D582" t="inlineStr">
        <is>
          <t>SÖDERMANLANDS LÄN</t>
        </is>
      </c>
      <c r="E582" t="inlineStr">
        <is>
          <t>FLEN</t>
        </is>
      </c>
      <c r="F582" t="inlineStr">
        <is>
          <t>Övriga statliga verk och myndigheter</t>
        </is>
      </c>
      <c r="G582" t="n">
        <v>6.6</v>
      </c>
      <c r="H582" t="n">
        <v>0</v>
      </c>
      <c r="I582" t="n">
        <v>0</v>
      </c>
      <c r="J582" t="n">
        <v>1</v>
      </c>
      <c r="K582" t="n">
        <v>0</v>
      </c>
      <c r="L582" t="n">
        <v>0</v>
      </c>
      <c r="M582" t="n">
        <v>0</v>
      </c>
      <c r="N582" t="n">
        <v>0</v>
      </c>
      <c r="O582" t="n">
        <v>1</v>
      </c>
      <c r="P582" t="n">
        <v>0</v>
      </c>
      <c r="Q582" t="n">
        <v>1</v>
      </c>
      <c r="R582" s="2" t="inlineStr">
        <is>
          <t>Svinrot</t>
        </is>
      </c>
      <c r="S582">
        <f>HYPERLINK("https://klasma.github.io/Logging_0482/artfynd/A 48896-2023 artfynd.xlsx", "A 48896-2023")</f>
        <v/>
      </c>
      <c r="T582">
        <f>HYPERLINK("https://klasma.github.io/Logging_0482/kartor/A 48896-2023 karta.png", "A 48896-2023")</f>
        <v/>
      </c>
      <c r="V582">
        <f>HYPERLINK("https://klasma.github.io/Logging_0482/klagomål/A 48896-2023 FSC-klagomål.docx", "A 48896-2023")</f>
        <v/>
      </c>
      <c r="W582">
        <f>HYPERLINK("https://klasma.github.io/Logging_0482/klagomålsmail/A 48896-2023 FSC-klagomål mail.docx", "A 48896-2023")</f>
        <v/>
      </c>
      <c r="X582">
        <f>HYPERLINK("https://klasma.github.io/Logging_0482/tillsyn/A 48896-2023 tillsynsbegäran.docx", "A 48896-2023")</f>
        <v/>
      </c>
      <c r="Y582">
        <f>HYPERLINK("https://klasma.github.io/Logging_0482/tillsynsmail/A 48896-2023 tillsynsbegäran mail.docx", "A 48896-2023")</f>
        <v/>
      </c>
    </row>
    <row r="583" ht="15" customHeight="1">
      <c r="A583" t="inlineStr">
        <is>
          <t>A 49808-2023</t>
        </is>
      </c>
      <c r="B583" s="1" t="n">
        <v>45212</v>
      </c>
      <c r="C583" s="1" t="n">
        <v>45761</v>
      </c>
      <c r="D583" t="inlineStr">
        <is>
          <t>SÖDERMANLANDS LÄN</t>
        </is>
      </c>
      <c r="E583" t="inlineStr">
        <is>
          <t>FLEN</t>
        </is>
      </c>
      <c r="F583" t="inlineStr">
        <is>
          <t>Holmen skog AB</t>
        </is>
      </c>
      <c r="G583" t="n">
        <v>12.3</v>
      </c>
      <c r="H583" t="n">
        <v>0</v>
      </c>
      <c r="I583" t="n">
        <v>0</v>
      </c>
      <c r="J583" t="n">
        <v>1</v>
      </c>
      <c r="K583" t="n">
        <v>0</v>
      </c>
      <c r="L583" t="n">
        <v>0</v>
      </c>
      <c r="M583" t="n">
        <v>0</v>
      </c>
      <c r="N583" t="n">
        <v>0</v>
      </c>
      <c r="O583" t="n">
        <v>1</v>
      </c>
      <c r="P583" t="n">
        <v>0</v>
      </c>
      <c r="Q583" t="n">
        <v>1</v>
      </c>
      <c r="R583" s="2" t="inlineStr">
        <is>
          <t>Svinrot</t>
        </is>
      </c>
      <c r="S583">
        <f>HYPERLINK("https://klasma.github.io/Logging_0482/artfynd/A 49808-2023 artfynd.xlsx", "A 49808-2023")</f>
        <v/>
      </c>
      <c r="T583">
        <f>HYPERLINK("https://klasma.github.io/Logging_0482/kartor/A 49808-2023 karta.png", "A 49808-2023")</f>
        <v/>
      </c>
      <c r="V583">
        <f>HYPERLINK("https://klasma.github.io/Logging_0482/klagomål/A 49808-2023 FSC-klagomål.docx", "A 49808-2023")</f>
        <v/>
      </c>
      <c r="W583">
        <f>HYPERLINK("https://klasma.github.io/Logging_0482/klagomålsmail/A 49808-2023 FSC-klagomål mail.docx", "A 49808-2023")</f>
        <v/>
      </c>
      <c r="X583">
        <f>HYPERLINK("https://klasma.github.io/Logging_0482/tillsyn/A 49808-2023 tillsynsbegäran.docx", "A 49808-2023")</f>
        <v/>
      </c>
      <c r="Y583">
        <f>HYPERLINK("https://klasma.github.io/Logging_0482/tillsynsmail/A 49808-2023 tillsynsbegäran mail.docx", "A 49808-2023")</f>
        <v/>
      </c>
    </row>
    <row r="584" ht="15" customHeight="1">
      <c r="A584" t="inlineStr">
        <is>
          <t>A 50010-2023</t>
        </is>
      </c>
      <c r="B584" s="1" t="n">
        <v>45215</v>
      </c>
      <c r="C584" s="1" t="n">
        <v>45761</v>
      </c>
      <c r="D584" t="inlineStr">
        <is>
          <t>SÖDERMANLANDS LÄN</t>
        </is>
      </c>
      <c r="E584" t="inlineStr">
        <is>
          <t>STRÄNGNÄS</t>
        </is>
      </c>
      <c r="F584" t="inlineStr">
        <is>
          <t>Sveaskog</t>
        </is>
      </c>
      <c r="G584" t="n">
        <v>5.6</v>
      </c>
      <c r="H584" t="n">
        <v>1</v>
      </c>
      <c r="I584" t="n">
        <v>0</v>
      </c>
      <c r="J584" t="n">
        <v>0</v>
      </c>
      <c r="K584" t="n">
        <v>0</v>
      </c>
      <c r="L584" t="n">
        <v>0</v>
      </c>
      <c r="M584" t="n">
        <v>0</v>
      </c>
      <c r="N584" t="n">
        <v>0</v>
      </c>
      <c r="O584" t="n">
        <v>0</v>
      </c>
      <c r="P584" t="n">
        <v>0</v>
      </c>
      <c r="Q584" t="n">
        <v>1</v>
      </c>
      <c r="R584" s="2" t="inlineStr">
        <is>
          <t>Blåsippa</t>
        </is>
      </c>
      <c r="S584">
        <f>HYPERLINK("https://klasma.github.io/Logging_0486/artfynd/A 50010-2023 artfynd.xlsx", "A 50010-2023")</f>
        <v/>
      </c>
      <c r="T584">
        <f>HYPERLINK("https://klasma.github.io/Logging_0486/kartor/A 50010-2023 karta.png", "A 50010-2023")</f>
        <v/>
      </c>
      <c r="V584">
        <f>HYPERLINK("https://klasma.github.io/Logging_0486/klagomål/A 50010-2023 FSC-klagomål.docx", "A 50010-2023")</f>
        <v/>
      </c>
      <c r="W584">
        <f>HYPERLINK("https://klasma.github.io/Logging_0486/klagomålsmail/A 50010-2023 FSC-klagomål mail.docx", "A 50010-2023")</f>
        <v/>
      </c>
      <c r="X584">
        <f>HYPERLINK("https://klasma.github.io/Logging_0486/tillsyn/A 50010-2023 tillsynsbegäran.docx", "A 50010-2023")</f>
        <v/>
      </c>
      <c r="Y584">
        <f>HYPERLINK("https://klasma.github.io/Logging_0486/tillsynsmail/A 50010-2023 tillsynsbegäran mail.docx", "A 50010-2023")</f>
        <v/>
      </c>
    </row>
    <row r="585" ht="15" customHeight="1">
      <c r="A585" t="inlineStr">
        <is>
          <t>A 52643-2023</t>
        </is>
      </c>
      <c r="B585" s="1" t="n">
        <v>45219</v>
      </c>
      <c r="C585" s="1" t="n">
        <v>45761</v>
      </c>
      <c r="D585" t="inlineStr">
        <is>
          <t>SÖDERMANLANDS LÄN</t>
        </is>
      </c>
      <c r="E585" t="inlineStr">
        <is>
          <t>STRÄNGNÄS</t>
        </is>
      </c>
      <c r="G585" t="n">
        <v>4.1</v>
      </c>
      <c r="H585" t="n">
        <v>0</v>
      </c>
      <c r="I585" t="n">
        <v>0</v>
      </c>
      <c r="J585" t="n">
        <v>1</v>
      </c>
      <c r="K585" t="n">
        <v>0</v>
      </c>
      <c r="L585" t="n">
        <v>0</v>
      </c>
      <c r="M585" t="n">
        <v>0</v>
      </c>
      <c r="N585" t="n">
        <v>0</v>
      </c>
      <c r="O585" t="n">
        <v>1</v>
      </c>
      <c r="P585" t="n">
        <v>0</v>
      </c>
      <c r="Q585" t="n">
        <v>1</v>
      </c>
      <c r="R585" s="2" t="inlineStr">
        <is>
          <t>Vanlig backsmörblomma</t>
        </is>
      </c>
      <c r="S585">
        <f>HYPERLINK("https://klasma.github.io/Logging_0486/artfynd/A 52643-2023 artfynd.xlsx", "A 52643-2023")</f>
        <v/>
      </c>
      <c r="T585">
        <f>HYPERLINK("https://klasma.github.io/Logging_0486/kartor/A 52643-2023 karta.png", "A 52643-2023")</f>
        <v/>
      </c>
      <c r="V585">
        <f>HYPERLINK("https://klasma.github.io/Logging_0486/klagomål/A 52643-2023 FSC-klagomål.docx", "A 52643-2023")</f>
        <v/>
      </c>
      <c r="W585">
        <f>HYPERLINK("https://klasma.github.io/Logging_0486/klagomålsmail/A 52643-2023 FSC-klagomål mail.docx", "A 52643-2023")</f>
        <v/>
      </c>
      <c r="X585">
        <f>HYPERLINK("https://klasma.github.io/Logging_0486/tillsyn/A 52643-2023 tillsynsbegäran.docx", "A 52643-2023")</f>
        <v/>
      </c>
      <c r="Y585">
        <f>HYPERLINK("https://klasma.github.io/Logging_0486/tillsynsmail/A 52643-2023 tillsynsbegäran mail.docx", "A 52643-2023")</f>
        <v/>
      </c>
    </row>
    <row r="586" ht="15" customHeight="1">
      <c r="A586" t="inlineStr">
        <is>
          <t>A 53339-2023</t>
        </is>
      </c>
      <c r="B586" s="1" t="n">
        <v>45222</v>
      </c>
      <c r="C586" s="1" t="n">
        <v>45761</v>
      </c>
      <c r="D586" t="inlineStr">
        <is>
          <t>SÖDERMANLANDS LÄN</t>
        </is>
      </c>
      <c r="E586" t="inlineStr">
        <is>
          <t>FLEN</t>
        </is>
      </c>
      <c r="G586" t="n">
        <v>1.1</v>
      </c>
      <c r="H586" t="n">
        <v>1</v>
      </c>
      <c r="I586" t="n">
        <v>0</v>
      </c>
      <c r="J586" t="n">
        <v>0</v>
      </c>
      <c r="K586" t="n">
        <v>0</v>
      </c>
      <c r="L586" t="n">
        <v>0</v>
      </c>
      <c r="M586" t="n">
        <v>0</v>
      </c>
      <c r="N586" t="n">
        <v>0</v>
      </c>
      <c r="O586" t="n">
        <v>0</v>
      </c>
      <c r="P586" t="n">
        <v>0</v>
      </c>
      <c r="Q586" t="n">
        <v>1</v>
      </c>
      <c r="R586" s="2" t="inlineStr">
        <is>
          <t>Blåsippa</t>
        </is>
      </c>
      <c r="S586">
        <f>HYPERLINK("https://klasma.github.io/Logging_0482/artfynd/A 53339-2023 artfynd.xlsx", "A 53339-2023")</f>
        <v/>
      </c>
      <c r="T586">
        <f>HYPERLINK("https://klasma.github.io/Logging_0482/kartor/A 53339-2023 karta.png", "A 53339-2023")</f>
        <v/>
      </c>
      <c r="V586">
        <f>HYPERLINK("https://klasma.github.io/Logging_0482/klagomål/A 53339-2023 FSC-klagomål.docx", "A 53339-2023")</f>
        <v/>
      </c>
      <c r="W586">
        <f>HYPERLINK("https://klasma.github.io/Logging_0482/klagomålsmail/A 53339-2023 FSC-klagomål mail.docx", "A 53339-2023")</f>
        <v/>
      </c>
      <c r="X586">
        <f>HYPERLINK("https://klasma.github.io/Logging_0482/tillsyn/A 53339-2023 tillsynsbegäran.docx", "A 53339-2023")</f>
        <v/>
      </c>
      <c r="Y586">
        <f>HYPERLINK("https://klasma.github.io/Logging_0482/tillsynsmail/A 53339-2023 tillsynsbegäran mail.docx", "A 53339-2023")</f>
        <v/>
      </c>
    </row>
    <row r="587" ht="15" customHeight="1">
      <c r="A587" t="inlineStr">
        <is>
          <t>A 52320-2023</t>
        </is>
      </c>
      <c r="B587" s="1" t="n">
        <v>45224</v>
      </c>
      <c r="C587" s="1" t="n">
        <v>45761</v>
      </c>
      <c r="D587" t="inlineStr">
        <is>
          <t>SÖDERMANLANDS LÄN</t>
        </is>
      </c>
      <c r="E587" t="inlineStr">
        <is>
          <t>STRÄNGNÄS</t>
        </is>
      </c>
      <c r="G587" t="n">
        <v>1.2</v>
      </c>
      <c r="H587" t="n">
        <v>0</v>
      </c>
      <c r="I587" t="n">
        <v>1</v>
      </c>
      <c r="J587" t="n">
        <v>0</v>
      </c>
      <c r="K587" t="n">
        <v>0</v>
      </c>
      <c r="L587" t="n">
        <v>0</v>
      </c>
      <c r="M587" t="n">
        <v>0</v>
      </c>
      <c r="N587" t="n">
        <v>0</v>
      </c>
      <c r="O587" t="n">
        <v>0</v>
      </c>
      <c r="P587" t="n">
        <v>0</v>
      </c>
      <c r="Q587" t="n">
        <v>1</v>
      </c>
      <c r="R587" s="2" t="inlineStr">
        <is>
          <t>Mindre märgborre</t>
        </is>
      </c>
      <c r="S587">
        <f>HYPERLINK("https://klasma.github.io/Logging_0486/artfynd/A 52320-2023 artfynd.xlsx", "A 52320-2023")</f>
        <v/>
      </c>
      <c r="T587">
        <f>HYPERLINK("https://klasma.github.io/Logging_0486/kartor/A 52320-2023 karta.png", "A 52320-2023")</f>
        <v/>
      </c>
      <c r="V587">
        <f>HYPERLINK("https://klasma.github.io/Logging_0486/klagomål/A 52320-2023 FSC-klagomål.docx", "A 52320-2023")</f>
        <v/>
      </c>
      <c r="W587">
        <f>HYPERLINK("https://klasma.github.io/Logging_0486/klagomålsmail/A 52320-2023 FSC-klagomål mail.docx", "A 52320-2023")</f>
        <v/>
      </c>
      <c r="X587">
        <f>HYPERLINK("https://klasma.github.io/Logging_0486/tillsyn/A 52320-2023 tillsynsbegäran.docx", "A 52320-2023")</f>
        <v/>
      </c>
      <c r="Y587">
        <f>HYPERLINK("https://klasma.github.io/Logging_0486/tillsynsmail/A 52320-2023 tillsynsbegäran mail.docx", "A 52320-2023")</f>
        <v/>
      </c>
    </row>
    <row r="588" ht="15" customHeight="1">
      <c r="A588" t="inlineStr">
        <is>
          <t>A 53930-2023</t>
        </is>
      </c>
      <c r="B588" s="1" t="n">
        <v>45225</v>
      </c>
      <c r="C588" s="1" t="n">
        <v>45761</v>
      </c>
      <c r="D588" t="inlineStr">
        <is>
          <t>SÖDERMANLANDS LÄN</t>
        </is>
      </c>
      <c r="E588" t="inlineStr">
        <is>
          <t>STRÄNGNÄS</t>
        </is>
      </c>
      <c r="G588" t="n">
        <v>6.1</v>
      </c>
      <c r="H588" t="n">
        <v>0</v>
      </c>
      <c r="I588" t="n">
        <v>0</v>
      </c>
      <c r="J588" t="n">
        <v>0</v>
      </c>
      <c r="K588" t="n">
        <v>1</v>
      </c>
      <c r="L588" t="n">
        <v>0</v>
      </c>
      <c r="M588" t="n">
        <v>0</v>
      </c>
      <c r="N588" t="n">
        <v>0</v>
      </c>
      <c r="O588" t="n">
        <v>1</v>
      </c>
      <c r="P588" t="n">
        <v>1</v>
      </c>
      <c r="Q588" t="n">
        <v>1</v>
      </c>
      <c r="R588" s="2" t="inlineStr">
        <is>
          <t>Färgginst</t>
        </is>
      </c>
      <c r="S588">
        <f>HYPERLINK("https://klasma.github.io/Logging_0486/artfynd/A 53930-2023 artfynd.xlsx", "A 53930-2023")</f>
        <v/>
      </c>
      <c r="T588">
        <f>HYPERLINK("https://klasma.github.io/Logging_0486/kartor/A 53930-2023 karta.png", "A 53930-2023")</f>
        <v/>
      </c>
      <c r="V588">
        <f>HYPERLINK("https://klasma.github.io/Logging_0486/klagomål/A 53930-2023 FSC-klagomål.docx", "A 53930-2023")</f>
        <v/>
      </c>
      <c r="W588">
        <f>HYPERLINK("https://klasma.github.io/Logging_0486/klagomålsmail/A 53930-2023 FSC-klagomål mail.docx", "A 53930-2023")</f>
        <v/>
      </c>
      <c r="X588">
        <f>HYPERLINK("https://klasma.github.io/Logging_0486/tillsyn/A 53930-2023 tillsynsbegäran.docx", "A 53930-2023")</f>
        <v/>
      </c>
      <c r="Y588">
        <f>HYPERLINK("https://klasma.github.io/Logging_0486/tillsynsmail/A 53930-2023 tillsynsbegäran mail.docx", "A 53930-2023")</f>
        <v/>
      </c>
    </row>
    <row r="589" ht="15" customHeight="1">
      <c r="A589" t="inlineStr">
        <is>
          <t>A 52888-2023</t>
        </is>
      </c>
      <c r="B589" s="1" t="n">
        <v>45226</v>
      </c>
      <c r="C589" s="1" t="n">
        <v>45761</v>
      </c>
      <c r="D589" t="inlineStr">
        <is>
          <t>SÖDERMANLANDS LÄN</t>
        </is>
      </c>
      <c r="E589" t="inlineStr">
        <is>
          <t>STRÄNGNÄS</t>
        </is>
      </c>
      <c r="G589" t="n">
        <v>5.5</v>
      </c>
      <c r="H589" t="n">
        <v>1</v>
      </c>
      <c r="I589" t="n">
        <v>0</v>
      </c>
      <c r="J589" t="n">
        <v>1</v>
      </c>
      <c r="K589" t="n">
        <v>0</v>
      </c>
      <c r="L589" t="n">
        <v>0</v>
      </c>
      <c r="M589" t="n">
        <v>0</v>
      </c>
      <c r="N589" t="n">
        <v>0</v>
      </c>
      <c r="O589" t="n">
        <v>1</v>
      </c>
      <c r="P589" t="n">
        <v>0</v>
      </c>
      <c r="Q589" t="n">
        <v>1</v>
      </c>
      <c r="R589" s="2" t="inlineStr">
        <is>
          <t>Talltita</t>
        </is>
      </c>
      <c r="S589">
        <f>HYPERLINK("https://klasma.github.io/Logging_0486/artfynd/A 52888-2023 artfynd.xlsx", "A 52888-2023")</f>
        <v/>
      </c>
      <c r="T589">
        <f>HYPERLINK("https://klasma.github.io/Logging_0486/kartor/A 52888-2023 karta.png", "A 52888-2023")</f>
        <v/>
      </c>
      <c r="V589">
        <f>HYPERLINK("https://klasma.github.io/Logging_0486/klagomål/A 52888-2023 FSC-klagomål.docx", "A 52888-2023")</f>
        <v/>
      </c>
      <c r="W589">
        <f>HYPERLINK("https://klasma.github.io/Logging_0486/klagomålsmail/A 52888-2023 FSC-klagomål mail.docx", "A 52888-2023")</f>
        <v/>
      </c>
      <c r="X589">
        <f>HYPERLINK("https://klasma.github.io/Logging_0486/tillsyn/A 52888-2023 tillsynsbegäran.docx", "A 52888-2023")</f>
        <v/>
      </c>
      <c r="Y589">
        <f>HYPERLINK("https://klasma.github.io/Logging_0486/tillsynsmail/A 52888-2023 tillsynsbegäran mail.docx", "A 52888-2023")</f>
        <v/>
      </c>
      <c r="Z589">
        <f>HYPERLINK("https://klasma.github.io/Logging_0486/fåglar/A 52888-2023 prioriterade fågelarter.docx", "A 52888-2023")</f>
        <v/>
      </c>
    </row>
    <row r="590" ht="15" customHeight="1">
      <c r="A590" t="inlineStr">
        <is>
          <t>A 54498-2023</t>
        </is>
      </c>
      <c r="B590" s="1" t="n">
        <v>45226</v>
      </c>
      <c r="C590" s="1" t="n">
        <v>45761</v>
      </c>
      <c r="D590" t="inlineStr">
        <is>
          <t>SÖDERMANLANDS LÄN</t>
        </is>
      </c>
      <c r="E590" t="inlineStr">
        <is>
          <t>NYKÖPING</t>
        </is>
      </c>
      <c r="G590" t="n">
        <v>4.7</v>
      </c>
      <c r="H590" t="n">
        <v>1</v>
      </c>
      <c r="I590" t="n">
        <v>0</v>
      </c>
      <c r="J590" t="n">
        <v>0</v>
      </c>
      <c r="K590" t="n">
        <v>0</v>
      </c>
      <c r="L590" t="n">
        <v>1</v>
      </c>
      <c r="M590" t="n">
        <v>0</v>
      </c>
      <c r="N590" t="n">
        <v>0</v>
      </c>
      <c r="O590" t="n">
        <v>1</v>
      </c>
      <c r="P590" t="n">
        <v>1</v>
      </c>
      <c r="Q590" t="n">
        <v>1</v>
      </c>
      <c r="R590" s="2" t="inlineStr">
        <is>
          <t>Brun glada</t>
        </is>
      </c>
      <c r="S590">
        <f>HYPERLINK("https://klasma.github.io/Logging_0480/artfynd/A 54498-2023 artfynd.xlsx", "A 54498-2023")</f>
        <v/>
      </c>
      <c r="T590">
        <f>HYPERLINK("https://klasma.github.io/Logging_0480/kartor/A 54498-2023 karta.png", "A 54498-2023")</f>
        <v/>
      </c>
      <c r="V590">
        <f>HYPERLINK("https://klasma.github.io/Logging_0480/klagomål/A 54498-2023 FSC-klagomål.docx", "A 54498-2023")</f>
        <v/>
      </c>
      <c r="W590">
        <f>HYPERLINK("https://klasma.github.io/Logging_0480/klagomålsmail/A 54498-2023 FSC-klagomål mail.docx", "A 54498-2023")</f>
        <v/>
      </c>
      <c r="X590">
        <f>HYPERLINK("https://klasma.github.io/Logging_0480/tillsyn/A 54498-2023 tillsynsbegäran.docx", "A 54498-2023")</f>
        <v/>
      </c>
      <c r="Y590">
        <f>HYPERLINK("https://klasma.github.io/Logging_0480/tillsynsmail/A 54498-2023 tillsynsbegäran mail.docx", "A 54498-2023")</f>
        <v/>
      </c>
      <c r="Z590">
        <f>HYPERLINK("https://klasma.github.io/Logging_0480/fåglar/A 54498-2023 prioriterade fågelarter.docx", "A 54498-2023")</f>
        <v/>
      </c>
    </row>
    <row r="591" ht="15" customHeight="1">
      <c r="A591" t="inlineStr">
        <is>
          <t>A 52847-2023</t>
        </is>
      </c>
      <c r="B591" s="1" t="n">
        <v>45226</v>
      </c>
      <c r="C591" s="1" t="n">
        <v>45761</v>
      </c>
      <c r="D591" t="inlineStr">
        <is>
          <t>SÖDERMANLANDS LÄN</t>
        </is>
      </c>
      <c r="E591" t="inlineStr">
        <is>
          <t>STRÄNGNÄS</t>
        </is>
      </c>
      <c r="G591" t="n">
        <v>5.9</v>
      </c>
      <c r="H591" t="n">
        <v>0</v>
      </c>
      <c r="I591" t="n">
        <v>0</v>
      </c>
      <c r="J591" t="n">
        <v>1</v>
      </c>
      <c r="K591" t="n">
        <v>0</v>
      </c>
      <c r="L591" t="n">
        <v>0</v>
      </c>
      <c r="M591" t="n">
        <v>0</v>
      </c>
      <c r="N591" t="n">
        <v>0</v>
      </c>
      <c r="O591" t="n">
        <v>1</v>
      </c>
      <c r="P591" t="n">
        <v>0</v>
      </c>
      <c r="Q591" t="n">
        <v>1</v>
      </c>
      <c r="R591" s="2" t="inlineStr">
        <is>
          <t>Backklöver</t>
        </is>
      </c>
      <c r="S591">
        <f>HYPERLINK("https://klasma.github.io/Logging_0486/artfynd/A 52847-2023 artfynd.xlsx", "A 52847-2023")</f>
        <v/>
      </c>
      <c r="T591">
        <f>HYPERLINK("https://klasma.github.io/Logging_0486/kartor/A 52847-2023 karta.png", "A 52847-2023")</f>
        <v/>
      </c>
      <c r="V591">
        <f>HYPERLINK("https://klasma.github.io/Logging_0486/klagomål/A 52847-2023 FSC-klagomål.docx", "A 52847-2023")</f>
        <v/>
      </c>
      <c r="W591">
        <f>HYPERLINK("https://klasma.github.io/Logging_0486/klagomålsmail/A 52847-2023 FSC-klagomål mail.docx", "A 52847-2023")</f>
        <v/>
      </c>
      <c r="X591">
        <f>HYPERLINK("https://klasma.github.io/Logging_0486/tillsyn/A 52847-2023 tillsynsbegäran.docx", "A 52847-2023")</f>
        <v/>
      </c>
      <c r="Y591">
        <f>HYPERLINK("https://klasma.github.io/Logging_0486/tillsynsmail/A 52847-2023 tillsynsbegäran mail.docx", "A 52847-2023")</f>
        <v/>
      </c>
    </row>
    <row r="592" ht="15" customHeight="1">
      <c r="A592" t="inlineStr">
        <is>
          <t>A 52768-2023</t>
        </is>
      </c>
      <c r="B592" s="1" t="n">
        <v>45226</v>
      </c>
      <c r="C592" s="1" t="n">
        <v>45761</v>
      </c>
      <c r="D592" t="inlineStr">
        <is>
          <t>SÖDERMANLANDS LÄN</t>
        </is>
      </c>
      <c r="E592" t="inlineStr">
        <is>
          <t>KATRINEHOLM</t>
        </is>
      </c>
      <c r="G592" t="n">
        <v>2.1</v>
      </c>
      <c r="H592" t="n">
        <v>0</v>
      </c>
      <c r="I592" t="n">
        <v>0</v>
      </c>
      <c r="J592" t="n">
        <v>1</v>
      </c>
      <c r="K592" t="n">
        <v>0</v>
      </c>
      <c r="L592" t="n">
        <v>0</v>
      </c>
      <c r="M592" t="n">
        <v>0</v>
      </c>
      <c r="N592" t="n">
        <v>0</v>
      </c>
      <c r="O592" t="n">
        <v>1</v>
      </c>
      <c r="P592" t="n">
        <v>0</v>
      </c>
      <c r="Q592" t="n">
        <v>1</v>
      </c>
      <c r="R592" s="2" t="inlineStr">
        <is>
          <t>Tallticka</t>
        </is>
      </c>
      <c r="S592">
        <f>HYPERLINK("https://klasma.github.io/Logging_0483/artfynd/A 52768-2023 artfynd.xlsx", "A 52768-2023")</f>
        <v/>
      </c>
      <c r="T592">
        <f>HYPERLINK("https://klasma.github.io/Logging_0483/kartor/A 52768-2023 karta.png", "A 52768-2023")</f>
        <v/>
      </c>
      <c r="V592">
        <f>HYPERLINK("https://klasma.github.io/Logging_0483/klagomål/A 52768-2023 FSC-klagomål.docx", "A 52768-2023")</f>
        <v/>
      </c>
      <c r="W592">
        <f>HYPERLINK("https://klasma.github.io/Logging_0483/klagomålsmail/A 52768-2023 FSC-klagomål mail.docx", "A 52768-2023")</f>
        <v/>
      </c>
      <c r="X592">
        <f>HYPERLINK("https://klasma.github.io/Logging_0483/tillsyn/A 52768-2023 tillsynsbegäran.docx", "A 52768-2023")</f>
        <v/>
      </c>
      <c r="Y592">
        <f>HYPERLINK("https://klasma.github.io/Logging_0483/tillsynsmail/A 52768-2023 tillsynsbegäran mail.docx", "A 52768-2023")</f>
        <v/>
      </c>
    </row>
    <row r="593" ht="15" customHeight="1">
      <c r="A593" t="inlineStr">
        <is>
          <t>A 53340-2023</t>
        </is>
      </c>
      <c r="B593" s="1" t="n">
        <v>45229</v>
      </c>
      <c r="C593" s="1" t="n">
        <v>45761</v>
      </c>
      <c r="D593" t="inlineStr">
        <is>
          <t>SÖDERMANLANDS LÄN</t>
        </is>
      </c>
      <c r="E593" t="inlineStr">
        <is>
          <t>NYKÖPING</t>
        </is>
      </c>
      <c r="F593" t="inlineStr">
        <is>
          <t>Holmen skog AB</t>
        </is>
      </c>
      <c r="G593" t="n">
        <v>2.6</v>
      </c>
      <c r="H593" t="n">
        <v>0</v>
      </c>
      <c r="I593" t="n">
        <v>0</v>
      </c>
      <c r="J593" t="n">
        <v>1</v>
      </c>
      <c r="K593" t="n">
        <v>0</v>
      </c>
      <c r="L593" t="n">
        <v>0</v>
      </c>
      <c r="M593" t="n">
        <v>0</v>
      </c>
      <c r="N593" t="n">
        <v>0</v>
      </c>
      <c r="O593" t="n">
        <v>1</v>
      </c>
      <c r="P593" t="n">
        <v>0</v>
      </c>
      <c r="Q593" t="n">
        <v>1</v>
      </c>
      <c r="R593" s="2" t="inlineStr">
        <is>
          <t>Tallticka</t>
        </is>
      </c>
      <c r="S593">
        <f>HYPERLINK("https://klasma.github.io/Logging_0480/artfynd/A 53340-2023 artfynd.xlsx", "A 53340-2023")</f>
        <v/>
      </c>
      <c r="T593">
        <f>HYPERLINK("https://klasma.github.io/Logging_0480/kartor/A 53340-2023 karta.png", "A 53340-2023")</f>
        <v/>
      </c>
      <c r="V593">
        <f>HYPERLINK("https://klasma.github.io/Logging_0480/klagomål/A 53340-2023 FSC-klagomål.docx", "A 53340-2023")</f>
        <v/>
      </c>
      <c r="W593">
        <f>HYPERLINK("https://klasma.github.io/Logging_0480/klagomålsmail/A 53340-2023 FSC-klagomål mail.docx", "A 53340-2023")</f>
        <v/>
      </c>
      <c r="X593">
        <f>HYPERLINK("https://klasma.github.io/Logging_0480/tillsyn/A 53340-2023 tillsynsbegäran.docx", "A 53340-2023")</f>
        <v/>
      </c>
      <c r="Y593">
        <f>HYPERLINK("https://klasma.github.io/Logging_0480/tillsynsmail/A 53340-2023 tillsynsbegäran mail.docx", "A 53340-2023")</f>
        <v/>
      </c>
    </row>
    <row r="594" ht="15" customHeight="1">
      <c r="A594" t="inlineStr">
        <is>
          <t>A 53154-2023</t>
        </is>
      </c>
      <c r="B594" s="1" t="n">
        <v>45229</v>
      </c>
      <c r="C594" s="1" t="n">
        <v>45761</v>
      </c>
      <c r="D594" t="inlineStr">
        <is>
          <t>SÖDERMANLANDS LÄN</t>
        </is>
      </c>
      <c r="E594" t="inlineStr">
        <is>
          <t>KATRINEHOLM</t>
        </is>
      </c>
      <c r="G594" t="n">
        <v>2.1</v>
      </c>
      <c r="H594" t="n">
        <v>1</v>
      </c>
      <c r="I594" t="n">
        <v>0</v>
      </c>
      <c r="J594" t="n">
        <v>0</v>
      </c>
      <c r="K594" t="n">
        <v>0</v>
      </c>
      <c r="L594" t="n">
        <v>0</v>
      </c>
      <c r="M594" t="n">
        <v>0</v>
      </c>
      <c r="N594" t="n">
        <v>0</v>
      </c>
      <c r="O594" t="n">
        <v>0</v>
      </c>
      <c r="P594" t="n">
        <v>0</v>
      </c>
      <c r="Q594" t="n">
        <v>1</v>
      </c>
      <c r="R594" s="2" t="inlineStr">
        <is>
          <t>Skogsduva</t>
        </is>
      </c>
      <c r="S594">
        <f>HYPERLINK("https://klasma.github.io/Logging_0483/artfynd/A 53154-2023 artfynd.xlsx", "A 53154-2023")</f>
        <v/>
      </c>
      <c r="T594">
        <f>HYPERLINK("https://klasma.github.io/Logging_0483/kartor/A 53154-2023 karta.png", "A 53154-2023")</f>
        <v/>
      </c>
      <c r="V594">
        <f>HYPERLINK("https://klasma.github.io/Logging_0483/klagomål/A 53154-2023 FSC-klagomål.docx", "A 53154-2023")</f>
        <v/>
      </c>
      <c r="W594">
        <f>HYPERLINK("https://klasma.github.io/Logging_0483/klagomålsmail/A 53154-2023 FSC-klagomål mail.docx", "A 53154-2023")</f>
        <v/>
      </c>
      <c r="X594">
        <f>HYPERLINK("https://klasma.github.io/Logging_0483/tillsyn/A 53154-2023 tillsynsbegäran.docx", "A 53154-2023")</f>
        <v/>
      </c>
      <c r="Y594">
        <f>HYPERLINK("https://klasma.github.io/Logging_0483/tillsynsmail/A 53154-2023 tillsynsbegäran mail.docx", "A 53154-2023")</f>
        <v/>
      </c>
      <c r="Z594">
        <f>HYPERLINK("https://klasma.github.io/Logging_0483/fåglar/A 53154-2023 prioriterade fågelarter.docx", "A 53154-2023")</f>
        <v/>
      </c>
    </row>
    <row r="595" ht="15" customHeight="1">
      <c r="A595" t="inlineStr">
        <is>
          <t>A 53990-2023</t>
        </is>
      </c>
      <c r="B595" s="1" t="n">
        <v>45231</v>
      </c>
      <c r="C595" s="1" t="n">
        <v>45761</v>
      </c>
      <c r="D595" t="inlineStr">
        <is>
          <t>SÖDERMANLANDS LÄN</t>
        </is>
      </c>
      <c r="E595" t="inlineStr">
        <is>
          <t>KATRINEHOLM</t>
        </is>
      </c>
      <c r="G595" t="n">
        <v>6.1</v>
      </c>
      <c r="H595" t="n">
        <v>0</v>
      </c>
      <c r="I595" t="n">
        <v>0</v>
      </c>
      <c r="J595" t="n">
        <v>1</v>
      </c>
      <c r="K595" t="n">
        <v>0</v>
      </c>
      <c r="L595" t="n">
        <v>0</v>
      </c>
      <c r="M595" t="n">
        <v>0</v>
      </c>
      <c r="N595" t="n">
        <v>0</v>
      </c>
      <c r="O595" t="n">
        <v>1</v>
      </c>
      <c r="P595" t="n">
        <v>0</v>
      </c>
      <c r="Q595" t="n">
        <v>1</v>
      </c>
      <c r="R595" s="2" t="inlineStr">
        <is>
          <t>Motaggsvamp</t>
        </is>
      </c>
      <c r="S595">
        <f>HYPERLINK("https://klasma.github.io/Logging_0483/artfynd/A 53990-2023 artfynd.xlsx", "A 53990-2023")</f>
        <v/>
      </c>
      <c r="T595">
        <f>HYPERLINK("https://klasma.github.io/Logging_0483/kartor/A 53990-2023 karta.png", "A 53990-2023")</f>
        <v/>
      </c>
      <c r="V595">
        <f>HYPERLINK("https://klasma.github.io/Logging_0483/klagomål/A 53990-2023 FSC-klagomål.docx", "A 53990-2023")</f>
        <v/>
      </c>
      <c r="W595">
        <f>HYPERLINK("https://klasma.github.io/Logging_0483/klagomålsmail/A 53990-2023 FSC-klagomål mail.docx", "A 53990-2023")</f>
        <v/>
      </c>
      <c r="X595">
        <f>HYPERLINK("https://klasma.github.io/Logging_0483/tillsyn/A 53990-2023 tillsynsbegäran.docx", "A 53990-2023")</f>
        <v/>
      </c>
      <c r="Y595">
        <f>HYPERLINK("https://klasma.github.io/Logging_0483/tillsynsmail/A 53990-2023 tillsynsbegäran mail.docx", "A 53990-2023")</f>
        <v/>
      </c>
    </row>
    <row r="596" ht="15" customHeight="1">
      <c r="A596" t="inlineStr">
        <is>
          <t>A 59329-2023</t>
        </is>
      </c>
      <c r="B596" s="1" t="n">
        <v>45252</v>
      </c>
      <c r="C596" s="1" t="n">
        <v>45761</v>
      </c>
      <c r="D596" t="inlineStr">
        <is>
          <t>SÖDERMANLANDS LÄN</t>
        </is>
      </c>
      <c r="E596" t="inlineStr">
        <is>
          <t>NYKÖPING</t>
        </is>
      </c>
      <c r="G596" t="n">
        <v>22.1</v>
      </c>
      <c r="H596" t="n">
        <v>1</v>
      </c>
      <c r="I596" t="n">
        <v>0</v>
      </c>
      <c r="J596" t="n">
        <v>0</v>
      </c>
      <c r="K596" t="n">
        <v>0</v>
      </c>
      <c r="L596" t="n">
        <v>0</v>
      </c>
      <c r="M596" t="n">
        <v>0</v>
      </c>
      <c r="N596" t="n">
        <v>0</v>
      </c>
      <c r="O596" t="n">
        <v>0</v>
      </c>
      <c r="P596" t="n">
        <v>0</v>
      </c>
      <c r="Q596" t="n">
        <v>1</v>
      </c>
      <c r="R596" s="2" t="inlineStr">
        <is>
          <t>Blåsippa</t>
        </is>
      </c>
      <c r="S596">
        <f>HYPERLINK("https://klasma.github.io/Logging_0480/artfynd/A 59329-2023 artfynd.xlsx", "A 59329-2023")</f>
        <v/>
      </c>
      <c r="T596">
        <f>HYPERLINK("https://klasma.github.io/Logging_0480/kartor/A 59329-2023 karta.png", "A 59329-2023")</f>
        <v/>
      </c>
      <c r="V596">
        <f>HYPERLINK("https://klasma.github.io/Logging_0480/klagomål/A 59329-2023 FSC-klagomål.docx", "A 59329-2023")</f>
        <v/>
      </c>
      <c r="W596">
        <f>HYPERLINK("https://klasma.github.io/Logging_0480/klagomålsmail/A 59329-2023 FSC-klagomål mail.docx", "A 59329-2023")</f>
        <v/>
      </c>
      <c r="X596">
        <f>HYPERLINK("https://klasma.github.io/Logging_0480/tillsyn/A 59329-2023 tillsynsbegäran.docx", "A 59329-2023")</f>
        <v/>
      </c>
      <c r="Y596">
        <f>HYPERLINK("https://klasma.github.io/Logging_0480/tillsynsmail/A 59329-2023 tillsynsbegäran mail.docx", "A 59329-2023")</f>
        <v/>
      </c>
    </row>
    <row r="597" ht="15" customHeight="1">
      <c r="A597" t="inlineStr">
        <is>
          <t>A 60807-2023</t>
        </is>
      </c>
      <c r="B597" s="1" t="n">
        <v>45260</v>
      </c>
      <c r="C597" s="1" t="n">
        <v>45761</v>
      </c>
      <c r="D597" t="inlineStr">
        <is>
          <t>SÖDERMANLANDS LÄN</t>
        </is>
      </c>
      <c r="E597" t="inlineStr">
        <is>
          <t>TROSA</t>
        </is>
      </c>
      <c r="G597" t="n">
        <v>7.8</v>
      </c>
      <c r="H597" t="n">
        <v>1</v>
      </c>
      <c r="I597" t="n">
        <v>0</v>
      </c>
      <c r="J597" t="n">
        <v>0</v>
      </c>
      <c r="K597" t="n">
        <v>0</v>
      </c>
      <c r="L597" t="n">
        <v>0</v>
      </c>
      <c r="M597" t="n">
        <v>0</v>
      </c>
      <c r="N597" t="n">
        <v>0</v>
      </c>
      <c r="O597" t="n">
        <v>0</v>
      </c>
      <c r="P597" t="n">
        <v>0</v>
      </c>
      <c r="Q597" t="n">
        <v>1</v>
      </c>
      <c r="R597" s="2" t="inlineStr">
        <is>
          <t>Tjäder</t>
        </is>
      </c>
      <c r="S597">
        <f>HYPERLINK("https://klasma.github.io/Logging_0488/artfynd/A 60807-2023 artfynd.xlsx", "A 60807-2023")</f>
        <v/>
      </c>
      <c r="T597">
        <f>HYPERLINK("https://klasma.github.io/Logging_0488/kartor/A 60807-2023 karta.png", "A 60807-2023")</f>
        <v/>
      </c>
      <c r="V597">
        <f>HYPERLINK("https://klasma.github.io/Logging_0488/klagomål/A 60807-2023 FSC-klagomål.docx", "A 60807-2023")</f>
        <v/>
      </c>
      <c r="W597">
        <f>HYPERLINK("https://klasma.github.io/Logging_0488/klagomålsmail/A 60807-2023 FSC-klagomål mail.docx", "A 60807-2023")</f>
        <v/>
      </c>
      <c r="X597">
        <f>HYPERLINK("https://klasma.github.io/Logging_0488/tillsyn/A 60807-2023 tillsynsbegäran.docx", "A 60807-2023")</f>
        <v/>
      </c>
      <c r="Y597">
        <f>HYPERLINK("https://klasma.github.io/Logging_0488/tillsynsmail/A 60807-2023 tillsynsbegäran mail.docx", "A 60807-2023")</f>
        <v/>
      </c>
      <c r="Z597">
        <f>HYPERLINK("https://klasma.github.io/Logging_0488/fåglar/A 60807-2023 prioriterade fågelarter.docx", "A 60807-2023")</f>
        <v/>
      </c>
    </row>
    <row r="598" ht="15" customHeight="1">
      <c r="A598" t="inlineStr">
        <is>
          <t>A 62737-2023</t>
        </is>
      </c>
      <c r="B598" s="1" t="n">
        <v>45271</v>
      </c>
      <c r="C598" s="1" t="n">
        <v>45761</v>
      </c>
      <c r="D598" t="inlineStr">
        <is>
          <t>SÖDERMANLANDS LÄN</t>
        </is>
      </c>
      <c r="E598" t="inlineStr">
        <is>
          <t>GNESTA</t>
        </is>
      </c>
      <c r="G598" t="n">
        <v>5.5</v>
      </c>
      <c r="H598" t="n">
        <v>0</v>
      </c>
      <c r="I598" t="n">
        <v>0</v>
      </c>
      <c r="J598" t="n">
        <v>0</v>
      </c>
      <c r="K598" t="n">
        <v>0</v>
      </c>
      <c r="L598" t="n">
        <v>1</v>
      </c>
      <c r="M598" t="n">
        <v>0</v>
      </c>
      <c r="N598" t="n">
        <v>0</v>
      </c>
      <c r="O598" t="n">
        <v>1</v>
      </c>
      <c r="P598" t="n">
        <v>1</v>
      </c>
      <c r="Q598" t="n">
        <v>1</v>
      </c>
      <c r="R598" s="2" t="inlineStr">
        <is>
          <t>Ask</t>
        </is>
      </c>
      <c r="S598">
        <f>HYPERLINK("https://klasma.github.io/Logging_0461/artfynd/A 62737-2023 artfynd.xlsx", "A 62737-2023")</f>
        <v/>
      </c>
      <c r="T598">
        <f>HYPERLINK("https://klasma.github.io/Logging_0461/kartor/A 62737-2023 karta.png", "A 62737-2023")</f>
        <v/>
      </c>
      <c r="V598">
        <f>HYPERLINK("https://klasma.github.io/Logging_0461/klagomål/A 62737-2023 FSC-klagomål.docx", "A 62737-2023")</f>
        <v/>
      </c>
      <c r="W598">
        <f>HYPERLINK("https://klasma.github.io/Logging_0461/klagomålsmail/A 62737-2023 FSC-klagomål mail.docx", "A 62737-2023")</f>
        <v/>
      </c>
      <c r="X598">
        <f>HYPERLINK("https://klasma.github.io/Logging_0461/tillsyn/A 62737-2023 tillsynsbegäran.docx", "A 62737-2023")</f>
        <v/>
      </c>
      <c r="Y598">
        <f>HYPERLINK("https://klasma.github.io/Logging_0461/tillsynsmail/A 62737-2023 tillsynsbegäran mail.docx", "A 62737-2023")</f>
        <v/>
      </c>
    </row>
    <row r="599" ht="15" customHeight="1">
      <c r="A599" t="inlineStr">
        <is>
          <t>A 891-2024</t>
        </is>
      </c>
      <c r="B599" s="1" t="n">
        <v>45301</v>
      </c>
      <c r="C599" s="1" t="n">
        <v>45761</v>
      </c>
      <c r="D599" t="inlineStr">
        <is>
          <t>SÖDERMANLANDS LÄN</t>
        </is>
      </c>
      <c r="E599" t="inlineStr">
        <is>
          <t>NYKÖPING</t>
        </is>
      </c>
      <c r="F599" t="inlineStr">
        <is>
          <t>Holmen skog AB</t>
        </is>
      </c>
      <c r="G599" t="n">
        <v>2.1</v>
      </c>
      <c r="H599" t="n">
        <v>0</v>
      </c>
      <c r="I599" t="n">
        <v>1</v>
      </c>
      <c r="J599" t="n">
        <v>0</v>
      </c>
      <c r="K599" t="n">
        <v>0</v>
      </c>
      <c r="L599" t="n">
        <v>0</v>
      </c>
      <c r="M599" t="n">
        <v>0</v>
      </c>
      <c r="N599" t="n">
        <v>0</v>
      </c>
      <c r="O599" t="n">
        <v>0</v>
      </c>
      <c r="P599" t="n">
        <v>0</v>
      </c>
      <c r="Q599" t="n">
        <v>1</v>
      </c>
      <c r="R599" s="2" t="inlineStr">
        <is>
          <t>Blåmossa</t>
        </is>
      </c>
      <c r="S599">
        <f>HYPERLINK("https://klasma.github.io/Logging_0480/artfynd/A 891-2024 artfynd.xlsx", "A 891-2024")</f>
        <v/>
      </c>
      <c r="T599">
        <f>HYPERLINK("https://klasma.github.io/Logging_0480/kartor/A 891-2024 karta.png", "A 891-2024")</f>
        <v/>
      </c>
      <c r="V599">
        <f>HYPERLINK("https://klasma.github.io/Logging_0480/klagomål/A 891-2024 FSC-klagomål.docx", "A 891-2024")</f>
        <v/>
      </c>
      <c r="W599">
        <f>HYPERLINK("https://klasma.github.io/Logging_0480/klagomålsmail/A 891-2024 FSC-klagomål mail.docx", "A 891-2024")</f>
        <v/>
      </c>
      <c r="X599">
        <f>HYPERLINK("https://klasma.github.io/Logging_0480/tillsyn/A 891-2024 tillsynsbegäran.docx", "A 891-2024")</f>
        <v/>
      </c>
      <c r="Y599">
        <f>HYPERLINK("https://klasma.github.io/Logging_0480/tillsynsmail/A 891-2024 tillsynsbegäran mail.docx", "A 891-2024")</f>
        <v/>
      </c>
    </row>
    <row r="600" ht="15" customHeight="1">
      <c r="A600" t="inlineStr">
        <is>
          <t>A 1712-2024</t>
        </is>
      </c>
      <c r="B600" s="1" t="n">
        <v>45307</v>
      </c>
      <c r="C600" s="1" t="n">
        <v>45761</v>
      </c>
      <c r="D600" t="inlineStr">
        <is>
          <t>SÖDERMANLANDS LÄN</t>
        </is>
      </c>
      <c r="E600" t="inlineStr">
        <is>
          <t>GNESTA</t>
        </is>
      </c>
      <c r="G600" t="n">
        <v>5.9</v>
      </c>
      <c r="H600" t="n">
        <v>0</v>
      </c>
      <c r="I600" t="n">
        <v>0</v>
      </c>
      <c r="J600" t="n">
        <v>1</v>
      </c>
      <c r="K600" t="n">
        <v>0</v>
      </c>
      <c r="L600" t="n">
        <v>0</v>
      </c>
      <c r="M600" t="n">
        <v>0</v>
      </c>
      <c r="N600" t="n">
        <v>0</v>
      </c>
      <c r="O600" t="n">
        <v>1</v>
      </c>
      <c r="P600" t="n">
        <v>0</v>
      </c>
      <c r="Q600" t="n">
        <v>1</v>
      </c>
      <c r="R600" s="2" t="inlineStr">
        <is>
          <t>Svinrot</t>
        </is>
      </c>
      <c r="S600">
        <f>HYPERLINK("https://klasma.github.io/Logging_0461/artfynd/A 1712-2024 artfynd.xlsx", "A 1712-2024")</f>
        <v/>
      </c>
      <c r="T600">
        <f>HYPERLINK("https://klasma.github.io/Logging_0461/kartor/A 1712-2024 karta.png", "A 1712-2024")</f>
        <v/>
      </c>
      <c r="V600">
        <f>HYPERLINK("https://klasma.github.io/Logging_0461/klagomål/A 1712-2024 FSC-klagomål.docx", "A 1712-2024")</f>
        <v/>
      </c>
      <c r="W600">
        <f>HYPERLINK("https://klasma.github.io/Logging_0461/klagomålsmail/A 1712-2024 FSC-klagomål mail.docx", "A 1712-2024")</f>
        <v/>
      </c>
      <c r="X600">
        <f>HYPERLINK("https://klasma.github.io/Logging_0461/tillsyn/A 1712-2024 tillsynsbegäran.docx", "A 1712-2024")</f>
        <v/>
      </c>
      <c r="Y600">
        <f>HYPERLINK("https://klasma.github.io/Logging_0461/tillsynsmail/A 1712-2024 tillsynsbegäran mail.docx", "A 1712-2024")</f>
        <v/>
      </c>
    </row>
    <row r="601" ht="15" customHeight="1">
      <c r="A601" t="inlineStr">
        <is>
          <t>A 2794-2024</t>
        </is>
      </c>
      <c r="B601" s="1" t="n">
        <v>45314</v>
      </c>
      <c r="C601" s="1" t="n">
        <v>45761</v>
      </c>
      <c r="D601" t="inlineStr">
        <is>
          <t>SÖDERMANLANDS LÄN</t>
        </is>
      </c>
      <c r="E601" t="inlineStr">
        <is>
          <t>ESKILSTUNA</t>
        </is>
      </c>
      <c r="F601" t="inlineStr">
        <is>
          <t>Allmännings- och besparingsskogar</t>
        </is>
      </c>
      <c r="G601" t="n">
        <v>16.2</v>
      </c>
      <c r="H601" t="n">
        <v>1</v>
      </c>
      <c r="I601" t="n">
        <v>0</v>
      </c>
      <c r="J601" t="n">
        <v>1</v>
      </c>
      <c r="K601" t="n">
        <v>0</v>
      </c>
      <c r="L601" t="n">
        <v>0</v>
      </c>
      <c r="M601" t="n">
        <v>0</v>
      </c>
      <c r="N601" t="n">
        <v>0</v>
      </c>
      <c r="O601" t="n">
        <v>1</v>
      </c>
      <c r="P601" t="n">
        <v>0</v>
      </c>
      <c r="Q601" t="n">
        <v>1</v>
      </c>
      <c r="R601" s="2" t="inlineStr">
        <is>
          <t>Björktrast</t>
        </is>
      </c>
      <c r="S601">
        <f>HYPERLINK("https://klasma.github.io/Logging_0484/artfynd/A 2794-2024 artfynd.xlsx", "A 2794-2024")</f>
        <v/>
      </c>
      <c r="T601">
        <f>HYPERLINK("https://klasma.github.io/Logging_0484/kartor/A 2794-2024 karta.png", "A 2794-2024")</f>
        <v/>
      </c>
      <c r="V601">
        <f>HYPERLINK("https://klasma.github.io/Logging_0484/klagomål/A 2794-2024 FSC-klagomål.docx", "A 2794-2024")</f>
        <v/>
      </c>
      <c r="W601">
        <f>HYPERLINK("https://klasma.github.io/Logging_0484/klagomålsmail/A 2794-2024 FSC-klagomål mail.docx", "A 2794-2024")</f>
        <v/>
      </c>
      <c r="X601">
        <f>HYPERLINK("https://klasma.github.io/Logging_0484/tillsyn/A 2794-2024 tillsynsbegäran.docx", "A 2794-2024")</f>
        <v/>
      </c>
      <c r="Y601">
        <f>HYPERLINK("https://klasma.github.io/Logging_0484/tillsynsmail/A 2794-2024 tillsynsbegäran mail.docx", "A 2794-2024")</f>
        <v/>
      </c>
      <c r="Z601">
        <f>HYPERLINK("https://klasma.github.io/Logging_0484/fåglar/A 2794-2024 prioriterade fågelarter.docx", "A 2794-2024")</f>
        <v/>
      </c>
    </row>
    <row r="602" ht="15" customHeight="1">
      <c r="A602" t="inlineStr">
        <is>
          <t>A 2902-2024</t>
        </is>
      </c>
      <c r="B602" s="1" t="n">
        <v>45315</v>
      </c>
      <c r="C602" s="1" t="n">
        <v>45761</v>
      </c>
      <c r="D602" t="inlineStr">
        <is>
          <t>SÖDERMANLANDS LÄN</t>
        </is>
      </c>
      <c r="E602" t="inlineStr">
        <is>
          <t>NYKÖPING</t>
        </is>
      </c>
      <c r="F602" t="inlineStr">
        <is>
          <t>Kyrkan</t>
        </is>
      </c>
      <c r="G602" t="n">
        <v>3.7</v>
      </c>
      <c r="H602" t="n">
        <v>0</v>
      </c>
      <c r="I602" t="n">
        <v>1</v>
      </c>
      <c r="J602" t="n">
        <v>0</v>
      </c>
      <c r="K602" t="n">
        <v>0</v>
      </c>
      <c r="L602" t="n">
        <v>0</v>
      </c>
      <c r="M602" t="n">
        <v>0</v>
      </c>
      <c r="N602" t="n">
        <v>0</v>
      </c>
      <c r="O602" t="n">
        <v>0</v>
      </c>
      <c r="P602" t="n">
        <v>0</v>
      </c>
      <c r="Q602" t="n">
        <v>1</v>
      </c>
      <c r="R602" s="2" t="inlineStr">
        <is>
          <t>Stubbspretmossa</t>
        </is>
      </c>
      <c r="S602">
        <f>HYPERLINK("https://klasma.github.io/Logging_0480/artfynd/A 2902-2024 artfynd.xlsx", "A 2902-2024")</f>
        <v/>
      </c>
      <c r="T602">
        <f>HYPERLINK("https://klasma.github.io/Logging_0480/kartor/A 2902-2024 karta.png", "A 2902-2024")</f>
        <v/>
      </c>
      <c r="V602">
        <f>HYPERLINK("https://klasma.github.io/Logging_0480/klagomål/A 2902-2024 FSC-klagomål.docx", "A 2902-2024")</f>
        <v/>
      </c>
      <c r="W602">
        <f>HYPERLINK("https://klasma.github.io/Logging_0480/klagomålsmail/A 2902-2024 FSC-klagomål mail.docx", "A 2902-2024")</f>
        <v/>
      </c>
      <c r="X602">
        <f>HYPERLINK("https://klasma.github.io/Logging_0480/tillsyn/A 2902-2024 tillsynsbegäran.docx", "A 2902-2024")</f>
        <v/>
      </c>
      <c r="Y602">
        <f>HYPERLINK("https://klasma.github.io/Logging_0480/tillsynsmail/A 2902-2024 tillsynsbegäran mail.docx", "A 2902-2024")</f>
        <v/>
      </c>
    </row>
    <row r="603" ht="15" customHeight="1">
      <c r="A603" t="inlineStr">
        <is>
          <t>A 4154-2024</t>
        </is>
      </c>
      <c r="B603" s="1" t="n">
        <v>45323</v>
      </c>
      <c r="C603" s="1" t="n">
        <v>45761</v>
      </c>
      <c r="D603" t="inlineStr">
        <is>
          <t>SÖDERMANLANDS LÄN</t>
        </is>
      </c>
      <c r="E603" t="inlineStr">
        <is>
          <t>FLEN</t>
        </is>
      </c>
      <c r="G603" t="n">
        <v>1.1</v>
      </c>
      <c r="H603" t="n">
        <v>0</v>
      </c>
      <c r="I603" t="n">
        <v>0</v>
      </c>
      <c r="J603" t="n">
        <v>1</v>
      </c>
      <c r="K603" t="n">
        <v>0</v>
      </c>
      <c r="L603" t="n">
        <v>0</v>
      </c>
      <c r="M603" t="n">
        <v>0</v>
      </c>
      <c r="N603" t="n">
        <v>0</v>
      </c>
      <c r="O603" t="n">
        <v>1</v>
      </c>
      <c r="P603" t="n">
        <v>0</v>
      </c>
      <c r="Q603" t="n">
        <v>1</v>
      </c>
      <c r="R603" s="2" t="inlineStr">
        <is>
          <t>Vippärt</t>
        </is>
      </c>
      <c r="S603">
        <f>HYPERLINK("https://klasma.github.io/Logging_0482/artfynd/A 4154-2024 artfynd.xlsx", "A 4154-2024")</f>
        <v/>
      </c>
      <c r="T603">
        <f>HYPERLINK("https://klasma.github.io/Logging_0482/kartor/A 4154-2024 karta.png", "A 4154-2024")</f>
        <v/>
      </c>
      <c r="V603">
        <f>HYPERLINK("https://klasma.github.io/Logging_0482/klagomål/A 4154-2024 FSC-klagomål.docx", "A 4154-2024")</f>
        <v/>
      </c>
      <c r="W603">
        <f>HYPERLINK("https://klasma.github.io/Logging_0482/klagomålsmail/A 4154-2024 FSC-klagomål mail.docx", "A 4154-2024")</f>
        <v/>
      </c>
      <c r="X603">
        <f>HYPERLINK("https://klasma.github.io/Logging_0482/tillsyn/A 4154-2024 tillsynsbegäran.docx", "A 4154-2024")</f>
        <v/>
      </c>
      <c r="Y603">
        <f>HYPERLINK("https://klasma.github.io/Logging_0482/tillsynsmail/A 4154-2024 tillsynsbegäran mail.docx", "A 4154-2024")</f>
        <v/>
      </c>
    </row>
    <row r="604" ht="15" customHeight="1">
      <c r="A604" t="inlineStr">
        <is>
          <t>A 4725-2024</t>
        </is>
      </c>
      <c r="B604" s="1" t="n">
        <v>45328</v>
      </c>
      <c r="C604" s="1" t="n">
        <v>45761</v>
      </c>
      <c r="D604" t="inlineStr">
        <is>
          <t>SÖDERMANLANDS LÄN</t>
        </is>
      </c>
      <c r="E604" t="inlineStr">
        <is>
          <t>NYKÖPING</t>
        </is>
      </c>
      <c r="G604" t="n">
        <v>4.7</v>
      </c>
      <c r="H604" t="n">
        <v>0</v>
      </c>
      <c r="I604" t="n">
        <v>0</v>
      </c>
      <c r="J604" t="n">
        <v>0</v>
      </c>
      <c r="K604" t="n">
        <v>1</v>
      </c>
      <c r="L604" t="n">
        <v>0</v>
      </c>
      <c r="M604" t="n">
        <v>0</v>
      </c>
      <c r="N604" t="n">
        <v>0</v>
      </c>
      <c r="O604" t="n">
        <v>1</v>
      </c>
      <c r="P604" t="n">
        <v>1</v>
      </c>
      <c r="Q604" t="n">
        <v>1</v>
      </c>
      <c r="R604" s="2" t="inlineStr">
        <is>
          <t>Plattsäv</t>
        </is>
      </c>
      <c r="S604">
        <f>HYPERLINK("https://klasma.github.io/Logging_0480/artfynd/A 4725-2024 artfynd.xlsx", "A 4725-2024")</f>
        <v/>
      </c>
      <c r="T604">
        <f>HYPERLINK("https://klasma.github.io/Logging_0480/kartor/A 4725-2024 karta.png", "A 4725-2024")</f>
        <v/>
      </c>
      <c r="V604">
        <f>HYPERLINK("https://klasma.github.io/Logging_0480/klagomål/A 4725-2024 FSC-klagomål.docx", "A 4725-2024")</f>
        <v/>
      </c>
      <c r="W604">
        <f>HYPERLINK("https://klasma.github.io/Logging_0480/klagomålsmail/A 4725-2024 FSC-klagomål mail.docx", "A 4725-2024")</f>
        <v/>
      </c>
      <c r="X604">
        <f>HYPERLINK("https://klasma.github.io/Logging_0480/tillsyn/A 4725-2024 tillsynsbegäran.docx", "A 4725-2024")</f>
        <v/>
      </c>
      <c r="Y604">
        <f>HYPERLINK("https://klasma.github.io/Logging_0480/tillsynsmail/A 4725-2024 tillsynsbegäran mail.docx", "A 4725-2024")</f>
        <v/>
      </c>
    </row>
    <row r="605" ht="15" customHeight="1">
      <c r="A605" t="inlineStr">
        <is>
          <t>A 7973-2024</t>
        </is>
      </c>
      <c r="B605" s="1" t="n">
        <v>45350</v>
      </c>
      <c r="C605" s="1" t="n">
        <v>45761</v>
      </c>
      <c r="D605" t="inlineStr">
        <is>
          <t>SÖDERMANLANDS LÄN</t>
        </is>
      </c>
      <c r="E605" t="inlineStr">
        <is>
          <t>FLEN</t>
        </is>
      </c>
      <c r="G605" t="n">
        <v>0.9</v>
      </c>
      <c r="H605" t="n">
        <v>0</v>
      </c>
      <c r="I605" t="n">
        <v>0</v>
      </c>
      <c r="J605" t="n">
        <v>1</v>
      </c>
      <c r="K605" t="n">
        <v>0</v>
      </c>
      <c r="L605" t="n">
        <v>0</v>
      </c>
      <c r="M605" t="n">
        <v>0</v>
      </c>
      <c r="N605" t="n">
        <v>0</v>
      </c>
      <c r="O605" t="n">
        <v>1</v>
      </c>
      <c r="P605" t="n">
        <v>0</v>
      </c>
      <c r="Q605" t="n">
        <v>1</v>
      </c>
      <c r="R605" s="2" t="inlineStr">
        <is>
          <t>Vippärt</t>
        </is>
      </c>
      <c r="S605">
        <f>HYPERLINK("https://klasma.github.io/Logging_0482/artfynd/A 7973-2024 artfynd.xlsx", "A 7973-2024")</f>
        <v/>
      </c>
      <c r="T605">
        <f>HYPERLINK("https://klasma.github.io/Logging_0482/kartor/A 7973-2024 karta.png", "A 7973-2024")</f>
        <v/>
      </c>
      <c r="V605">
        <f>HYPERLINK("https://klasma.github.io/Logging_0482/klagomål/A 7973-2024 FSC-klagomål.docx", "A 7973-2024")</f>
        <v/>
      </c>
      <c r="W605">
        <f>HYPERLINK("https://klasma.github.io/Logging_0482/klagomålsmail/A 7973-2024 FSC-klagomål mail.docx", "A 7973-2024")</f>
        <v/>
      </c>
      <c r="X605">
        <f>HYPERLINK("https://klasma.github.io/Logging_0482/tillsyn/A 7973-2024 tillsynsbegäran.docx", "A 7973-2024")</f>
        <v/>
      </c>
      <c r="Y605">
        <f>HYPERLINK("https://klasma.github.io/Logging_0482/tillsynsmail/A 7973-2024 tillsynsbegäran mail.docx", "A 7973-2024")</f>
        <v/>
      </c>
    </row>
    <row r="606" ht="15" customHeight="1">
      <c r="A606" t="inlineStr">
        <is>
          <t>A 9184-2024</t>
        </is>
      </c>
      <c r="B606" s="1" t="n">
        <v>45357</v>
      </c>
      <c r="C606" s="1" t="n">
        <v>45761</v>
      </c>
      <c r="D606" t="inlineStr">
        <is>
          <t>SÖDERMANLANDS LÄN</t>
        </is>
      </c>
      <c r="E606" t="inlineStr">
        <is>
          <t>NYKÖPING</t>
        </is>
      </c>
      <c r="F606" t="inlineStr">
        <is>
          <t>Kommuner</t>
        </is>
      </c>
      <c r="G606" t="n">
        <v>5.7</v>
      </c>
      <c r="H606" t="n">
        <v>0</v>
      </c>
      <c r="I606" t="n">
        <v>0</v>
      </c>
      <c r="J606" t="n">
        <v>0</v>
      </c>
      <c r="K606" t="n">
        <v>0</v>
      </c>
      <c r="L606" t="n">
        <v>1</v>
      </c>
      <c r="M606" t="n">
        <v>0</v>
      </c>
      <c r="N606" t="n">
        <v>0</v>
      </c>
      <c r="O606" t="n">
        <v>1</v>
      </c>
      <c r="P606" t="n">
        <v>1</v>
      </c>
      <c r="Q606" t="n">
        <v>1</v>
      </c>
      <c r="R606" s="2" t="inlineStr">
        <is>
          <t>Raggtaggsvamp</t>
        </is>
      </c>
      <c r="S606">
        <f>HYPERLINK("https://klasma.github.io/Logging_0480/artfynd/A 9184-2024 artfynd.xlsx", "A 9184-2024")</f>
        <v/>
      </c>
      <c r="T606">
        <f>HYPERLINK("https://klasma.github.io/Logging_0480/kartor/A 9184-2024 karta.png", "A 9184-2024")</f>
        <v/>
      </c>
      <c r="V606">
        <f>HYPERLINK("https://klasma.github.io/Logging_0480/klagomål/A 9184-2024 FSC-klagomål.docx", "A 9184-2024")</f>
        <v/>
      </c>
      <c r="W606">
        <f>HYPERLINK("https://klasma.github.io/Logging_0480/klagomålsmail/A 9184-2024 FSC-klagomål mail.docx", "A 9184-2024")</f>
        <v/>
      </c>
      <c r="X606">
        <f>HYPERLINK("https://klasma.github.io/Logging_0480/tillsyn/A 9184-2024 tillsynsbegäran.docx", "A 9184-2024")</f>
        <v/>
      </c>
      <c r="Y606">
        <f>HYPERLINK("https://klasma.github.io/Logging_0480/tillsynsmail/A 9184-2024 tillsynsbegäran mail.docx", "A 9184-2024")</f>
        <v/>
      </c>
    </row>
    <row r="607" ht="15" customHeight="1">
      <c r="A607" t="inlineStr">
        <is>
          <t>A 12056-2024</t>
        </is>
      </c>
      <c r="B607" s="1" t="n">
        <v>45377</v>
      </c>
      <c r="C607" s="1" t="n">
        <v>45761</v>
      </c>
      <c r="D607" t="inlineStr">
        <is>
          <t>SÖDERMANLANDS LÄN</t>
        </is>
      </c>
      <c r="E607" t="inlineStr">
        <is>
          <t>FLEN</t>
        </is>
      </c>
      <c r="G607" t="n">
        <v>8.4</v>
      </c>
      <c r="H607" t="n">
        <v>0</v>
      </c>
      <c r="I607" t="n">
        <v>1</v>
      </c>
      <c r="J607" t="n">
        <v>0</v>
      </c>
      <c r="K607" t="n">
        <v>0</v>
      </c>
      <c r="L607" t="n">
        <v>0</v>
      </c>
      <c r="M607" t="n">
        <v>0</v>
      </c>
      <c r="N607" t="n">
        <v>0</v>
      </c>
      <c r="O607" t="n">
        <v>0</v>
      </c>
      <c r="P607" t="n">
        <v>0</v>
      </c>
      <c r="Q607" t="n">
        <v>1</v>
      </c>
      <c r="R607" s="2" t="inlineStr">
        <is>
          <t>Fjällig taggsvamp s.str.</t>
        </is>
      </c>
      <c r="S607">
        <f>HYPERLINK("https://klasma.github.io/Logging_0482/artfynd/A 12056-2024 artfynd.xlsx", "A 12056-2024")</f>
        <v/>
      </c>
      <c r="T607">
        <f>HYPERLINK("https://klasma.github.io/Logging_0482/kartor/A 12056-2024 karta.png", "A 12056-2024")</f>
        <v/>
      </c>
      <c r="V607">
        <f>HYPERLINK("https://klasma.github.io/Logging_0482/klagomål/A 12056-2024 FSC-klagomål.docx", "A 12056-2024")</f>
        <v/>
      </c>
      <c r="W607">
        <f>HYPERLINK("https://klasma.github.io/Logging_0482/klagomålsmail/A 12056-2024 FSC-klagomål mail.docx", "A 12056-2024")</f>
        <v/>
      </c>
      <c r="X607">
        <f>HYPERLINK("https://klasma.github.io/Logging_0482/tillsyn/A 12056-2024 tillsynsbegäran.docx", "A 12056-2024")</f>
        <v/>
      </c>
      <c r="Y607">
        <f>HYPERLINK("https://klasma.github.io/Logging_0482/tillsynsmail/A 12056-2024 tillsynsbegäran mail.docx", "A 12056-2024")</f>
        <v/>
      </c>
    </row>
    <row r="608" ht="15" customHeight="1">
      <c r="A608" t="inlineStr">
        <is>
          <t>A 12984-2024</t>
        </is>
      </c>
      <c r="B608" s="1" t="n">
        <v>45385</v>
      </c>
      <c r="C608" s="1" t="n">
        <v>45761</v>
      </c>
      <c r="D608" t="inlineStr">
        <is>
          <t>SÖDERMANLANDS LÄN</t>
        </is>
      </c>
      <c r="E608" t="inlineStr">
        <is>
          <t>ESKILSTUNA</t>
        </is>
      </c>
      <c r="F608" t="inlineStr">
        <is>
          <t>Allmännings- och besparingsskogar</t>
        </is>
      </c>
      <c r="G608" t="n">
        <v>6.4</v>
      </c>
      <c r="H608" t="n">
        <v>1</v>
      </c>
      <c r="I608" t="n">
        <v>0</v>
      </c>
      <c r="J608" t="n">
        <v>0</v>
      </c>
      <c r="K608" t="n">
        <v>0</v>
      </c>
      <c r="L608" t="n">
        <v>0</v>
      </c>
      <c r="M608" t="n">
        <v>0</v>
      </c>
      <c r="N608" t="n">
        <v>0</v>
      </c>
      <c r="O608" t="n">
        <v>0</v>
      </c>
      <c r="P608" t="n">
        <v>0</v>
      </c>
      <c r="Q608" t="n">
        <v>1</v>
      </c>
      <c r="R608" s="2" t="inlineStr">
        <is>
          <t>Fläcknycklar</t>
        </is>
      </c>
      <c r="S608">
        <f>HYPERLINK("https://klasma.github.io/Logging_0484/artfynd/A 12984-2024 artfynd.xlsx", "A 12984-2024")</f>
        <v/>
      </c>
      <c r="T608">
        <f>HYPERLINK("https://klasma.github.io/Logging_0484/kartor/A 12984-2024 karta.png", "A 12984-2024")</f>
        <v/>
      </c>
      <c r="V608">
        <f>HYPERLINK("https://klasma.github.io/Logging_0484/klagomål/A 12984-2024 FSC-klagomål.docx", "A 12984-2024")</f>
        <v/>
      </c>
      <c r="W608">
        <f>HYPERLINK("https://klasma.github.io/Logging_0484/klagomålsmail/A 12984-2024 FSC-klagomål mail.docx", "A 12984-2024")</f>
        <v/>
      </c>
      <c r="X608">
        <f>HYPERLINK("https://klasma.github.io/Logging_0484/tillsyn/A 12984-2024 tillsynsbegäran.docx", "A 12984-2024")</f>
        <v/>
      </c>
      <c r="Y608">
        <f>HYPERLINK("https://klasma.github.io/Logging_0484/tillsynsmail/A 12984-2024 tillsynsbegäran mail.docx", "A 12984-2024")</f>
        <v/>
      </c>
    </row>
    <row r="609" ht="15" customHeight="1">
      <c r="A609" t="inlineStr">
        <is>
          <t>A 13038-2024</t>
        </is>
      </c>
      <c r="B609" s="1" t="n">
        <v>45385</v>
      </c>
      <c r="C609" s="1" t="n">
        <v>45761</v>
      </c>
      <c r="D609" t="inlineStr">
        <is>
          <t>SÖDERMANLANDS LÄN</t>
        </is>
      </c>
      <c r="E609" t="inlineStr">
        <is>
          <t>NYKÖPING</t>
        </is>
      </c>
      <c r="G609" t="n">
        <v>3.8</v>
      </c>
      <c r="H609" t="n">
        <v>1</v>
      </c>
      <c r="I609" t="n">
        <v>0</v>
      </c>
      <c r="J609" t="n">
        <v>0</v>
      </c>
      <c r="K609" t="n">
        <v>1</v>
      </c>
      <c r="L609" t="n">
        <v>0</v>
      </c>
      <c r="M609" t="n">
        <v>0</v>
      </c>
      <c r="N609" t="n">
        <v>0</v>
      </c>
      <c r="O609" t="n">
        <v>1</v>
      </c>
      <c r="P609" t="n">
        <v>1</v>
      </c>
      <c r="Q609" t="n">
        <v>1</v>
      </c>
      <c r="R609" s="2" t="inlineStr">
        <is>
          <t>Knärot</t>
        </is>
      </c>
      <c r="S609">
        <f>HYPERLINK("https://klasma.github.io/Logging_0480/artfynd/A 13038-2024 artfynd.xlsx", "A 13038-2024")</f>
        <v/>
      </c>
      <c r="T609">
        <f>HYPERLINK("https://klasma.github.io/Logging_0480/kartor/A 13038-2024 karta.png", "A 13038-2024")</f>
        <v/>
      </c>
      <c r="U609">
        <f>HYPERLINK("https://klasma.github.io/Logging_0480/knärot/A 13038-2024 karta knärot.png", "A 13038-2024")</f>
        <v/>
      </c>
      <c r="V609">
        <f>HYPERLINK("https://klasma.github.io/Logging_0480/klagomål/A 13038-2024 FSC-klagomål.docx", "A 13038-2024")</f>
        <v/>
      </c>
      <c r="W609">
        <f>HYPERLINK("https://klasma.github.io/Logging_0480/klagomålsmail/A 13038-2024 FSC-klagomål mail.docx", "A 13038-2024")</f>
        <v/>
      </c>
      <c r="X609">
        <f>HYPERLINK("https://klasma.github.io/Logging_0480/tillsyn/A 13038-2024 tillsynsbegäran.docx", "A 13038-2024")</f>
        <v/>
      </c>
      <c r="Y609">
        <f>HYPERLINK("https://klasma.github.io/Logging_0480/tillsynsmail/A 13038-2024 tillsynsbegäran mail.docx", "A 13038-2024")</f>
        <v/>
      </c>
    </row>
    <row r="610" ht="15" customHeight="1">
      <c r="A610" t="inlineStr">
        <is>
          <t>A 13724-2024</t>
        </is>
      </c>
      <c r="B610" s="1" t="n">
        <v>45390</v>
      </c>
      <c r="C610" s="1" t="n">
        <v>45761</v>
      </c>
      <c r="D610" t="inlineStr">
        <is>
          <t>SÖDERMANLANDS LÄN</t>
        </is>
      </c>
      <c r="E610" t="inlineStr">
        <is>
          <t>NYKÖPING</t>
        </is>
      </c>
      <c r="G610" t="n">
        <v>0.9</v>
      </c>
      <c r="H610" t="n">
        <v>0</v>
      </c>
      <c r="I610" t="n">
        <v>1</v>
      </c>
      <c r="J610" t="n">
        <v>0</v>
      </c>
      <c r="K610" t="n">
        <v>0</v>
      </c>
      <c r="L610" t="n">
        <v>0</v>
      </c>
      <c r="M610" t="n">
        <v>0</v>
      </c>
      <c r="N610" t="n">
        <v>0</v>
      </c>
      <c r="O610" t="n">
        <v>0</v>
      </c>
      <c r="P610" t="n">
        <v>0</v>
      </c>
      <c r="Q610" t="n">
        <v>1</v>
      </c>
      <c r="R610" s="2" t="inlineStr">
        <is>
          <t>Dropptaggsvamp</t>
        </is>
      </c>
      <c r="S610">
        <f>HYPERLINK("https://klasma.github.io/Logging_0480/artfynd/A 13724-2024 artfynd.xlsx", "A 13724-2024")</f>
        <v/>
      </c>
      <c r="T610">
        <f>HYPERLINK("https://klasma.github.io/Logging_0480/kartor/A 13724-2024 karta.png", "A 13724-2024")</f>
        <v/>
      </c>
      <c r="V610">
        <f>HYPERLINK("https://klasma.github.io/Logging_0480/klagomål/A 13724-2024 FSC-klagomål.docx", "A 13724-2024")</f>
        <v/>
      </c>
      <c r="W610">
        <f>HYPERLINK("https://klasma.github.io/Logging_0480/klagomålsmail/A 13724-2024 FSC-klagomål mail.docx", "A 13724-2024")</f>
        <v/>
      </c>
      <c r="X610">
        <f>HYPERLINK("https://klasma.github.io/Logging_0480/tillsyn/A 13724-2024 tillsynsbegäran.docx", "A 13724-2024")</f>
        <v/>
      </c>
      <c r="Y610">
        <f>HYPERLINK("https://klasma.github.io/Logging_0480/tillsynsmail/A 13724-2024 tillsynsbegäran mail.docx", "A 13724-2024")</f>
        <v/>
      </c>
    </row>
    <row r="611" ht="15" customHeight="1">
      <c r="A611" t="inlineStr">
        <is>
          <t>A 13851-2024</t>
        </is>
      </c>
      <c r="B611" s="1" t="n">
        <v>45391</v>
      </c>
      <c r="C611" s="1" t="n">
        <v>45761</v>
      </c>
      <c r="D611" t="inlineStr">
        <is>
          <t>SÖDERMANLANDS LÄN</t>
        </is>
      </c>
      <c r="E611" t="inlineStr">
        <is>
          <t>NYKÖPING</t>
        </is>
      </c>
      <c r="G611" t="n">
        <v>15.8</v>
      </c>
      <c r="H611" t="n">
        <v>0</v>
      </c>
      <c r="I611" t="n">
        <v>0</v>
      </c>
      <c r="J611" t="n">
        <v>1</v>
      </c>
      <c r="K611" t="n">
        <v>0</v>
      </c>
      <c r="L611" t="n">
        <v>0</v>
      </c>
      <c r="M611" t="n">
        <v>0</v>
      </c>
      <c r="N611" t="n">
        <v>0</v>
      </c>
      <c r="O611" t="n">
        <v>1</v>
      </c>
      <c r="P611" t="n">
        <v>0</v>
      </c>
      <c r="Q611" t="n">
        <v>1</v>
      </c>
      <c r="R611" s="2" t="inlineStr">
        <is>
          <t>Vedskivlav</t>
        </is>
      </c>
      <c r="S611">
        <f>HYPERLINK("https://klasma.github.io/Logging_0480/artfynd/A 13851-2024 artfynd.xlsx", "A 13851-2024")</f>
        <v/>
      </c>
      <c r="T611">
        <f>HYPERLINK("https://klasma.github.io/Logging_0480/kartor/A 13851-2024 karta.png", "A 13851-2024")</f>
        <v/>
      </c>
      <c r="V611">
        <f>HYPERLINK("https://klasma.github.io/Logging_0480/klagomål/A 13851-2024 FSC-klagomål.docx", "A 13851-2024")</f>
        <v/>
      </c>
      <c r="W611">
        <f>HYPERLINK("https://klasma.github.io/Logging_0480/klagomålsmail/A 13851-2024 FSC-klagomål mail.docx", "A 13851-2024")</f>
        <v/>
      </c>
      <c r="X611">
        <f>HYPERLINK("https://klasma.github.io/Logging_0480/tillsyn/A 13851-2024 tillsynsbegäran.docx", "A 13851-2024")</f>
        <v/>
      </c>
      <c r="Y611">
        <f>HYPERLINK("https://klasma.github.io/Logging_0480/tillsynsmail/A 13851-2024 tillsynsbegäran mail.docx", "A 13851-2024")</f>
        <v/>
      </c>
    </row>
    <row r="612" ht="15" customHeight="1">
      <c r="A612" t="inlineStr">
        <is>
          <t>A 14854-2024</t>
        </is>
      </c>
      <c r="B612" s="1" t="n">
        <v>45398</v>
      </c>
      <c r="C612" s="1" t="n">
        <v>45761</v>
      </c>
      <c r="D612" t="inlineStr">
        <is>
          <t>SÖDERMANLANDS LÄN</t>
        </is>
      </c>
      <c r="E612" t="inlineStr">
        <is>
          <t>FLEN</t>
        </is>
      </c>
      <c r="G612" t="n">
        <v>4.1</v>
      </c>
      <c r="H612" t="n">
        <v>0</v>
      </c>
      <c r="I612" t="n">
        <v>1</v>
      </c>
      <c r="J612" t="n">
        <v>0</v>
      </c>
      <c r="K612" t="n">
        <v>0</v>
      </c>
      <c r="L612" t="n">
        <v>0</v>
      </c>
      <c r="M612" t="n">
        <v>0</v>
      </c>
      <c r="N612" t="n">
        <v>0</v>
      </c>
      <c r="O612" t="n">
        <v>0</v>
      </c>
      <c r="P612" t="n">
        <v>0</v>
      </c>
      <c r="Q612" t="n">
        <v>1</v>
      </c>
      <c r="R612" s="2" t="inlineStr">
        <is>
          <t>Grönpyrola</t>
        </is>
      </c>
      <c r="S612">
        <f>HYPERLINK("https://klasma.github.io/Logging_0482/artfynd/A 14854-2024 artfynd.xlsx", "A 14854-2024")</f>
        <v/>
      </c>
      <c r="T612">
        <f>HYPERLINK("https://klasma.github.io/Logging_0482/kartor/A 14854-2024 karta.png", "A 14854-2024")</f>
        <v/>
      </c>
      <c r="V612">
        <f>HYPERLINK("https://klasma.github.io/Logging_0482/klagomål/A 14854-2024 FSC-klagomål.docx", "A 14854-2024")</f>
        <v/>
      </c>
      <c r="W612">
        <f>HYPERLINK("https://klasma.github.io/Logging_0482/klagomålsmail/A 14854-2024 FSC-klagomål mail.docx", "A 14854-2024")</f>
        <v/>
      </c>
      <c r="X612">
        <f>HYPERLINK("https://klasma.github.io/Logging_0482/tillsyn/A 14854-2024 tillsynsbegäran.docx", "A 14854-2024")</f>
        <v/>
      </c>
      <c r="Y612">
        <f>HYPERLINK("https://klasma.github.io/Logging_0482/tillsynsmail/A 14854-2024 tillsynsbegäran mail.docx", "A 14854-2024")</f>
        <v/>
      </c>
    </row>
    <row r="613" ht="15" customHeight="1">
      <c r="A613" t="inlineStr">
        <is>
          <t>A 15547-2024</t>
        </is>
      </c>
      <c r="B613" s="1" t="n">
        <v>45401</v>
      </c>
      <c r="C613" s="1" t="n">
        <v>45761</v>
      </c>
      <c r="D613" t="inlineStr">
        <is>
          <t>SÖDERMANLANDS LÄN</t>
        </is>
      </c>
      <c r="E613" t="inlineStr">
        <is>
          <t>ESKILSTUNA</t>
        </is>
      </c>
      <c r="F613" t="inlineStr">
        <is>
          <t>Sveaskog</t>
        </is>
      </c>
      <c r="G613" t="n">
        <v>2.7</v>
      </c>
      <c r="H613" t="n">
        <v>1</v>
      </c>
      <c r="I613" t="n">
        <v>0</v>
      </c>
      <c r="J613" t="n">
        <v>1</v>
      </c>
      <c r="K613" t="n">
        <v>0</v>
      </c>
      <c r="L613" t="n">
        <v>0</v>
      </c>
      <c r="M613" t="n">
        <v>0</v>
      </c>
      <c r="N613" t="n">
        <v>0</v>
      </c>
      <c r="O613" t="n">
        <v>1</v>
      </c>
      <c r="P613" t="n">
        <v>0</v>
      </c>
      <c r="Q613" t="n">
        <v>1</v>
      </c>
      <c r="R613" s="2" t="inlineStr">
        <is>
          <t>Talltita</t>
        </is>
      </c>
      <c r="S613">
        <f>HYPERLINK("https://klasma.github.io/Logging_0484/artfynd/A 15547-2024 artfynd.xlsx", "A 15547-2024")</f>
        <v/>
      </c>
      <c r="T613">
        <f>HYPERLINK("https://klasma.github.io/Logging_0484/kartor/A 15547-2024 karta.png", "A 15547-2024")</f>
        <v/>
      </c>
      <c r="V613">
        <f>HYPERLINK("https://klasma.github.io/Logging_0484/klagomål/A 15547-2024 FSC-klagomål.docx", "A 15547-2024")</f>
        <v/>
      </c>
      <c r="W613">
        <f>HYPERLINK("https://klasma.github.io/Logging_0484/klagomålsmail/A 15547-2024 FSC-klagomål mail.docx", "A 15547-2024")</f>
        <v/>
      </c>
      <c r="X613">
        <f>HYPERLINK("https://klasma.github.io/Logging_0484/tillsyn/A 15547-2024 tillsynsbegäran.docx", "A 15547-2024")</f>
        <v/>
      </c>
      <c r="Y613">
        <f>HYPERLINK("https://klasma.github.io/Logging_0484/tillsynsmail/A 15547-2024 tillsynsbegäran mail.docx", "A 15547-2024")</f>
        <v/>
      </c>
      <c r="Z613">
        <f>HYPERLINK("https://klasma.github.io/Logging_0484/fåglar/A 15547-2024 prioriterade fågelarter.docx", "A 15547-2024")</f>
        <v/>
      </c>
    </row>
    <row r="614" ht="15" customHeight="1">
      <c r="A614" t="inlineStr">
        <is>
          <t>A 15543-2024</t>
        </is>
      </c>
      <c r="B614" s="1" t="n">
        <v>45401</v>
      </c>
      <c r="C614" s="1" t="n">
        <v>45761</v>
      </c>
      <c r="D614" t="inlineStr">
        <is>
          <t>SÖDERMANLANDS LÄN</t>
        </is>
      </c>
      <c r="E614" t="inlineStr">
        <is>
          <t>ESKILSTUNA</t>
        </is>
      </c>
      <c r="F614" t="inlineStr">
        <is>
          <t>Sveaskog</t>
        </is>
      </c>
      <c r="G614" t="n">
        <v>5.3</v>
      </c>
      <c r="H614" t="n">
        <v>0</v>
      </c>
      <c r="I614" t="n">
        <v>1</v>
      </c>
      <c r="J614" t="n">
        <v>0</v>
      </c>
      <c r="K614" t="n">
        <v>0</v>
      </c>
      <c r="L614" t="n">
        <v>0</v>
      </c>
      <c r="M614" t="n">
        <v>0</v>
      </c>
      <c r="N614" t="n">
        <v>0</v>
      </c>
      <c r="O614" t="n">
        <v>0</v>
      </c>
      <c r="P614" t="n">
        <v>0</v>
      </c>
      <c r="Q614" t="n">
        <v>1</v>
      </c>
      <c r="R614" s="2" t="inlineStr">
        <is>
          <t>Grönpyrola</t>
        </is>
      </c>
      <c r="S614">
        <f>HYPERLINK("https://klasma.github.io/Logging_0484/artfynd/A 15543-2024 artfynd.xlsx", "A 15543-2024")</f>
        <v/>
      </c>
      <c r="T614">
        <f>HYPERLINK("https://klasma.github.io/Logging_0484/kartor/A 15543-2024 karta.png", "A 15543-2024")</f>
        <v/>
      </c>
      <c r="V614">
        <f>HYPERLINK("https://klasma.github.io/Logging_0484/klagomål/A 15543-2024 FSC-klagomål.docx", "A 15543-2024")</f>
        <v/>
      </c>
      <c r="W614">
        <f>HYPERLINK("https://klasma.github.io/Logging_0484/klagomålsmail/A 15543-2024 FSC-klagomål mail.docx", "A 15543-2024")</f>
        <v/>
      </c>
      <c r="X614">
        <f>HYPERLINK("https://klasma.github.io/Logging_0484/tillsyn/A 15543-2024 tillsynsbegäran.docx", "A 15543-2024")</f>
        <v/>
      </c>
      <c r="Y614">
        <f>HYPERLINK("https://klasma.github.io/Logging_0484/tillsynsmail/A 15543-2024 tillsynsbegäran mail.docx", "A 15543-2024")</f>
        <v/>
      </c>
    </row>
    <row r="615" ht="15" customHeight="1">
      <c r="A615" t="inlineStr">
        <is>
          <t>A 18183-2024</t>
        </is>
      </c>
      <c r="B615" s="1" t="n">
        <v>45420</v>
      </c>
      <c r="C615" s="1" t="n">
        <v>45761</v>
      </c>
      <c r="D615" t="inlineStr">
        <is>
          <t>SÖDERMANLANDS LÄN</t>
        </is>
      </c>
      <c r="E615" t="inlineStr">
        <is>
          <t>VINGÅKER</t>
        </is>
      </c>
      <c r="G615" t="n">
        <v>8.199999999999999</v>
      </c>
      <c r="H615" t="n">
        <v>0</v>
      </c>
      <c r="I615" t="n">
        <v>1</v>
      </c>
      <c r="J615" t="n">
        <v>0</v>
      </c>
      <c r="K615" t="n">
        <v>0</v>
      </c>
      <c r="L615" t="n">
        <v>0</v>
      </c>
      <c r="M615" t="n">
        <v>0</v>
      </c>
      <c r="N615" t="n">
        <v>0</v>
      </c>
      <c r="O615" t="n">
        <v>0</v>
      </c>
      <c r="P615" t="n">
        <v>0</v>
      </c>
      <c r="Q615" t="n">
        <v>1</v>
      </c>
      <c r="R615" s="2" t="inlineStr">
        <is>
          <t>Björksplintborre</t>
        </is>
      </c>
      <c r="S615">
        <f>HYPERLINK("https://klasma.github.io/Logging_0428/artfynd/A 18183-2024 artfynd.xlsx", "A 18183-2024")</f>
        <v/>
      </c>
      <c r="T615">
        <f>HYPERLINK("https://klasma.github.io/Logging_0428/kartor/A 18183-2024 karta.png", "A 18183-2024")</f>
        <v/>
      </c>
      <c r="V615">
        <f>HYPERLINK("https://klasma.github.io/Logging_0428/klagomål/A 18183-2024 FSC-klagomål.docx", "A 18183-2024")</f>
        <v/>
      </c>
      <c r="W615">
        <f>HYPERLINK("https://klasma.github.io/Logging_0428/klagomålsmail/A 18183-2024 FSC-klagomål mail.docx", "A 18183-2024")</f>
        <v/>
      </c>
      <c r="X615">
        <f>HYPERLINK("https://klasma.github.io/Logging_0428/tillsyn/A 18183-2024 tillsynsbegäran.docx", "A 18183-2024")</f>
        <v/>
      </c>
      <c r="Y615">
        <f>HYPERLINK("https://klasma.github.io/Logging_0428/tillsynsmail/A 18183-2024 tillsynsbegäran mail.docx", "A 18183-2024")</f>
        <v/>
      </c>
    </row>
    <row r="616" ht="15" customHeight="1">
      <c r="A616" t="inlineStr">
        <is>
          <t>A 21173-2024</t>
        </is>
      </c>
      <c r="B616" s="1" t="n">
        <v>45440</v>
      </c>
      <c r="C616" s="1" t="n">
        <v>45761</v>
      </c>
      <c r="D616" t="inlineStr">
        <is>
          <t>SÖDERMANLANDS LÄN</t>
        </is>
      </c>
      <c r="E616" t="inlineStr">
        <is>
          <t>NYKÖPING</t>
        </is>
      </c>
      <c r="F616" t="inlineStr">
        <is>
          <t>Kommuner</t>
        </is>
      </c>
      <c r="G616" t="n">
        <v>2.3</v>
      </c>
      <c r="H616" t="n">
        <v>0</v>
      </c>
      <c r="I616" t="n">
        <v>0</v>
      </c>
      <c r="J616" t="n">
        <v>1</v>
      </c>
      <c r="K616" t="n">
        <v>0</v>
      </c>
      <c r="L616" t="n">
        <v>0</v>
      </c>
      <c r="M616" t="n">
        <v>0</v>
      </c>
      <c r="N616" t="n">
        <v>0</v>
      </c>
      <c r="O616" t="n">
        <v>1</v>
      </c>
      <c r="P616" t="n">
        <v>0</v>
      </c>
      <c r="Q616" t="n">
        <v>1</v>
      </c>
      <c r="R616" s="2" t="inlineStr">
        <is>
          <t>Tallticka</t>
        </is>
      </c>
      <c r="S616">
        <f>HYPERLINK("https://klasma.github.io/Logging_0480/artfynd/A 21173-2024 artfynd.xlsx", "A 21173-2024")</f>
        <v/>
      </c>
      <c r="T616">
        <f>HYPERLINK("https://klasma.github.io/Logging_0480/kartor/A 21173-2024 karta.png", "A 21173-2024")</f>
        <v/>
      </c>
      <c r="V616">
        <f>HYPERLINK("https://klasma.github.io/Logging_0480/klagomål/A 21173-2024 FSC-klagomål.docx", "A 21173-2024")</f>
        <v/>
      </c>
      <c r="W616">
        <f>HYPERLINK("https://klasma.github.io/Logging_0480/klagomålsmail/A 21173-2024 FSC-klagomål mail.docx", "A 21173-2024")</f>
        <v/>
      </c>
      <c r="X616">
        <f>HYPERLINK("https://klasma.github.io/Logging_0480/tillsyn/A 21173-2024 tillsynsbegäran.docx", "A 21173-2024")</f>
        <v/>
      </c>
      <c r="Y616">
        <f>HYPERLINK("https://klasma.github.io/Logging_0480/tillsynsmail/A 21173-2024 tillsynsbegäran mail.docx", "A 21173-2024")</f>
        <v/>
      </c>
    </row>
    <row r="617" ht="15" customHeight="1">
      <c r="A617" t="inlineStr">
        <is>
          <t>A 21312-2024</t>
        </is>
      </c>
      <c r="B617" s="1" t="n">
        <v>45440</v>
      </c>
      <c r="C617" s="1" t="n">
        <v>45761</v>
      </c>
      <c r="D617" t="inlineStr">
        <is>
          <t>SÖDERMANLANDS LÄN</t>
        </is>
      </c>
      <c r="E617" t="inlineStr">
        <is>
          <t>KATRINEHOLM</t>
        </is>
      </c>
      <c r="G617" t="n">
        <v>2</v>
      </c>
      <c r="H617" t="n">
        <v>1</v>
      </c>
      <c r="I617" t="n">
        <v>0</v>
      </c>
      <c r="J617" t="n">
        <v>0</v>
      </c>
      <c r="K617" t="n">
        <v>0</v>
      </c>
      <c r="L617" t="n">
        <v>0</v>
      </c>
      <c r="M617" t="n">
        <v>0</v>
      </c>
      <c r="N617" t="n">
        <v>0</v>
      </c>
      <c r="O617" t="n">
        <v>0</v>
      </c>
      <c r="P617" t="n">
        <v>0</v>
      </c>
      <c r="Q617" t="n">
        <v>1</v>
      </c>
      <c r="R617" s="2" t="inlineStr">
        <is>
          <t>Blåsippa</t>
        </is>
      </c>
      <c r="S617">
        <f>HYPERLINK("https://klasma.github.io/Logging_0483/artfynd/A 21312-2024 artfynd.xlsx", "A 21312-2024")</f>
        <v/>
      </c>
      <c r="T617">
        <f>HYPERLINK("https://klasma.github.io/Logging_0483/kartor/A 21312-2024 karta.png", "A 21312-2024")</f>
        <v/>
      </c>
      <c r="V617">
        <f>HYPERLINK("https://klasma.github.io/Logging_0483/klagomål/A 21312-2024 FSC-klagomål.docx", "A 21312-2024")</f>
        <v/>
      </c>
      <c r="W617">
        <f>HYPERLINK("https://klasma.github.io/Logging_0483/klagomålsmail/A 21312-2024 FSC-klagomål mail.docx", "A 21312-2024")</f>
        <v/>
      </c>
      <c r="X617">
        <f>HYPERLINK("https://klasma.github.io/Logging_0483/tillsyn/A 21312-2024 tillsynsbegäran.docx", "A 21312-2024")</f>
        <v/>
      </c>
      <c r="Y617">
        <f>HYPERLINK("https://klasma.github.io/Logging_0483/tillsynsmail/A 21312-2024 tillsynsbegäran mail.docx", "A 21312-2024")</f>
        <v/>
      </c>
    </row>
    <row r="618" ht="15" customHeight="1">
      <c r="A618" t="inlineStr">
        <is>
          <t>A 23913-2024</t>
        </is>
      </c>
      <c r="B618" s="1" t="n">
        <v>45455</v>
      </c>
      <c r="C618" s="1" t="n">
        <v>45761</v>
      </c>
      <c r="D618" t="inlineStr">
        <is>
          <t>SÖDERMANLANDS LÄN</t>
        </is>
      </c>
      <c r="E618" t="inlineStr">
        <is>
          <t>NYKÖPING</t>
        </is>
      </c>
      <c r="F618" t="inlineStr">
        <is>
          <t>Allmännings- och besparingsskogar</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HYPERLINK("https://klasma.github.io/Logging_0480/artfynd/A 23913-2024 artfynd.xlsx", "A 23913-2024")</f>
        <v/>
      </c>
      <c r="T618">
        <f>HYPERLINK("https://klasma.github.io/Logging_0480/kartor/A 23913-2024 karta.png", "A 23913-2024")</f>
        <v/>
      </c>
      <c r="V618">
        <f>HYPERLINK("https://klasma.github.io/Logging_0480/klagomål/A 23913-2024 FSC-klagomål.docx", "A 23913-2024")</f>
        <v/>
      </c>
      <c r="W618">
        <f>HYPERLINK("https://klasma.github.io/Logging_0480/klagomålsmail/A 23913-2024 FSC-klagomål mail.docx", "A 23913-2024")</f>
        <v/>
      </c>
      <c r="X618">
        <f>HYPERLINK("https://klasma.github.io/Logging_0480/tillsyn/A 23913-2024 tillsynsbegäran.docx", "A 23913-2024")</f>
        <v/>
      </c>
      <c r="Y618">
        <f>HYPERLINK("https://klasma.github.io/Logging_0480/tillsynsmail/A 23913-2024 tillsynsbegäran mail.docx", "A 23913-2024")</f>
        <v/>
      </c>
    </row>
    <row r="619" ht="15" customHeight="1">
      <c r="A619" t="inlineStr">
        <is>
          <t>A 25976-2024</t>
        </is>
      </c>
      <c r="B619" s="1" t="n">
        <v>45467</v>
      </c>
      <c r="C619" s="1" t="n">
        <v>45761</v>
      </c>
      <c r="D619" t="inlineStr">
        <is>
          <t>SÖDERMANLANDS LÄN</t>
        </is>
      </c>
      <c r="E619" t="inlineStr">
        <is>
          <t>GNESTA</t>
        </is>
      </c>
      <c r="G619" t="n">
        <v>5.6</v>
      </c>
      <c r="H619" t="n">
        <v>0</v>
      </c>
      <c r="I619" t="n">
        <v>1</v>
      </c>
      <c r="J619" t="n">
        <v>0</v>
      </c>
      <c r="K619" t="n">
        <v>0</v>
      </c>
      <c r="L619" t="n">
        <v>0</v>
      </c>
      <c r="M619" t="n">
        <v>0</v>
      </c>
      <c r="N619" t="n">
        <v>0</v>
      </c>
      <c r="O619" t="n">
        <v>0</v>
      </c>
      <c r="P619" t="n">
        <v>0</v>
      </c>
      <c r="Q619" t="n">
        <v>1</v>
      </c>
      <c r="R619" s="2" t="inlineStr">
        <is>
          <t>Brun nållav</t>
        </is>
      </c>
      <c r="S619">
        <f>HYPERLINK("https://klasma.github.io/Logging_0461/artfynd/A 25976-2024 artfynd.xlsx", "A 25976-2024")</f>
        <v/>
      </c>
      <c r="T619">
        <f>HYPERLINK("https://klasma.github.io/Logging_0461/kartor/A 25976-2024 karta.png", "A 25976-2024")</f>
        <v/>
      </c>
      <c r="V619">
        <f>HYPERLINK("https://klasma.github.io/Logging_0461/klagomål/A 25976-2024 FSC-klagomål.docx", "A 25976-2024")</f>
        <v/>
      </c>
      <c r="W619">
        <f>HYPERLINK("https://klasma.github.io/Logging_0461/klagomålsmail/A 25976-2024 FSC-klagomål mail.docx", "A 25976-2024")</f>
        <v/>
      </c>
      <c r="X619">
        <f>HYPERLINK("https://klasma.github.io/Logging_0461/tillsyn/A 25976-2024 tillsynsbegäran.docx", "A 25976-2024")</f>
        <v/>
      </c>
      <c r="Y619">
        <f>HYPERLINK("https://klasma.github.io/Logging_0461/tillsynsmail/A 25976-2024 tillsynsbegäran mail.docx", "A 25976-2024")</f>
        <v/>
      </c>
    </row>
    <row r="620" ht="15" customHeight="1">
      <c r="A620" t="inlineStr">
        <is>
          <t>A 25919-2024</t>
        </is>
      </c>
      <c r="B620" s="1" t="n">
        <v>45467</v>
      </c>
      <c r="C620" s="1" t="n">
        <v>45761</v>
      </c>
      <c r="D620" t="inlineStr">
        <is>
          <t>SÖDERMANLANDS LÄN</t>
        </is>
      </c>
      <c r="E620" t="inlineStr">
        <is>
          <t>ESKILSTUNA</t>
        </is>
      </c>
      <c r="G620" t="n">
        <v>10.1</v>
      </c>
      <c r="H620" t="n">
        <v>0</v>
      </c>
      <c r="I620" t="n">
        <v>1</v>
      </c>
      <c r="J620" t="n">
        <v>0</v>
      </c>
      <c r="K620" t="n">
        <v>0</v>
      </c>
      <c r="L620" t="n">
        <v>0</v>
      </c>
      <c r="M620" t="n">
        <v>0</v>
      </c>
      <c r="N620" t="n">
        <v>0</v>
      </c>
      <c r="O620" t="n">
        <v>0</v>
      </c>
      <c r="P620" t="n">
        <v>0</v>
      </c>
      <c r="Q620" t="n">
        <v>1</v>
      </c>
      <c r="R620" s="2" t="inlineStr">
        <is>
          <t>Grönpyrola</t>
        </is>
      </c>
      <c r="S620">
        <f>HYPERLINK("https://klasma.github.io/Logging_0484/artfynd/A 25919-2024 artfynd.xlsx", "A 25919-2024")</f>
        <v/>
      </c>
      <c r="T620">
        <f>HYPERLINK("https://klasma.github.io/Logging_0484/kartor/A 25919-2024 karta.png", "A 25919-2024")</f>
        <v/>
      </c>
      <c r="V620">
        <f>HYPERLINK("https://klasma.github.io/Logging_0484/klagomål/A 25919-2024 FSC-klagomål.docx", "A 25919-2024")</f>
        <v/>
      </c>
      <c r="W620">
        <f>HYPERLINK("https://klasma.github.io/Logging_0484/klagomålsmail/A 25919-2024 FSC-klagomål mail.docx", "A 25919-2024")</f>
        <v/>
      </c>
      <c r="X620">
        <f>HYPERLINK("https://klasma.github.io/Logging_0484/tillsyn/A 25919-2024 tillsynsbegäran.docx", "A 25919-2024")</f>
        <v/>
      </c>
      <c r="Y620">
        <f>HYPERLINK("https://klasma.github.io/Logging_0484/tillsynsmail/A 25919-2024 tillsynsbegäran mail.docx", "A 25919-2024")</f>
        <v/>
      </c>
    </row>
    <row r="621" ht="15" customHeight="1">
      <c r="A621" t="inlineStr">
        <is>
          <t>A 28779-2024</t>
        </is>
      </c>
      <c r="B621" s="1" t="n">
        <v>45478</v>
      </c>
      <c r="C621" s="1" t="n">
        <v>45761</v>
      </c>
      <c r="D621" t="inlineStr">
        <is>
          <t>SÖDERMANLANDS LÄN</t>
        </is>
      </c>
      <c r="E621" t="inlineStr">
        <is>
          <t>FLEN</t>
        </is>
      </c>
      <c r="G621" t="n">
        <v>2.5</v>
      </c>
      <c r="H621" t="n">
        <v>0</v>
      </c>
      <c r="I621" t="n">
        <v>0</v>
      </c>
      <c r="J621" t="n">
        <v>1</v>
      </c>
      <c r="K621" t="n">
        <v>0</v>
      </c>
      <c r="L621" t="n">
        <v>0</v>
      </c>
      <c r="M621" t="n">
        <v>0</v>
      </c>
      <c r="N621" t="n">
        <v>0</v>
      </c>
      <c r="O621" t="n">
        <v>1</v>
      </c>
      <c r="P621" t="n">
        <v>0</v>
      </c>
      <c r="Q621" t="n">
        <v>1</v>
      </c>
      <c r="R621" s="2" t="inlineStr">
        <is>
          <t>Svinrot</t>
        </is>
      </c>
      <c r="S621">
        <f>HYPERLINK("https://klasma.github.io/Logging_0482/artfynd/A 28779-2024 artfynd.xlsx", "A 28779-2024")</f>
        <v/>
      </c>
      <c r="T621">
        <f>HYPERLINK("https://klasma.github.io/Logging_0482/kartor/A 28779-2024 karta.png", "A 28779-2024")</f>
        <v/>
      </c>
      <c r="V621">
        <f>HYPERLINK("https://klasma.github.io/Logging_0482/klagomål/A 28779-2024 FSC-klagomål.docx", "A 28779-2024")</f>
        <v/>
      </c>
      <c r="W621">
        <f>HYPERLINK("https://klasma.github.io/Logging_0482/klagomålsmail/A 28779-2024 FSC-klagomål mail.docx", "A 28779-2024")</f>
        <v/>
      </c>
      <c r="X621">
        <f>HYPERLINK("https://klasma.github.io/Logging_0482/tillsyn/A 28779-2024 tillsynsbegäran.docx", "A 28779-2024")</f>
        <v/>
      </c>
      <c r="Y621">
        <f>HYPERLINK("https://klasma.github.io/Logging_0482/tillsynsmail/A 28779-2024 tillsynsbegäran mail.docx", "A 28779-2024")</f>
        <v/>
      </c>
    </row>
    <row r="622" ht="15" customHeight="1">
      <c r="A622" t="inlineStr">
        <is>
          <t>A 29788-2024</t>
        </is>
      </c>
      <c r="B622" s="1" t="n">
        <v>45485</v>
      </c>
      <c r="C622" s="1" t="n">
        <v>45761</v>
      </c>
      <c r="D622" t="inlineStr">
        <is>
          <t>SÖDERMANLANDS LÄN</t>
        </is>
      </c>
      <c r="E622" t="inlineStr">
        <is>
          <t>VINGÅKER</t>
        </is>
      </c>
      <c r="G622" t="n">
        <v>7.4</v>
      </c>
      <c r="H622" t="n">
        <v>1</v>
      </c>
      <c r="I622" t="n">
        <v>0</v>
      </c>
      <c r="J622" t="n">
        <v>0</v>
      </c>
      <c r="K622" t="n">
        <v>1</v>
      </c>
      <c r="L622" t="n">
        <v>0</v>
      </c>
      <c r="M622" t="n">
        <v>0</v>
      </c>
      <c r="N622" t="n">
        <v>0</v>
      </c>
      <c r="O622" t="n">
        <v>1</v>
      </c>
      <c r="P622" t="n">
        <v>1</v>
      </c>
      <c r="Q622" t="n">
        <v>1</v>
      </c>
      <c r="R622" s="2" t="inlineStr">
        <is>
          <t>Knärot</t>
        </is>
      </c>
      <c r="S622">
        <f>HYPERLINK("https://klasma.github.io/Logging_0428/artfynd/A 29788-2024 artfynd.xlsx", "A 29788-2024")</f>
        <v/>
      </c>
      <c r="T622">
        <f>HYPERLINK("https://klasma.github.io/Logging_0428/kartor/A 29788-2024 karta.png", "A 29788-2024")</f>
        <v/>
      </c>
      <c r="U622">
        <f>HYPERLINK("https://klasma.github.io/Logging_0428/knärot/A 29788-2024 karta knärot.png", "A 29788-2024")</f>
        <v/>
      </c>
      <c r="V622">
        <f>HYPERLINK("https://klasma.github.io/Logging_0428/klagomål/A 29788-2024 FSC-klagomål.docx", "A 29788-2024")</f>
        <v/>
      </c>
      <c r="W622">
        <f>HYPERLINK("https://klasma.github.io/Logging_0428/klagomålsmail/A 29788-2024 FSC-klagomål mail.docx", "A 29788-2024")</f>
        <v/>
      </c>
      <c r="X622">
        <f>HYPERLINK("https://klasma.github.io/Logging_0428/tillsyn/A 29788-2024 tillsynsbegäran.docx", "A 29788-2024")</f>
        <v/>
      </c>
      <c r="Y622">
        <f>HYPERLINK("https://klasma.github.io/Logging_0428/tillsynsmail/A 29788-2024 tillsynsbegäran mail.docx", "A 29788-2024")</f>
        <v/>
      </c>
    </row>
    <row r="623" ht="15" customHeight="1">
      <c r="A623" t="inlineStr">
        <is>
          <t>A 29797-2024</t>
        </is>
      </c>
      <c r="B623" s="1" t="n">
        <v>45485</v>
      </c>
      <c r="C623" s="1" t="n">
        <v>45761</v>
      </c>
      <c r="D623" t="inlineStr">
        <is>
          <t>SÖDERMANLANDS LÄN</t>
        </is>
      </c>
      <c r="E623" t="inlineStr">
        <is>
          <t>NYKÖPING</t>
        </is>
      </c>
      <c r="G623" t="n">
        <v>22.2</v>
      </c>
      <c r="H623" t="n">
        <v>1</v>
      </c>
      <c r="I623" t="n">
        <v>0</v>
      </c>
      <c r="J623" t="n">
        <v>0</v>
      </c>
      <c r="K623" t="n">
        <v>0</v>
      </c>
      <c r="L623" t="n">
        <v>0</v>
      </c>
      <c r="M623" t="n">
        <v>0</v>
      </c>
      <c r="N623" t="n">
        <v>0</v>
      </c>
      <c r="O623" t="n">
        <v>0</v>
      </c>
      <c r="P623" t="n">
        <v>0</v>
      </c>
      <c r="Q623" t="n">
        <v>1</v>
      </c>
      <c r="R623" s="2" t="inlineStr">
        <is>
          <t>Större vattensalamander</t>
        </is>
      </c>
      <c r="S623">
        <f>HYPERLINK("https://klasma.github.io/Logging_0480/artfynd/A 29797-2024 artfynd.xlsx", "A 29797-2024")</f>
        <v/>
      </c>
      <c r="T623">
        <f>HYPERLINK("https://klasma.github.io/Logging_0480/kartor/A 29797-2024 karta.png", "A 29797-2024")</f>
        <v/>
      </c>
      <c r="V623">
        <f>HYPERLINK("https://klasma.github.io/Logging_0480/klagomål/A 29797-2024 FSC-klagomål.docx", "A 29797-2024")</f>
        <v/>
      </c>
      <c r="W623">
        <f>HYPERLINK("https://klasma.github.io/Logging_0480/klagomålsmail/A 29797-2024 FSC-klagomål mail.docx", "A 29797-2024")</f>
        <v/>
      </c>
      <c r="X623">
        <f>HYPERLINK("https://klasma.github.io/Logging_0480/tillsyn/A 29797-2024 tillsynsbegäran.docx", "A 29797-2024")</f>
        <v/>
      </c>
      <c r="Y623">
        <f>HYPERLINK("https://klasma.github.io/Logging_0480/tillsynsmail/A 29797-2024 tillsynsbegäran mail.docx", "A 29797-2024")</f>
        <v/>
      </c>
    </row>
    <row r="624" ht="15" customHeight="1">
      <c r="A624" t="inlineStr">
        <is>
          <t>A 33202-2024</t>
        </is>
      </c>
      <c r="B624" s="1" t="n">
        <v>45518</v>
      </c>
      <c r="C624" s="1" t="n">
        <v>45761</v>
      </c>
      <c r="D624" t="inlineStr">
        <is>
          <t>SÖDERMANLANDS LÄN</t>
        </is>
      </c>
      <c r="E624" t="inlineStr">
        <is>
          <t>ESKILSTUNA</t>
        </is>
      </c>
      <c r="G624" t="n">
        <v>6.3</v>
      </c>
      <c r="H624" t="n">
        <v>1</v>
      </c>
      <c r="I624" t="n">
        <v>0</v>
      </c>
      <c r="J624" t="n">
        <v>1</v>
      </c>
      <c r="K624" t="n">
        <v>0</v>
      </c>
      <c r="L624" t="n">
        <v>0</v>
      </c>
      <c r="M624" t="n">
        <v>0</v>
      </c>
      <c r="N624" t="n">
        <v>0</v>
      </c>
      <c r="O624" t="n">
        <v>1</v>
      </c>
      <c r="P624" t="n">
        <v>0</v>
      </c>
      <c r="Q624" t="n">
        <v>1</v>
      </c>
      <c r="R624" s="2" t="inlineStr">
        <is>
          <t>Talltita</t>
        </is>
      </c>
      <c r="S624">
        <f>HYPERLINK("https://klasma.github.io/Logging_0484/artfynd/A 33202-2024 artfynd.xlsx", "A 33202-2024")</f>
        <v/>
      </c>
      <c r="T624">
        <f>HYPERLINK("https://klasma.github.io/Logging_0484/kartor/A 33202-2024 karta.png", "A 33202-2024")</f>
        <v/>
      </c>
      <c r="V624">
        <f>HYPERLINK("https://klasma.github.io/Logging_0484/klagomål/A 33202-2024 FSC-klagomål.docx", "A 33202-2024")</f>
        <v/>
      </c>
      <c r="W624">
        <f>HYPERLINK("https://klasma.github.io/Logging_0484/klagomålsmail/A 33202-2024 FSC-klagomål mail.docx", "A 33202-2024")</f>
        <v/>
      </c>
      <c r="X624">
        <f>HYPERLINK("https://klasma.github.io/Logging_0484/tillsyn/A 33202-2024 tillsynsbegäran.docx", "A 33202-2024")</f>
        <v/>
      </c>
      <c r="Y624">
        <f>HYPERLINK("https://klasma.github.io/Logging_0484/tillsynsmail/A 33202-2024 tillsynsbegäran mail.docx", "A 33202-2024")</f>
        <v/>
      </c>
      <c r="Z624">
        <f>HYPERLINK("https://klasma.github.io/Logging_0484/fåglar/A 33202-2024 prioriterade fågelarter.docx", "A 33202-2024")</f>
        <v/>
      </c>
    </row>
    <row r="625" ht="15" customHeight="1">
      <c r="A625" t="inlineStr">
        <is>
          <t>A 33216-2024</t>
        </is>
      </c>
      <c r="B625" s="1" t="n">
        <v>45518</v>
      </c>
      <c r="C625" s="1" t="n">
        <v>45761</v>
      </c>
      <c r="D625" t="inlineStr">
        <is>
          <t>SÖDERMANLANDS LÄN</t>
        </is>
      </c>
      <c r="E625" t="inlineStr">
        <is>
          <t>FLEN</t>
        </is>
      </c>
      <c r="G625" t="n">
        <v>0.8</v>
      </c>
      <c r="H625" t="n">
        <v>0</v>
      </c>
      <c r="I625" t="n">
        <v>1</v>
      </c>
      <c r="J625" t="n">
        <v>0</v>
      </c>
      <c r="K625" t="n">
        <v>0</v>
      </c>
      <c r="L625" t="n">
        <v>0</v>
      </c>
      <c r="M625" t="n">
        <v>0</v>
      </c>
      <c r="N625" t="n">
        <v>0</v>
      </c>
      <c r="O625" t="n">
        <v>0</v>
      </c>
      <c r="P625" t="n">
        <v>0</v>
      </c>
      <c r="Q625" t="n">
        <v>1</v>
      </c>
      <c r="R625" s="2" t="inlineStr">
        <is>
          <t>Dropptaggsvamp</t>
        </is>
      </c>
      <c r="S625">
        <f>HYPERLINK("https://klasma.github.io/Logging_0482/artfynd/A 33216-2024 artfynd.xlsx", "A 33216-2024")</f>
        <v/>
      </c>
      <c r="T625">
        <f>HYPERLINK("https://klasma.github.io/Logging_0482/kartor/A 33216-2024 karta.png", "A 33216-2024")</f>
        <v/>
      </c>
      <c r="V625">
        <f>HYPERLINK("https://klasma.github.io/Logging_0482/klagomål/A 33216-2024 FSC-klagomål.docx", "A 33216-2024")</f>
        <v/>
      </c>
      <c r="W625">
        <f>HYPERLINK("https://klasma.github.io/Logging_0482/klagomålsmail/A 33216-2024 FSC-klagomål mail.docx", "A 33216-2024")</f>
        <v/>
      </c>
      <c r="X625">
        <f>HYPERLINK("https://klasma.github.io/Logging_0482/tillsyn/A 33216-2024 tillsynsbegäran.docx", "A 33216-2024")</f>
        <v/>
      </c>
      <c r="Y625">
        <f>HYPERLINK("https://klasma.github.io/Logging_0482/tillsynsmail/A 33216-2024 tillsynsbegäran mail.docx", "A 33216-2024")</f>
        <v/>
      </c>
    </row>
    <row r="626" ht="15" customHeight="1">
      <c r="A626" t="inlineStr">
        <is>
          <t>A 35360-2024</t>
        </is>
      </c>
      <c r="B626" s="1" t="n">
        <v>45531</v>
      </c>
      <c r="C626" s="1" t="n">
        <v>45761</v>
      </c>
      <c r="D626" t="inlineStr">
        <is>
          <t>SÖDERMANLANDS LÄN</t>
        </is>
      </c>
      <c r="E626" t="inlineStr">
        <is>
          <t>STRÄNGNÄS</t>
        </is>
      </c>
      <c r="F626" t="inlineStr">
        <is>
          <t>Övriga statliga verk och myndigheter</t>
        </is>
      </c>
      <c r="G626" t="n">
        <v>7.6</v>
      </c>
      <c r="H626" t="n">
        <v>0</v>
      </c>
      <c r="I626" t="n">
        <v>1</v>
      </c>
      <c r="J626" t="n">
        <v>0</v>
      </c>
      <c r="K626" t="n">
        <v>0</v>
      </c>
      <c r="L626" t="n">
        <v>0</v>
      </c>
      <c r="M626" t="n">
        <v>0</v>
      </c>
      <c r="N626" t="n">
        <v>0</v>
      </c>
      <c r="O626" t="n">
        <v>0</v>
      </c>
      <c r="P626" t="n">
        <v>0</v>
      </c>
      <c r="Q626" t="n">
        <v>1</v>
      </c>
      <c r="R626" s="2" t="inlineStr">
        <is>
          <t>Grönpyrola</t>
        </is>
      </c>
      <c r="S626">
        <f>HYPERLINK("https://klasma.github.io/Logging_0486/artfynd/A 35360-2024 artfynd.xlsx", "A 35360-2024")</f>
        <v/>
      </c>
      <c r="T626">
        <f>HYPERLINK("https://klasma.github.io/Logging_0486/kartor/A 35360-2024 karta.png", "A 35360-2024")</f>
        <v/>
      </c>
      <c r="V626">
        <f>HYPERLINK("https://klasma.github.io/Logging_0486/klagomål/A 35360-2024 FSC-klagomål.docx", "A 35360-2024")</f>
        <v/>
      </c>
      <c r="W626">
        <f>HYPERLINK("https://klasma.github.io/Logging_0486/klagomålsmail/A 35360-2024 FSC-klagomål mail.docx", "A 35360-2024")</f>
        <v/>
      </c>
      <c r="X626">
        <f>HYPERLINK("https://klasma.github.io/Logging_0486/tillsyn/A 35360-2024 tillsynsbegäran.docx", "A 35360-2024")</f>
        <v/>
      </c>
      <c r="Y626">
        <f>HYPERLINK("https://klasma.github.io/Logging_0486/tillsynsmail/A 35360-2024 tillsynsbegäran mail.docx", "A 35360-2024")</f>
        <v/>
      </c>
    </row>
    <row r="627" ht="15" customHeight="1">
      <c r="A627" t="inlineStr">
        <is>
          <t>A 37282-2024</t>
        </is>
      </c>
      <c r="B627" s="1" t="n">
        <v>45540</v>
      </c>
      <c r="C627" s="1" t="n">
        <v>45761</v>
      </c>
      <c r="D627" t="inlineStr">
        <is>
          <t>SÖDERMANLANDS LÄN</t>
        </is>
      </c>
      <c r="E627" t="inlineStr">
        <is>
          <t>FLEN</t>
        </is>
      </c>
      <c r="G627" t="n">
        <v>3.4</v>
      </c>
      <c r="H627" t="n">
        <v>0</v>
      </c>
      <c r="I627" t="n">
        <v>1</v>
      </c>
      <c r="J627" t="n">
        <v>0</v>
      </c>
      <c r="K627" t="n">
        <v>0</v>
      </c>
      <c r="L627" t="n">
        <v>0</v>
      </c>
      <c r="M627" t="n">
        <v>0</v>
      </c>
      <c r="N627" t="n">
        <v>0</v>
      </c>
      <c r="O627" t="n">
        <v>0</v>
      </c>
      <c r="P627" t="n">
        <v>0</v>
      </c>
      <c r="Q627" t="n">
        <v>1</v>
      </c>
      <c r="R627" s="2" t="inlineStr">
        <is>
          <t>Grönpyrola</t>
        </is>
      </c>
      <c r="S627">
        <f>HYPERLINK("https://klasma.github.io/Logging_0482/artfynd/A 37282-2024 artfynd.xlsx", "A 37282-2024")</f>
        <v/>
      </c>
      <c r="T627">
        <f>HYPERLINK("https://klasma.github.io/Logging_0482/kartor/A 37282-2024 karta.png", "A 37282-2024")</f>
        <v/>
      </c>
      <c r="V627">
        <f>HYPERLINK("https://klasma.github.io/Logging_0482/klagomål/A 37282-2024 FSC-klagomål.docx", "A 37282-2024")</f>
        <v/>
      </c>
      <c r="W627">
        <f>HYPERLINK("https://klasma.github.io/Logging_0482/klagomålsmail/A 37282-2024 FSC-klagomål mail.docx", "A 37282-2024")</f>
        <v/>
      </c>
      <c r="X627">
        <f>HYPERLINK("https://klasma.github.io/Logging_0482/tillsyn/A 37282-2024 tillsynsbegäran.docx", "A 37282-2024")</f>
        <v/>
      </c>
      <c r="Y627">
        <f>HYPERLINK("https://klasma.github.io/Logging_0482/tillsynsmail/A 37282-2024 tillsynsbegäran mail.docx", "A 37282-2024")</f>
        <v/>
      </c>
    </row>
    <row r="628" ht="15" customHeight="1">
      <c r="A628" t="inlineStr">
        <is>
          <t>A 37284-2024</t>
        </is>
      </c>
      <c r="B628" s="1" t="n">
        <v>45540</v>
      </c>
      <c r="C628" s="1" t="n">
        <v>45761</v>
      </c>
      <c r="D628" t="inlineStr">
        <is>
          <t>SÖDERMANLANDS LÄN</t>
        </is>
      </c>
      <c r="E628" t="inlineStr">
        <is>
          <t>FLEN</t>
        </is>
      </c>
      <c r="G628" t="n">
        <v>5.7</v>
      </c>
      <c r="H628" t="n">
        <v>1</v>
      </c>
      <c r="I628" t="n">
        <v>0</v>
      </c>
      <c r="J628" t="n">
        <v>0</v>
      </c>
      <c r="K628" t="n">
        <v>0</v>
      </c>
      <c r="L628" t="n">
        <v>0</v>
      </c>
      <c r="M628" t="n">
        <v>0</v>
      </c>
      <c r="N628" t="n">
        <v>0</v>
      </c>
      <c r="O628" t="n">
        <v>0</v>
      </c>
      <c r="P628" t="n">
        <v>0</v>
      </c>
      <c r="Q628" t="n">
        <v>1</v>
      </c>
      <c r="R628" s="2" t="inlineStr">
        <is>
          <t>Mattlummer</t>
        </is>
      </c>
      <c r="S628">
        <f>HYPERLINK("https://klasma.github.io/Logging_0482/artfynd/A 37284-2024 artfynd.xlsx", "A 37284-2024")</f>
        <v/>
      </c>
      <c r="T628">
        <f>HYPERLINK("https://klasma.github.io/Logging_0482/kartor/A 37284-2024 karta.png", "A 37284-2024")</f>
        <v/>
      </c>
      <c r="V628">
        <f>HYPERLINK("https://klasma.github.io/Logging_0482/klagomål/A 37284-2024 FSC-klagomål.docx", "A 37284-2024")</f>
        <v/>
      </c>
      <c r="W628">
        <f>HYPERLINK("https://klasma.github.io/Logging_0482/klagomålsmail/A 37284-2024 FSC-klagomål mail.docx", "A 37284-2024")</f>
        <v/>
      </c>
      <c r="X628">
        <f>HYPERLINK("https://klasma.github.io/Logging_0482/tillsyn/A 37284-2024 tillsynsbegäran.docx", "A 37284-2024")</f>
        <v/>
      </c>
      <c r="Y628">
        <f>HYPERLINK("https://klasma.github.io/Logging_0482/tillsynsmail/A 37284-2024 tillsynsbegäran mail.docx", "A 37284-2024")</f>
        <v/>
      </c>
    </row>
    <row r="629" ht="15" customHeight="1">
      <c r="A629" t="inlineStr">
        <is>
          <t>A 38013-2024</t>
        </is>
      </c>
      <c r="B629" s="1" t="n">
        <v>45544</v>
      </c>
      <c r="C629" s="1" t="n">
        <v>45761</v>
      </c>
      <c r="D629" t="inlineStr">
        <is>
          <t>SÖDERMANLANDS LÄN</t>
        </is>
      </c>
      <c r="E629" t="inlineStr">
        <is>
          <t>ESKILSTUNA</t>
        </is>
      </c>
      <c r="G629" t="n">
        <v>5</v>
      </c>
      <c r="H629" t="n">
        <v>1</v>
      </c>
      <c r="I629" t="n">
        <v>1</v>
      </c>
      <c r="J629" t="n">
        <v>0</v>
      </c>
      <c r="K629" t="n">
        <v>0</v>
      </c>
      <c r="L629" t="n">
        <v>0</v>
      </c>
      <c r="M629" t="n">
        <v>0</v>
      </c>
      <c r="N629" t="n">
        <v>0</v>
      </c>
      <c r="O629" t="n">
        <v>0</v>
      </c>
      <c r="P629" t="n">
        <v>0</v>
      </c>
      <c r="Q629" t="n">
        <v>1</v>
      </c>
      <c r="R629" s="2" t="inlineStr">
        <is>
          <t>Grön sköldmossa</t>
        </is>
      </c>
      <c r="S629">
        <f>HYPERLINK("https://klasma.github.io/Logging_0484/artfynd/A 38013-2024 artfynd.xlsx", "A 38013-2024")</f>
        <v/>
      </c>
      <c r="T629">
        <f>HYPERLINK("https://klasma.github.io/Logging_0484/kartor/A 38013-2024 karta.png", "A 38013-2024")</f>
        <v/>
      </c>
      <c r="V629">
        <f>HYPERLINK("https://klasma.github.io/Logging_0484/klagomål/A 38013-2024 FSC-klagomål.docx", "A 38013-2024")</f>
        <v/>
      </c>
      <c r="W629">
        <f>HYPERLINK("https://klasma.github.io/Logging_0484/klagomålsmail/A 38013-2024 FSC-klagomål mail.docx", "A 38013-2024")</f>
        <v/>
      </c>
      <c r="X629">
        <f>HYPERLINK("https://klasma.github.io/Logging_0484/tillsyn/A 38013-2024 tillsynsbegäran.docx", "A 38013-2024")</f>
        <v/>
      </c>
      <c r="Y629">
        <f>HYPERLINK("https://klasma.github.io/Logging_0484/tillsynsmail/A 38013-2024 tillsynsbegäran mail.docx", "A 38013-2024")</f>
        <v/>
      </c>
    </row>
    <row r="630" ht="15" customHeight="1">
      <c r="A630" t="inlineStr">
        <is>
          <t>A 40820-2024</t>
        </is>
      </c>
      <c r="B630" s="1" t="n">
        <v>45558</v>
      </c>
      <c r="C630" s="1" t="n">
        <v>45761</v>
      </c>
      <c r="D630" t="inlineStr">
        <is>
          <t>SÖDERMANLANDS LÄN</t>
        </is>
      </c>
      <c r="E630" t="inlineStr">
        <is>
          <t>FLEN</t>
        </is>
      </c>
      <c r="G630" t="n">
        <v>5.7</v>
      </c>
      <c r="H630" t="n">
        <v>1</v>
      </c>
      <c r="I630" t="n">
        <v>0</v>
      </c>
      <c r="J630" t="n">
        <v>0</v>
      </c>
      <c r="K630" t="n">
        <v>1</v>
      </c>
      <c r="L630" t="n">
        <v>0</v>
      </c>
      <c r="M630" t="n">
        <v>0</v>
      </c>
      <c r="N630" t="n">
        <v>0</v>
      </c>
      <c r="O630" t="n">
        <v>1</v>
      </c>
      <c r="P630" t="n">
        <v>1</v>
      </c>
      <c r="Q630" t="n">
        <v>1</v>
      </c>
      <c r="R630" s="2" t="inlineStr">
        <is>
          <t>Knärot</t>
        </is>
      </c>
      <c r="S630">
        <f>HYPERLINK("https://klasma.github.io/Logging_0482/artfynd/A 40820-2024 artfynd.xlsx", "A 40820-2024")</f>
        <v/>
      </c>
      <c r="T630">
        <f>HYPERLINK("https://klasma.github.io/Logging_0482/kartor/A 40820-2024 karta.png", "A 40820-2024")</f>
        <v/>
      </c>
      <c r="U630">
        <f>HYPERLINK("https://klasma.github.io/Logging_0482/knärot/A 40820-2024 karta knärot.png", "A 40820-2024")</f>
        <v/>
      </c>
      <c r="V630">
        <f>HYPERLINK("https://klasma.github.io/Logging_0482/klagomål/A 40820-2024 FSC-klagomål.docx", "A 40820-2024")</f>
        <v/>
      </c>
      <c r="W630">
        <f>HYPERLINK("https://klasma.github.io/Logging_0482/klagomålsmail/A 40820-2024 FSC-klagomål mail.docx", "A 40820-2024")</f>
        <v/>
      </c>
      <c r="X630">
        <f>HYPERLINK("https://klasma.github.io/Logging_0482/tillsyn/A 40820-2024 tillsynsbegäran.docx", "A 40820-2024")</f>
        <v/>
      </c>
      <c r="Y630">
        <f>HYPERLINK("https://klasma.github.io/Logging_0482/tillsynsmail/A 40820-2024 tillsynsbegäran mail.docx", "A 40820-2024")</f>
        <v/>
      </c>
    </row>
    <row r="631" ht="15" customHeight="1">
      <c r="A631" t="inlineStr">
        <is>
          <t>A 43919-2024</t>
        </is>
      </c>
      <c r="B631" s="1" t="n">
        <v>45570</v>
      </c>
      <c r="C631" s="1" t="n">
        <v>45761</v>
      </c>
      <c r="D631" t="inlineStr">
        <is>
          <t>SÖDERMANLANDS LÄN</t>
        </is>
      </c>
      <c r="E631" t="inlineStr">
        <is>
          <t>KATRINEHOLM</t>
        </is>
      </c>
      <c r="G631" t="n">
        <v>4</v>
      </c>
      <c r="H631" t="n">
        <v>1</v>
      </c>
      <c r="I631" t="n">
        <v>0</v>
      </c>
      <c r="J631" t="n">
        <v>0</v>
      </c>
      <c r="K631" t="n">
        <v>0</v>
      </c>
      <c r="L631" t="n">
        <v>0</v>
      </c>
      <c r="M631" t="n">
        <v>0</v>
      </c>
      <c r="N631" t="n">
        <v>0</v>
      </c>
      <c r="O631" t="n">
        <v>0</v>
      </c>
      <c r="P631" t="n">
        <v>0</v>
      </c>
      <c r="Q631" t="n">
        <v>1</v>
      </c>
      <c r="R631" s="2" t="inlineStr">
        <is>
          <t>Mattlummer</t>
        </is>
      </c>
      <c r="S631">
        <f>HYPERLINK("https://klasma.github.io/Logging_0483/artfynd/A 43919-2024 artfynd.xlsx", "A 43919-2024")</f>
        <v/>
      </c>
      <c r="T631">
        <f>HYPERLINK("https://klasma.github.io/Logging_0483/kartor/A 43919-2024 karta.png", "A 43919-2024")</f>
        <v/>
      </c>
      <c r="V631">
        <f>HYPERLINK("https://klasma.github.io/Logging_0483/klagomål/A 43919-2024 FSC-klagomål.docx", "A 43919-2024")</f>
        <v/>
      </c>
      <c r="W631">
        <f>HYPERLINK("https://klasma.github.io/Logging_0483/klagomålsmail/A 43919-2024 FSC-klagomål mail.docx", "A 43919-2024")</f>
        <v/>
      </c>
      <c r="X631">
        <f>HYPERLINK("https://klasma.github.io/Logging_0483/tillsyn/A 43919-2024 tillsynsbegäran.docx", "A 43919-2024")</f>
        <v/>
      </c>
      <c r="Y631">
        <f>HYPERLINK("https://klasma.github.io/Logging_0483/tillsynsmail/A 43919-2024 tillsynsbegäran mail.docx", "A 43919-2024")</f>
        <v/>
      </c>
    </row>
    <row r="632" ht="15" customHeight="1">
      <c r="A632" t="inlineStr">
        <is>
          <t>A 44413-2024</t>
        </is>
      </c>
      <c r="B632" s="1" t="n">
        <v>45573</v>
      </c>
      <c r="C632" s="1" t="n">
        <v>45761</v>
      </c>
      <c r="D632" t="inlineStr">
        <is>
          <t>SÖDERMANLANDS LÄN</t>
        </is>
      </c>
      <c r="E632" t="inlineStr">
        <is>
          <t>KATRINEHOLM</t>
        </is>
      </c>
      <c r="G632" t="n">
        <v>0.7</v>
      </c>
      <c r="H632" t="n">
        <v>1</v>
      </c>
      <c r="I632" t="n">
        <v>0</v>
      </c>
      <c r="J632" t="n">
        <v>0</v>
      </c>
      <c r="K632" t="n">
        <v>1</v>
      </c>
      <c r="L632" t="n">
        <v>0</v>
      </c>
      <c r="M632" t="n">
        <v>0</v>
      </c>
      <c r="N632" t="n">
        <v>0</v>
      </c>
      <c r="O632" t="n">
        <v>1</v>
      </c>
      <c r="P632" t="n">
        <v>1</v>
      </c>
      <c r="Q632" t="n">
        <v>1</v>
      </c>
      <c r="R632" s="2" t="inlineStr">
        <is>
          <t>Knärot</t>
        </is>
      </c>
      <c r="S632">
        <f>HYPERLINK("https://klasma.github.io/Logging_0483/artfynd/A 44413-2024 artfynd.xlsx", "A 44413-2024")</f>
        <v/>
      </c>
      <c r="T632">
        <f>HYPERLINK("https://klasma.github.io/Logging_0483/kartor/A 44413-2024 karta.png", "A 44413-2024")</f>
        <v/>
      </c>
      <c r="U632">
        <f>HYPERLINK("https://klasma.github.io/Logging_0483/knärot/A 44413-2024 karta knärot.png", "A 44413-2024")</f>
        <v/>
      </c>
      <c r="V632">
        <f>HYPERLINK("https://klasma.github.io/Logging_0483/klagomål/A 44413-2024 FSC-klagomål.docx", "A 44413-2024")</f>
        <v/>
      </c>
      <c r="W632">
        <f>HYPERLINK("https://klasma.github.io/Logging_0483/klagomålsmail/A 44413-2024 FSC-klagomål mail.docx", "A 44413-2024")</f>
        <v/>
      </c>
      <c r="X632">
        <f>HYPERLINK("https://klasma.github.io/Logging_0483/tillsyn/A 44413-2024 tillsynsbegäran.docx", "A 44413-2024")</f>
        <v/>
      </c>
      <c r="Y632">
        <f>HYPERLINK("https://klasma.github.io/Logging_0483/tillsynsmail/A 44413-2024 tillsynsbegäran mail.docx", "A 44413-2024")</f>
        <v/>
      </c>
    </row>
    <row r="633" ht="15" customHeight="1">
      <c r="A633" t="inlineStr">
        <is>
          <t>A 45459-2024</t>
        </is>
      </c>
      <c r="B633" s="1" t="n">
        <v>45576</v>
      </c>
      <c r="C633" s="1" t="n">
        <v>45761</v>
      </c>
      <c r="D633" t="inlineStr">
        <is>
          <t>SÖDERMANLANDS LÄN</t>
        </is>
      </c>
      <c r="E633" t="inlineStr">
        <is>
          <t>NYKÖPING</t>
        </is>
      </c>
      <c r="G633" t="n">
        <v>11</v>
      </c>
      <c r="H633" t="n">
        <v>0</v>
      </c>
      <c r="I633" t="n">
        <v>0</v>
      </c>
      <c r="J633" t="n">
        <v>1</v>
      </c>
      <c r="K633" t="n">
        <v>0</v>
      </c>
      <c r="L633" t="n">
        <v>0</v>
      </c>
      <c r="M633" t="n">
        <v>0</v>
      </c>
      <c r="N633" t="n">
        <v>0</v>
      </c>
      <c r="O633" t="n">
        <v>1</v>
      </c>
      <c r="P633" t="n">
        <v>0</v>
      </c>
      <c r="Q633" t="n">
        <v>1</v>
      </c>
      <c r="R633" s="2" t="inlineStr">
        <is>
          <t>Motaggsvamp</t>
        </is>
      </c>
      <c r="S633">
        <f>HYPERLINK("https://klasma.github.io/Logging_0480/artfynd/A 45459-2024 artfynd.xlsx", "A 45459-2024")</f>
        <v/>
      </c>
      <c r="T633">
        <f>HYPERLINK("https://klasma.github.io/Logging_0480/kartor/A 45459-2024 karta.png", "A 45459-2024")</f>
        <v/>
      </c>
      <c r="V633">
        <f>HYPERLINK("https://klasma.github.io/Logging_0480/klagomål/A 45459-2024 FSC-klagomål.docx", "A 45459-2024")</f>
        <v/>
      </c>
      <c r="W633">
        <f>HYPERLINK("https://klasma.github.io/Logging_0480/klagomålsmail/A 45459-2024 FSC-klagomål mail.docx", "A 45459-2024")</f>
        <v/>
      </c>
      <c r="X633">
        <f>HYPERLINK("https://klasma.github.io/Logging_0480/tillsyn/A 45459-2024 tillsynsbegäran.docx", "A 45459-2024")</f>
        <v/>
      </c>
      <c r="Y633">
        <f>HYPERLINK("https://klasma.github.io/Logging_0480/tillsynsmail/A 45459-2024 tillsynsbegäran mail.docx", "A 45459-2024")</f>
        <v/>
      </c>
    </row>
    <row r="634" ht="15" customHeight="1">
      <c r="A634" t="inlineStr">
        <is>
          <t>A 45718-2024</t>
        </is>
      </c>
      <c r="B634" s="1" t="n">
        <v>45579</v>
      </c>
      <c r="C634" s="1" t="n">
        <v>45761</v>
      </c>
      <c r="D634" t="inlineStr">
        <is>
          <t>SÖDERMANLANDS LÄN</t>
        </is>
      </c>
      <c r="E634" t="inlineStr">
        <is>
          <t>FLEN</t>
        </is>
      </c>
      <c r="G634" t="n">
        <v>0.9</v>
      </c>
      <c r="H634" t="n">
        <v>1</v>
      </c>
      <c r="I634" t="n">
        <v>0</v>
      </c>
      <c r="J634" t="n">
        <v>0</v>
      </c>
      <c r="K634" t="n">
        <v>1</v>
      </c>
      <c r="L634" t="n">
        <v>0</v>
      </c>
      <c r="M634" t="n">
        <v>0</v>
      </c>
      <c r="N634" t="n">
        <v>0</v>
      </c>
      <c r="O634" t="n">
        <v>1</v>
      </c>
      <c r="P634" t="n">
        <v>1</v>
      </c>
      <c r="Q634" t="n">
        <v>1</v>
      </c>
      <c r="R634" s="2" t="inlineStr">
        <is>
          <t>Knärot</t>
        </is>
      </c>
      <c r="S634">
        <f>HYPERLINK("https://klasma.github.io/Logging_0482/artfynd/A 45718-2024 artfynd.xlsx", "A 45718-2024")</f>
        <v/>
      </c>
      <c r="T634">
        <f>HYPERLINK("https://klasma.github.io/Logging_0482/kartor/A 45718-2024 karta.png", "A 45718-2024")</f>
        <v/>
      </c>
      <c r="U634">
        <f>HYPERLINK("https://klasma.github.io/Logging_0482/knärot/A 45718-2024 karta knärot.png", "A 45718-2024")</f>
        <v/>
      </c>
      <c r="V634">
        <f>HYPERLINK("https://klasma.github.io/Logging_0482/klagomål/A 45718-2024 FSC-klagomål.docx", "A 45718-2024")</f>
        <v/>
      </c>
      <c r="W634">
        <f>HYPERLINK("https://klasma.github.io/Logging_0482/klagomålsmail/A 45718-2024 FSC-klagomål mail.docx", "A 45718-2024")</f>
        <v/>
      </c>
      <c r="X634">
        <f>HYPERLINK("https://klasma.github.io/Logging_0482/tillsyn/A 45718-2024 tillsynsbegäran.docx", "A 45718-2024")</f>
        <v/>
      </c>
      <c r="Y634">
        <f>HYPERLINK("https://klasma.github.io/Logging_0482/tillsynsmail/A 45718-2024 tillsynsbegäran mail.docx", "A 45718-2024")</f>
        <v/>
      </c>
    </row>
    <row r="635" ht="15" customHeight="1">
      <c r="A635" t="inlineStr">
        <is>
          <t>A 48004-2024</t>
        </is>
      </c>
      <c r="B635" s="1" t="n">
        <v>45589</v>
      </c>
      <c r="C635" s="1" t="n">
        <v>45761</v>
      </c>
      <c r="D635" t="inlineStr">
        <is>
          <t>SÖDERMANLANDS LÄN</t>
        </is>
      </c>
      <c r="E635" t="inlineStr">
        <is>
          <t>KATRINEHOLM</t>
        </is>
      </c>
      <c r="G635" t="n">
        <v>2.2</v>
      </c>
      <c r="H635" t="n">
        <v>0</v>
      </c>
      <c r="I635" t="n">
        <v>0</v>
      </c>
      <c r="J635" t="n">
        <v>0</v>
      </c>
      <c r="K635" t="n">
        <v>1</v>
      </c>
      <c r="L635" t="n">
        <v>0</v>
      </c>
      <c r="M635" t="n">
        <v>0</v>
      </c>
      <c r="N635" t="n">
        <v>0</v>
      </c>
      <c r="O635" t="n">
        <v>1</v>
      </c>
      <c r="P635" t="n">
        <v>1</v>
      </c>
      <c r="Q635" t="n">
        <v>1</v>
      </c>
      <c r="R635" s="2" t="inlineStr">
        <is>
          <t>Grenticka</t>
        </is>
      </c>
      <c r="S635">
        <f>HYPERLINK("https://klasma.github.io/Logging_0483/artfynd/A 48004-2024 artfynd.xlsx", "A 48004-2024")</f>
        <v/>
      </c>
      <c r="T635">
        <f>HYPERLINK("https://klasma.github.io/Logging_0483/kartor/A 48004-2024 karta.png", "A 48004-2024")</f>
        <v/>
      </c>
      <c r="V635">
        <f>HYPERLINK("https://klasma.github.io/Logging_0483/klagomål/A 48004-2024 FSC-klagomål.docx", "A 48004-2024")</f>
        <v/>
      </c>
      <c r="W635">
        <f>HYPERLINK("https://klasma.github.io/Logging_0483/klagomålsmail/A 48004-2024 FSC-klagomål mail.docx", "A 48004-2024")</f>
        <v/>
      </c>
      <c r="X635">
        <f>HYPERLINK("https://klasma.github.io/Logging_0483/tillsyn/A 48004-2024 tillsynsbegäran.docx", "A 48004-2024")</f>
        <v/>
      </c>
      <c r="Y635">
        <f>HYPERLINK("https://klasma.github.io/Logging_0483/tillsynsmail/A 48004-2024 tillsynsbegäran mail.docx", "A 48004-2024")</f>
        <v/>
      </c>
    </row>
    <row r="636" ht="15" customHeight="1">
      <c r="A636" t="inlineStr">
        <is>
          <t>A 51258-2024</t>
        </is>
      </c>
      <c r="B636" s="1" t="n">
        <v>45603</v>
      </c>
      <c r="C636" s="1" t="n">
        <v>45761</v>
      </c>
      <c r="D636" t="inlineStr">
        <is>
          <t>SÖDERMANLANDS LÄN</t>
        </is>
      </c>
      <c r="E636" t="inlineStr">
        <is>
          <t>NYKÖPING</t>
        </is>
      </c>
      <c r="F636" t="inlineStr">
        <is>
          <t>Sveaskog</t>
        </is>
      </c>
      <c r="G636" t="n">
        <v>2.6</v>
      </c>
      <c r="H636" t="n">
        <v>0</v>
      </c>
      <c r="I636" t="n">
        <v>1</v>
      </c>
      <c r="J636" t="n">
        <v>0</v>
      </c>
      <c r="K636" t="n">
        <v>0</v>
      </c>
      <c r="L636" t="n">
        <v>0</v>
      </c>
      <c r="M636" t="n">
        <v>0</v>
      </c>
      <c r="N636" t="n">
        <v>0</v>
      </c>
      <c r="O636" t="n">
        <v>0</v>
      </c>
      <c r="P636" t="n">
        <v>0</v>
      </c>
      <c r="Q636" t="n">
        <v>1</v>
      </c>
      <c r="R636" s="2" t="inlineStr">
        <is>
          <t>Grönpyrola</t>
        </is>
      </c>
      <c r="S636">
        <f>HYPERLINK("https://klasma.github.io/Logging_0480/artfynd/A 51258-2024 artfynd.xlsx", "A 51258-2024")</f>
        <v/>
      </c>
      <c r="T636">
        <f>HYPERLINK("https://klasma.github.io/Logging_0480/kartor/A 51258-2024 karta.png", "A 51258-2024")</f>
        <v/>
      </c>
      <c r="V636">
        <f>HYPERLINK("https://klasma.github.io/Logging_0480/klagomål/A 51258-2024 FSC-klagomål.docx", "A 51258-2024")</f>
        <v/>
      </c>
      <c r="W636">
        <f>HYPERLINK("https://klasma.github.io/Logging_0480/klagomålsmail/A 51258-2024 FSC-klagomål mail.docx", "A 51258-2024")</f>
        <v/>
      </c>
      <c r="X636">
        <f>HYPERLINK("https://klasma.github.io/Logging_0480/tillsyn/A 51258-2024 tillsynsbegäran.docx", "A 51258-2024")</f>
        <v/>
      </c>
      <c r="Y636">
        <f>HYPERLINK("https://klasma.github.io/Logging_0480/tillsynsmail/A 51258-2024 tillsynsbegäran mail.docx", "A 51258-2024")</f>
        <v/>
      </c>
    </row>
    <row r="637" ht="15" customHeight="1">
      <c r="A637" t="inlineStr">
        <is>
          <t>A 51644-2024</t>
        </is>
      </c>
      <c r="B637" s="1" t="n">
        <v>45603</v>
      </c>
      <c r="C637" s="1" t="n">
        <v>45761</v>
      </c>
      <c r="D637" t="inlineStr">
        <is>
          <t>SÖDERMANLANDS LÄN</t>
        </is>
      </c>
      <c r="E637" t="inlineStr">
        <is>
          <t>TROSA</t>
        </is>
      </c>
      <c r="G637" t="n">
        <v>15.2</v>
      </c>
      <c r="H637" t="n">
        <v>1</v>
      </c>
      <c r="I637" t="n">
        <v>0</v>
      </c>
      <c r="J637" t="n">
        <v>0</v>
      </c>
      <c r="K637" t="n">
        <v>0</v>
      </c>
      <c r="L637" t="n">
        <v>0</v>
      </c>
      <c r="M637" t="n">
        <v>0</v>
      </c>
      <c r="N637" t="n">
        <v>0</v>
      </c>
      <c r="O637" t="n">
        <v>0</v>
      </c>
      <c r="P637" t="n">
        <v>0</v>
      </c>
      <c r="Q637" t="n">
        <v>1</v>
      </c>
      <c r="R637" s="2" t="inlineStr">
        <is>
          <t>Gröngöling</t>
        </is>
      </c>
      <c r="S637">
        <f>HYPERLINK("https://klasma.github.io/Logging_0488/artfynd/A 51644-2024 artfynd.xlsx", "A 51644-2024")</f>
        <v/>
      </c>
      <c r="T637">
        <f>HYPERLINK("https://klasma.github.io/Logging_0488/kartor/A 51644-2024 karta.png", "A 51644-2024")</f>
        <v/>
      </c>
      <c r="V637">
        <f>HYPERLINK("https://klasma.github.io/Logging_0488/klagomål/A 51644-2024 FSC-klagomål.docx", "A 51644-2024")</f>
        <v/>
      </c>
      <c r="W637">
        <f>HYPERLINK("https://klasma.github.io/Logging_0488/klagomålsmail/A 51644-2024 FSC-klagomål mail.docx", "A 51644-2024")</f>
        <v/>
      </c>
      <c r="X637">
        <f>HYPERLINK("https://klasma.github.io/Logging_0488/tillsyn/A 51644-2024 tillsynsbegäran.docx", "A 51644-2024")</f>
        <v/>
      </c>
      <c r="Y637">
        <f>HYPERLINK("https://klasma.github.io/Logging_0488/tillsynsmail/A 51644-2024 tillsynsbegäran mail.docx", "A 51644-2024")</f>
        <v/>
      </c>
      <c r="Z637">
        <f>HYPERLINK("https://klasma.github.io/Logging_0488/fåglar/A 51644-2024 prioriterade fågelarter.docx", "A 51644-2024")</f>
        <v/>
      </c>
    </row>
    <row r="638" ht="15" customHeight="1">
      <c r="A638" t="inlineStr">
        <is>
          <t>A 51345-2024</t>
        </is>
      </c>
      <c r="B638" s="1" t="n">
        <v>45603</v>
      </c>
      <c r="C638" s="1" t="n">
        <v>45761</v>
      </c>
      <c r="D638" t="inlineStr">
        <is>
          <t>SÖDERMANLANDS LÄN</t>
        </is>
      </c>
      <c r="E638" t="inlineStr">
        <is>
          <t>ESKILSTUNA</t>
        </is>
      </c>
      <c r="G638" t="n">
        <v>4.9</v>
      </c>
      <c r="H638" t="n">
        <v>1</v>
      </c>
      <c r="I638" t="n">
        <v>0</v>
      </c>
      <c r="J638" t="n">
        <v>0</v>
      </c>
      <c r="K638" t="n">
        <v>0</v>
      </c>
      <c r="L638" t="n">
        <v>0</v>
      </c>
      <c r="M638" t="n">
        <v>0</v>
      </c>
      <c r="N638" t="n">
        <v>0</v>
      </c>
      <c r="O638" t="n">
        <v>0</v>
      </c>
      <c r="P638" t="n">
        <v>0</v>
      </c>
      <c r="Q638" t="n">
        <v>1</v>
      </c>
      <c r="R638" s="2" t="inlineStr">
        <is>
          <t>Revlummer</t>
        </is>
      </c>
      <c r="S638">
        <f>HYPERLINK("https://klasma.github.io/Logging_0484/artfynd/A 51345-2024 artfynd.xlsx", "A 51345-2024")</f>
        <v/>
      </c>
      <c r="T638">
        <f>HYPERLINK("https://klasma.github.io/Logging_0484/kartor/A 51345-2024 karta.png", "A 51345-2024")</f>
        <v/>
      </c>
      <c r="V638">
        <f>HYPERLINK("https://klasma.github.io/Logging_0484/klagomål/A 51345-2024 FSC-klagomål.docx", "A 51345-2024")</f>
        <v/>
      </c>
      <c r="W638">
        <f>HYPERLINK("https://klasma.github.io/Logging_0484/klagomålsmail/A 51345-2024 FSC-klagomål mail.docx", "A 51345-2024")</f>
        <v/>
      </c>
      <c r="X638">
        <f>HYPERLINK("https://klasma.github.io/Logging_0484/tillsyn/A 51345-2024 tillsynsbegäran.docx", "A 51345-2024")</f>
        <v/>
      </c>
      <c r="Y638">
        <f>HYPERLINK("https://klasma.github.io/Logging_0484/tillsynsmail/A 51345-2024 tillsynsbegäran mail.docx", "A 51345-2024")</f>
        <v/>
      </c>
    </row>
    <row r="639" ht="15" customHeight="1">
      <c r="A639" t="inlineStr">
        <is>
          <t>A 51249-2024</t>
        </is>
      </c>
      <c r="B639" s="1" t="n">
        <v>45603</v>
      </c>
      <c r="C639" s="1" t="n">
        <v>45761</v>
      </c>
      <c r="D639" t="inlineStr">
        <is>
          <t>SÖDERMANLANDS LÄN</t>
        </is>
      </c>
      <c r="E639" t="inlineStr">
        <is>
          <t>NYKÖPING</t>
        </is>
      </c>
      <c r="F639" t="inlineStr">
        <is>
          <t>Sveaskog</t>
        </is>
      </c>
      <c r="G639" t="n">
        <v>4</v>
      </c>
      <c r="H639" t="n">
        <v>1</v>
      </c>
      <c r="I639" t="n">
        <v>0</v>
      </c>
      <c r="J639" t="n">
        <v>1</v>
      </c>
      <c r="K639" t="n">
        <v>0</v>
      </c>
      <c r="L639" t="n">
        <v>0</v>
      </c>
      <c r="M639" t="n">
        <v>0</v>
      </c>
      <c r="N639" t="n">
        <v>0</v>
      </c>
      <c r="O639" t="n">
        <v>1</v>
      </c>
      <c r="P639" t="n">
        <v>0</v>
      </c>
      <c r="Q639" t="n">
        <v>1</v>
      </c>
      <c r="R639" s="2" t="inlineStr">
        <is>
          <t>Talltita</t>
        </is>
      </c>
      <c r="S639">
        <f>HYPERLINK("https://klasma.github.io/Logging_0480/artfynd/A 51249-2024 artfynd.xlsx", "A 51249-2024")</f>
        <v/>
      </c>
      <c r="T639">
        <f>HYPERLINK("https://klasma.github.io/Logging_0480/kartor/A 51249-2024 karta.png", "A 51249-2024")</f>
        <v/>
      </c>
      <c r="V639">
        <f>HYPERLINK("https://klasma.github.io/Logging_0480/klagomål/A 51249-2024 FSC-klagomål.docx", "A 51249-2024")</f>
        <v/>
      </c>
      <c r="W639">
        <f>HYPERLINK("https://klasma.github.io/Logging_0480/klagomålsmail/A 51249-2024 FSC-klagomål mail.docx", "A 51249-2024")</f>
        <v/>
      </c>
      <c r="X639">
        <f>HYPERLINK("https://klasma.github.io/Logging_0480/tillsyn/A 51249-2024 tillsynsbegäran.docx", "A 51249-2024")</f>
        <v/>
      </c>
      <c r="Y639">
        <f>HYPERLINK("https://klasma.github.io/Logging_0480/tillsynsmail/A 51249-2024 tillsynsbegäran mail.docx", "A 51249-2024")</f>
        <v/>
      </c>
      <c r="Z639">
        <f>HYPERLINK("https://klasma.github.io/Logging_0480/fåglar/A 51249-2024 prioriterade fågelarter.docx", "A 51249-2024")</f>
        <v/>
      </c>
    </row>
    <row r="640" ht="15" customHeight="1">
      <c r="A640" t="inlineStr">
        <is>
          <t>A 51217-2024</t>
        </is>
      </c>
      <c r="B640" s="1" t="n">
        <v>45603</v>
      </c>
      <c r="C640" s="1" t="n">
        <v>45761</v>
      </c>
      <c r="D640" t="inlineStr">
        <is>
          <t>SÖDERMANLANDS LÄN</t>
        </is>
      </c>
      <c r="E640" t="inlineStr">
        <is>
          <t>GNESTA</t>
        </is>
      </c>
      <c r="G640" t="n">
        <v>16.6</v>
      </c>
      <c r="H640" t="n">
        <v>1</v>
      </c>
      <c r="I640" t="n">
        <v>0</v>
      </c>
      <c r="J640" t="n">
        <v>0</v>
      </c>
      <c r="K640" t="n">
        <v>0</v>
      </c>
      <c r="L640" t="n">
        <v>0</v>
      </c>
      <c r="M640" t="n">
        <v>0</v>
      </c>
      <c r="N640" t="n">
        <v>0</v>
      </c>
      <c r="O640" t="n">
        <v>0</v>
      </c>
      <c r="P640" t="n">
        <v>0</v>
      </c>
      <c r="Q640" t="n">
        <v>1</v>
      </c>
      <c r="R640" s="2" t="inlineStr">
        <is>
          <t>Revlummer</t>
        </is>
      </c>
      <c r="S640">
        <f>HYPERLINK("https://klasma.github.io/Logging_0461/artfynd/A 51217-2024 artfynd.xlsx", "A 51217-2024")</f>
        <v/>
      </c>
      <c r="T640">
        <f>HYPERLINK("https://klasma.github.io/Logging_0461/kartor/A 51217-2024 karta.png", "A 51217-2024")</f>
        <v/>
      </c>
      <c r="V640">
        <f>HYPERLINK("https://klasma.github.io/Logging_0461/klagomål/A 51217-2024 FSC-klagomål.docx", "A 51217-2024")</f>
        <v/>
      </c>
      <c r="W640">
        <f>HYPERLINK("https://klasma.github.io/Logging_0461/klagomålsmail/A 51217-2024 FSC-klagomål mail.docx", "A 51217-2024")</f>
        <v/>
      </c>
      <c r="X640">
        <f>HYPERLINK("https://klasma.github.io/Logging_0461/tillsyn/A 51217-2024 tillsynsbegäran.docx", "A 51217-2024")</f>
        <v/>
      </c>
      <c r="Y640">
        <f>HYPERLINK("https://klasma.github.io/Logging_0461/tillsynsmail/A 51217-2024 tillsynsbegäran mail.docx", "A 51217-2024")</f>
        <v/>
      </c>
    </row>
    <row r="641" ht="15" customHeight="1">
      <c r="A641" t="inlineStr">
        <is>
          <t>A 51095-2024</t>
        </is>
      </c>
      <c r="B641" s="1" t="n">
        <v>45603</v>
      </c>
      <c r="C641" s="1" t="n">
        <v>45761</v>
      </c>
      <c r="D641" t="inlineStr">
        <is>
          <t>SÖDERMANLANDS LÄN</t>
        </is>
      </c>
      <c r="E641" t="inlineStr">
        <is>
          <t>GNESTA</t>
        </is>
      </c>
      <c r="G641" t="n">
        <v>1.5</v>
      </c>
      <c r="H641" t="n">
        <v>1</v>
      </c>
      <c r="I641" t="n">
        <v>0</v>
      </c>
      <c r="J641" t="n">
        <v>0</v>
      </c>
      <c r="K641" t="n">
        <v>0</v>
      </c>
      <c r="L641" t="n">
        <v>0</v>
      </c>
      <c r="M641" t="n">
        <v>0</v>
      </c>
      <c r="N641" t="n">
        <v>0</v>
      </c>
      <c r="O641" t="n">
        <v>0</v>
      </c>
      <c r="P641" t="n">
        <v>0</v>
      </c>
      <c r="Q641" t="n">
        <v>1</v>
      </c>
      <c r="R641" s="2" t="inlineStr">
        <is>
          <t>Blåsippa</t>
        </is>
      </c>
      <c r="S641">
        <f>HYPERLINK("https://klasma.github.io/Logging_0461/artfynd/A 51095-2024 artfynd.xlsx", "A 51095-2024")</f>
        <v/>
      </c>
      <c r="T641">
        <f>HYPERLINK("https://klasma.github.io/Logging_0461/kartor/A 51095-2024 karta.png", "A 51095-2024")</f>
        <v/>
      </c>
      <c r="V641">
        <f>HYPERLINK("https://klasma.github.io/Logging_0461/klagomål/A 51095-2024 FSC-klagomål.docx", "A 51095-2024")</f>
        <v/>
      </c>
      <c r="W641">
        <f>HYPERLINK("https://klasma.github.io/Logging_0461/klagomålsmail/A 51095-2024 FSC-klagomål mail.docx", "A 51095-2024")</f>
        <v/>
      </c>
      <c r="X641">
        <f>HYPERLINK("https://klasma.github.io/Logging_0461/tillsyn/A 51095-2024 tillsynsbegäran.docx", "A 51095-2024")</f>
        <v/>
      </c>
      <c r="Y641">
        <f>HYPERLINK("https://klasma.github.io/Logging_0461/tillsynsmail/A 51095-2024 tillsynsbegäran mail.docx", "A 51095-2024")</f>
        <v/>
      </c>
    </row>
    <row r="642" ht="15" customHeight="1">
      <c r="A642" t="inlineStr">
        <is>
          <t>A 51551-2024</t>
        </is>
      </c>
      <c r="B642" s="1" t="n">
        <v>45603</v>
      </c>
      <c r="C642" s="1" t="n">
        <v>45761</v>
      </c>
      <c r="D642" t="inlineStr">
        <is>
          <t>SÖDERMANLANDS LÄN</t>
        </is>
      </c>
      <c r="E642" t="inlineStr">
        <is>
          <t>TROSA</t>
        </is>
      </c>
      <c r="G642" t="n">
        <v>3</v>
      </c>
      <c r="H642" t="n">
        <v>0</v>
      </c>
      <c r="I642" t="n">
        <v>0</v>
      </c>
      <c r="J642" t="n">
        <v>1</v>
      </c>
      <c r="K642" t="n">
        <v>0</v>
      </c>
      <c r="L642" t="n">
        <v>0</v>
      </c>
      <c r="M642" t="n">
        <v>0</v>
      </c>
      <c r="N642" t="n">
        <v>0</v>
      </c>
      <c r="O642" t="n">
        <v>1</v>
      </c>
      <c r="P642" t="n">
        <v>0</v>
      </c>
      <c r="Q642" t="n">
        <v>1</v>
      </c>
      <c r="R642" s="2" t="inlineStr">
        <is>
          <t>Motaggsvamp</t>
        </is>
      </c>
      <c r="S642">
        <f>HYPERLINK("https://klasma.github.io/Logging_0488/artfynd/A 51551-2024 artfynd.xlsx", "A 51551-2024")</f>
        <v/>
      </c>
      <c r="T642">
        <f>HYPERLINK("https://klasma.github.io/Logging_0488/kartor/A 51551-2024 karta.png", "A 51551-2024")</f>
        <v/>
      </c>
      <c r="V642">
        <f>HYPERLINK("https://klasma.github.io/Logging_0488/klagomål/A 51551-2024 FSC-klagomål.docx", "A 51551-2024")</f>
        <v/>
      </c>
      <c r="W642">
        <f>HYPERLINK("https://klasma.github.io/Logging_0488/klagomålsmail/A 51551-2024 FSC-klagomål mail.docx", "A 51551-2024")</f>
        <v/>
      </c>
      <c r="X642">
        <f>HYPERLINK("https://klasma.github.io/Logging_0488/tillsyn/A 51551-2024 tillsynsbegäran.docx", "A 51551-2024")</f>
        <v/>
      </c>
      <c r="Y642">
        <f>HYPERLINK("https://klasma.github.io/Logging_0488/tillsynsmail/A 51551-2024 tillsynsbegäran mail.docx", "A 51551-2024")</f>
        <v/>
      </c>
    </row>
    <row r="643" ht="15" customHeight="1">
      <c r="A643" t="inlineStr">
        <is>
          <t>A 52594-2024</t>
        </is>
      </c>
      <c r="B643" s="1" t="n">
        <v>45609</v>
      </c>
      <c r="C643" s="1" t="n">
        <v>45761</v>
      </c>
      <c r="D643" t="inlineStr">
        <is>
          <t>SÖDERMANLANDS LÄN</t>
        </is>
      </c>
      <c r="E643" t="inlineStr">
        <is>
          <t>NYKÖPING</t>
        </is>
      </c>
      <c r="F643" t="inlineStr">
        <is>
          <t>Holmen skog AB</t>
        </is>
      </c>
      <c r="G643" t="n">
        <v>1.2</v>
      </c>
      <c r="H643" t="n">
        <v>0</v>
      </c>
      <c r="I643" t="n">
        <v>1</v>
      </c>
      <c r="J643" t="n">
        <v>0</v>
      </c>
      <c r="K643" t="n">
        <v>0</v>
      </c>
      <c r="L643" t="n">
        <v>0</v>
      </c>
      <c r="M643" t="n">
        <v>0</v>
      </c>
      <c r="N643" t="n">
        <v>0</v>
      </c>
      <c r="O643" t="n">
        <v>0</v>
      </c>
      <c r="P643" t="n">
        <v>0</v>
      </c>
      <c r="Q643" t="n">
        <v>1</v>
      </c>
      <c r="R643" s="2" t="inlineStr">
        <is>
          <t>Tibast</t>
        </is>
      </c>
      <c r="S643">
        <f>HYPERLINK("https://klasma.github.io/Logging_0480/artfynd/A 52594-2024 artfynd.xlsx", "A 52594-2024")</f>
        <v/>
      </c>
      <c r="T643">
        <f>HYPERLINK("https://klasma.github.io/Logging_0480/kartor/A 52594-2024 karta.png", "A 52594-2024")</f>
        <v/>
      </c>
      <c r="V643">
        <f>HYPERLINK("https://klasma.github.io/Logging_0480/klagomål/A 52594-2024 FSC-klagomål.docx", "A 52594-2024")</f>
        <v/>
      </c>
      <c r="W643">
        <f>HYPERLINK("https://klasma.github.io/Logging_0480/klagomålsmail/A 52594-2024 FSC-klagomål mail.docx", "A 52594-2024")</f>
        <v/>
      </c>
      <c r="X643">
        <f>HYPERLINK("https://klasma.github.io/Logging_0480/tillsyn/A 52594-2024 tillsynsbegäran.docx", "A 52594-2024")</f>
        <v/>
      </c>
      <c r="Y643">
        <f>HYPERLINK("https://klasma.github.io/Logging_0480/tillsynsmail/A 52594-2024 tillsynsbegäran mail.docx", "A 52594-2024")</f>
        <v/>
      </c>
    </row>
    <row r="644" ht="15" customHeight="1">
      <c r="A644" t="inlineStr">
        <is>
          <t>A 53869-2024</t>
        </is>
      </c>
      <c r="B644" s="1" t="n">
        <v>45614</v>
      </c>
      <c r="C644" s="1" t="n">
        <v>45761</v>
      </c>
      <c r="D644" t="inlineStr">
        <is>
          <t>SÖDERMANLANDS LÄN</t>
        </is>
      </c>
      <c r="E644" t="inlineStr">
        <is>
          <t>TROSA</t>
        </is>
      </c>
      <c r="F644" t="inlineStr">
        <is>
          <t>Övriga statliga verk och myndigheter</t>
        </is>
      </c>
      <c r="G644" t="n">
        <v>20</v>
      </c>
      <c r="H644" t="n">
        <v>1</v>
      </c>
      <c r="I644" t="n">
        <v>0</v>
      </c>
      <c r="J644" t="n">
        <v>0</v>
      </c>
      <c r="K644" t="n">
        <v>0</v>
      </c>
      <c r="L644" t="n">
        <v>0</v>
      </c>
      <c r="M644" t="n">
        <v>0</v>
      </c>
      <c r="N644" t="n">
        <v>0</v>
      </c>
      <c r="O644" t="n">
        <v>0</v>
      </c>
      <c r="P644" t="n">
        <v>0</v>
      </c>
      <c r="Q644" t="n">
        <v>1</v>
      </c>
      <c r="R644" s="2" t="inlineStr">
        <is>
          <t>Kungsfågel</t>
        </is>
      </c>
      <c r="S644">
        <f>HYPERLINK("https://klasma.github.io/Logging_0488/artfynd/A 53869-2024 artfynd.xlsx", "A 53869-2024")</f>
        <v/>
      </c>
      <c r="T644">
        <f>HYPERLINK("https://klasma.github.io/Logging_0488/kartor/A 53869-2024 karta.png", "A 53869-2024")</f>
        <v/>
      </c>
      <c r="V644">
        <f>HYPERLINK("https://klasma.github.io/Logging_0488/klagomål/A 53869-2024 FSC-klagomål.docx", "A 53869-2024")</f>
        <v/>
      </c>
      <c r="W644">
        <f>HYPERLINK("https://klasma.github.io/Logging_0488/klagomålsmail/A 53869-2024 FSC-klagomål mail.docx", "A 53869-2024")</f>
        <v/>
      </c>
      <c r="X644">
        <f>HYPERLINK("https://klasma.github.io/Logging_0488/tillsyn/A 53869-2024 tillsynsbegäran.docx", "A 53869-2024")</f>
        <v/>
      </c>
      <c r="Y644">
        <f>HYPERLINK("https://klasma.github.io/Logging_0488/tillsynsmail/A 53869-2024 tillsynsbegäran mail.docx", "A 53869-2024")</f>
        <v/>
      </c>
      <c r="Z644">
        <f>HYPERLINK("https://klasma.github.io/Logging_0488/fåglar/A 53869-2024 prioriterade fågelarter.docx", "A 53869-2024")</f>
        <v/>
      </c>
    </row>
    <row r="645" ht="15" customHeight="1">
      <c r="A645" t="inlineStr">
        <is>
          <t>A 54715-2024</t>
        </is>
      </c>
      <c r="B645" s="1" t="n">
        <v>45617</v>
      </c>
      <c r="C645" s="1" t="n">
        <v>45761</v>
      </c>
      <c r="D645" t="inlineStr">
        <is>
          <t>SÖDERMANLANDS LÄN</t>
        </is>
      </c>
      <c r="E645" t="inlineStr">
        <is>
          <t>STRÄNGNÄS</t>
        </is>
      </c>
      <c r="G645" t="n">
        <v>5</v>
      </c>
      <c r="H645" t="n">
        <v>0</v>
      </c>
      <c r="I645" t="n">
        <v>1</v>
      </c>
      <c r="J645" t="n">
        <v>0</v>
      </c>
      <c r="K645" t="n">
        <v>0</v>
      </c>
      <c r="L645" t="n">
        <v>0</v>
      </c>
      <c r="M645" t="n">
        <v>0</v>
      </c>
      <c r="N645" t="n">
        <v>0</v>
      </c>
      <c r="O645" t="n">
        <v>0</v>
      </c>
      <c r="P645" t="n">
        <v>0</v>
      </c>
      <c r="Q645" t="n">
        <v>1</v>
      </c>
      <c r="R645" s="2" t="inlineStr">
        <is>
          <t>Dropptaggsvamp</t>
        </is>
      </c>
      <c r="S645">
        <f>HYPERLINK("https://klasma.github.io/Logging_0486/artfynd/A 54715-2024 artfynd.xlsx", "A 54715-2024")</f>
        <v/>
      </c>
      <c r="T645">
        <f>HYPERLINK("https://klasma.github.io/Logging_0486/kartor/A 54715-2024 karta.png", "A 54715-2024")</f>
        <v/>
      </c>
      <c r="V645">
        <f>HYPERLINK("https://klasma.github.io/Logging_0486/klagomål/A 54715-2024 FSC-klagomål.docx", "A 54715-2024")</f>
        <v/>
      </c>
      <c r="W645">
        <f>HYPERLINK("https://klasma.github.io/Logging_0486/klagomålsmail/A 54715-2024 FSC-klagomål mail.docx", "A 54715-2024")</f>
        <v/>
      </c>
      <c r="X645">
        <f>HYPERLINK("https://klasma.github.io/Logging_0486/tillsyn/A 54715-2024 tillsynsbegäran.docx", "A 54715-2024")</f>
        <v/>
      </c>
      <c r="Y645">
        <f>HYPERLINK("https://klasma.github.io/Logging_0486/tillsynsmail/A 54715-2024 tillsynsbegäran mail.docx", "A 54715-2024")</f>
        <v/>
      </c>
    </row>
    <row r="646" ht="15" customHeight="1">
      <c r="A646" t="inlineStr">
        <is>
          <t>A 57251-2024</t>
        </is>
      </c>
      <c r="B646" s="1" t="n">
        <v>45629</v>
      </c>
      <c r="C646" s="1" t="n">
        <v>45761</v>
      </c>
      <c r="D646" t="inlineStr">
        <is>
          <t>SÖDERMANLANDS LÄN</t>
        </is>
      </c>
      <c r="E646" t="inlineStr">
        <is>
          <t>FLEN</t>
        </is>
      </c>
      <c r="G646" t="n">
        <v>4</v>
      </c>
      <c r="H646" t="n">
        <v>1</v>
      </c>
      <c r="I646" t="n">
        <v>0</v>
      </c>
      <c r="J646" t="n">
        <v>0</v>
      </c>
      <c r="K646" t="n">
        <v>0</v>
      </c>
      <c r="L646" t="n">
        <v>0</v>
      </c>
      <c r="M646" t="n">
        <v>0</v>
      </c>
      <c r="N646" t="n">
        <v>0</v>
      </c>
      <c r="O646" t="n">
        <v>0</v>
      </c>
      <c r="P646" t="n">
        <v>0</v>
      </c>
      <c r="Q646" t="n">
        <v>1</v>
      </c>
      <c r="R646" s="2" t="inlineStr">
        <is>
          <t>Blåsippa</t>
        </is>
      </c>
      <c r="S646">
        <f>HYPERLINK("https://klasma.github.io/Logging_0482/artfynd/A 57251-2024 artfynd.xlsx", "A 57251-2024")</f>
        <v/>
      </c>
      <c r="T646">
        <f>HYPERLINK("https://klasma.github.io/Logging_0482/kartor/A 57251-2024 karta.png", "A 57251-2024")</f>
        <v/>
      </c>
      <c r="V646">
        <f>HYPERLINK("https://klasma.github.io/Logging_0482/klagomål/A 57251-2024 FSC-klagomål.docx", "A 57251-2024")</f>
        <v/>
      </c>
      <c r="W646">
        <f>HYPERLINK("https://klasma.github.io/Logging_0482/klagomålsmail/A 57251-2024 FSC-klagomål mail.docx", "A 57251-2024")</f>
        <v/>
      </c>
      <c r="X646">
        <f>HYPERLINK("https://klasma.github.io/Logging_0482/tillsyn/A 57251-2024 tillsynsbegäran.docx", "A 57251-2024")</f>
        <v/>
      </c>
      <c r="Y646">
        <f>HYPERLINK("https://klasma.github.io/Logging_0482/tillsynsmail/A 57251-2024 tillsynsbegäran mail.docx", "A 57251-2024")</f>
        <v/>
      </c>
    </row>
    <row r="647" ht="15" customHeight="1">
      <c r="A647" t="inlineStr">
        <is>
          <t>A 59214-2024</t>
        </is>
      </c>
      <c r="B647" s="1" t="n">
        <v>45636</v>
      </c>
      <c r="C647" s="1" t="n">
        <v>45761</v>
      </c>
      <c r="D647" t="inlineStr">
        <is>
          <t>SÖDERMANLANDS LÄN</t>
        </is>
      </c>
      <c r="E647" t="inlineStr">
        <is>
          <t>NYKÖPING</t>
        </is>
      </c>
      <c r="G647" t="n">
        <v>5.1</v>
      </c>
      <c r="H647" t="n">
        <v>0</v>
      </c>
      <c r="I647" t="n">
        <v>1</v>
      </c>
      <c r="J647" t="n">
        <v>0</v>
      </c>
      <c r="K647" t="n">
        <v>0</v>
      </c>
      <c r="L647" t="n">
        <v>0</v>
      </c>
      <c r="M647" t="n">
        <v>0</v>
      </c>
      <c r="N647" t="n">
        <v>0</v>
      </c>
      <c r="O647" t="n">
        <v>0</v>
      </c>
      <c r="P647" t="n">
        <v>0</v>
      </c>
      <c r="Q647" t="n">
        <v>1</v>
      </c>
      <c r="R647" s="2" t="inlineStr">
        <is>
          <t>Blåmossa</t>
        </is>
      </c>
      <c r="S647">
        <f>HYPERLINK("https://klasma.github.io/Logging_0480/artfynd/A 59214-2024 artfynd.xlsx", "A 59214-2024")</f>
        <v/>
      </c>
      <c r="T647">
        <f>HYPERLINK("https://klasma.github.io/Logging_0480/kartor/A 59214-2024 karta.png", "A 59214-2024")</f>
        <v/>
      </c>
      <c r="V647">
        <f>HYPERLINK("https://klasma.github.io/Logging_0480/klagomål/A 59214-2024 FSC-klagomål.docx", "A 59214-2024")</f>
        <v/>
      </c>
      <c r="W647">
        <f>HYPERLINK("https://klasma.github.io/Logging_0480/klagomålsmail/A 59214-2024 FSC-klagomål mail.docx", "A 59214-2024")</f>
        <v/>
      </c>
      <c r="X647">
        <f>HYPERLINK("https://klasma.github.io/Logging_0480/tillsyn/A 59214-2024 tillsynsbegäran.docx", "A 59214-2024")</f>
        <v/>
      </c>
      <c r="Y647">
        <f>HYPERLINK("https://klasma.github.io/Logging_0480/tillsynsmail/A 59214-2024 tillsynsbegäran mail.docx", "A 59214-2024")</f>
        <v/>
      </c>
    </row>
    <row r="648" ht="15" customHeight="1">
      <c r="A648" t="inlineStr">
        <is>
          <t>A 60529-2024</t>
        </is>
      </c>
      <c r="B648" s="1" t="n">
        <v>45643</v>
      </c>
      <c r="C648" s="1" t="n">
        <v>45761</v>
      </c>
      <c r="D648" t="inlineStr">
        <is>
          <t>SÖDERMANLANDS LÄN</t>
        </is>
      </c>
      <c r="E648" t="inlineStr">
        <is>
          <t>FLEN</t>
        </is>
      </c>
      <c r="G648" t="n">
        <v>2.5</v>
      </c>
      <c r="H648" t="n">
        <v>0</v>
      </c>
      <c r="I648" t="n">
        <v>1</v>
      </c>
      <c r="J648" t="n">
        <v>0</v>
      </c>
      <c r="K648" t="n">
        <v>0</v>
      </c>
      <c r="L648" t="n">
        <v>0</v>
      </c>
      <c r="M648" t="n">
        <v>0</v>
      </c>
      <c r="N648" t="n">
        <v>0</v>
      </c>
      <c r="O648" t="n">
        <v>0</v>
      </c>
      <c r="P648" t="n">
        <v>0</v>
      </c>
      <c r="Q648" t="n">
        <v>1</v>
      </c>
      <c r="R648" s="2" t="inlineStr">
        <is>
          <t>Skarp dropptaggsvamp</t>
        </is>
      </c>
      <c r="S648">
        <f>HYPERLINK("https://klasma.github.io/Logging_0482/artfynd/A 60529-2024 artfynd.xlsx", "A 60529-2024")</f>
        <v/>
      </c>
      <c r="T648">
        <f>HYPERLINK("https://klasma.github.io/Logging_0482/kartor/A 60529-2024 karta.png", "A 60529-2024")</f>
        <v/>
      </c>
      <c r="V648">
        <f>HYPERLINK("https://klasma.github.io/Logging_0482/klagomål/A 60529-2024 FSC-klagomål.docx", "A 60529-2024")</f>
        <v/>
      </c>
      <c r="W648">
        <f>HYPERLINK("https://klasma.github.io/Logging_0482/klagomålsmail/A 60529-2024 FSC-klagomål mail.docx", "A 60529-2024")</f>
        <v/>
      </c>
      <c r="X648">
        <f>HYPERLINK("https://klasma.github.io/Logging_0482/tillsyn/A 60529-2024 tillsynsbegäran.docx", "A 60529-2024")</f>
        <v/>
      </c>
      <c r="Y648">
        <f>HYPERLINK("https://klasma.github.io/Logging_0482/tillsynsmail/A 60529-2024 tillsynsbegäran mail.docx", "A 60529-2024")</f>
        <v/>
      </c>
    </row>
    <row r="649" ht="15" customHeight="1">
      <c r="A649" t="inlineStr">
        <is>
          <t>A 61838-2024</t>
        </is>
      </c>
      <c r="B649" s="1" t="n">
        <v>45649</v>
      </c>
      <c r="C649" s="1" t="n">
        <v>45761</v>
      </c>
      <c r="D649" t="inlineStr">
        <is>
          <t>SÖDERMANLANDS LÄN</t>
        </is>
      </c>
      <c r="E649" t="inlineStr">
        <is>
          <t>STRÄNGNÄS</t>
        </is>
      </c>
      <c r="G649" t="n">
        <v>2.5</v>
      </c>
      <c r="H649" t="n">
        <v>0</v>
      </c>
      <c r="I649" t="n">
        <v>1</v>
      </c>
      <c r="J649" t="n">
        <v>0</v>
      </c>
      <c r="K649" t="n">
        <v>0</v>
      </c>
      <c r="L649" t="n">
        <v>0</v>
      </c>
      <c r="M649" t="n">
        <v>0</v>
      </c>
      <c r="N649" t="n">
        <v>0</v>
      </c>
      <c r="O649" t="n">
        <v>0</v>
      </c>
      <c r="P649" t="n">
        <v>0</v>
      </c>
      <c r="Q649" t="n">
        <v>1</v>
      </c>
      <c r="R649" s="2" t="inlineStr">
        <is>
          <t>Igelkottsröksvamp</t>
        </is>
      </c>
      <c r="S649">
        <f>HYPERLINK("https://klasma.github.io/Logging_0486/artfynd/A 61838-2024 artfynd.xlsx", "A 61838-2024")</f>
        <v/>
      </c>
      <c r="T649">
        <f>HYPERLINK("https://klasma.github.io/Logging_0486/kartor/A 61838-2024 karta.png", "A 61838-2024")</f>
        <v/>
      </c>
      <c r="V649">
        <f>HYPERLINK("https://klasma.github.io/Logging_0486/klagomål/A 61838-2024 FSC-klagomål.docx", "A 61838-2024")</f>
        <v/>
      </c>
      <c r="W649">
        <f>HYPERLINK("https://klasma.github.io/Logging_0486/klagomålsmail/A 61838-2024 FSC-klagomål mail.docx", "A 61838-2024")</f>
        <v/>
      </c>
      <c r="X649">
        <f>HYPERLINK("https://klasma.github.io/Logging_0486/tillsyn/A 61838-2024 tillsynsbegäran.docx", "A 61838-2024")</f>
        <v/>
      </c>
      <c r="Y649">
        <f>HYPERLINK("https://klasma.github.io/Logging_0486/tillsynsmail/A 61838-2024 tillsynsbegäran mail.docx", "A 61838-2024")</f>
        <v/>
      </c>
    </row>
    <row r="650" ht="15" customHeight="1">
      <c r="A650" t="inlineStr">
        <is>
          <t>A 1148-2025</t>
        </is>
      </c>
      <c r="B650" s="1" t="n">
        <v>45666</v>
      </c>
      <c r="C650" s="1" t="n">
        <v>45761</v>
      </c>
      <c r="D650" t="inlineStr">
        <is>
          <t>SÖDERMANLANDS LÄN</t>
        </is>
      </c>
      <c r="E650" t="inlineStr">
        <is>
          <t>FLEN</t>
        </is>
      </c>
      <c r="F650" t="inlineStr">
        <is>
          <t>Övriga statliga verk och myndigheter</t>
        </is>
      </c>
      <c r="G650" t="n">
        <v>3</v>
      </c>
      <c r="H650" t="n">
        <v>1</v>
      </c>
      <c r="I650" t="n">
        <v>0</v>
      </c>
      <c r="J650" t="n">
        <v>0</v>
      </c>
      <c r="K650" t="n">
        <v>0</v>
      </c>
      <c r="L650" t="n">
        <v>0</v>
      </c>
      <c r="M650" t="n">
        <v>0</v>
      </c>
      <c r="N650" t="n">
        <v>0</v>
      </c>
      <c r="O650" t="n">
        <v>0</v>
      </c>
      <c r="P650" t="n">
        <v>0</v>
      </c>
      <c r="Q650" t="n">
        <v>1</v>
      </c>
      <c r="R650" s="2" t="inlineStr">
        <is>
          <t>Huggorm</t>
        </is>
      </c>
      <c r="S650">
        <f>HYPERLINK("https://klasma.github.io/Logging_0482/artfynd/A 1148-2025 artfynd.xlsx", "A 1148-2025")</f>
        <v/>
      </c>
      <c r="T650">
        <f>HYPERLINK("https://klasma.github.io/Logging_0482/kartor/A 1148-2025 karta.png", "A 1148-2025")</f>
        <v/>
      </c>
      <c r="V650">
        <f>HYPERLINK("https://klasma.github.io/Logging_0482/klagomål/A 1148-2025 FSC-klagomål.docx", "A 1148-2025")</f>
        <v/>
      </c>
      <c r="W650">
        <f>HYPERLINK("https://klasma.github.io/Logging_0482/klagomålsmail/A 1148-2025 FSC-klagomål mail.docx", "A 1148-2025")</f>
        <v/>
      </c>
      <c r="X650">
        <f>HYPERLINK("https://klasma.github.io/Logging_0482/tillsyn/A 1148-2025 tillsynsbegäran.docx", "A 1148-2025")</f>
        <v/>
      </c>
      <c r="Y650">
        <f>HYPERLINK("https://klasma.github.io/Logging_0482/tillsynsmail/A 1148-2025 tillsynsbegäran mail.docx", "A 1148-2025")</f>
        <v/>
      </c>
    </row>
    <row r="651" ht="15" customHeight="1">
      <c r="A651" t="inlineStr">
        <is>
          <t>A 2515-2025</t>
        </is>
      </c>
      <c r="B651" s="1" t="n">
        <v>45674</v>
      </c>
      <c r="C651" s="1" t="n">
        <v>45761</v>
      </c>
      <c r="D651" t="inlineStr">
        <is>
          <t>SÖDERMANLANDS LÄN</t>
        </is>
      </c>
      <c r="E651" t="inlineStr">
        <is>
          <t>ESKILSTUNA</t>
        </is>
      </c>
      <c r="G651" t="n">
        <v>0.6</v>
      </c>
      <c r="H651" t="n">
        <v>1</v>
      </c>
      <c r="I651" t="n">
        <v>0</v>
      </c>
      <c r="J651" t="n">
        <v>1</v>
      </c>
      <c r="K651" t="n">
        <v>0</v>
      </c>
      <c r="L651" t="n">
        <v>0</v>
      </c>
      <c r="M651" t="n">
        <v>0</v>
      </c>
      <c r="N651" t="n">
        <v>0</v>
      </c>
      <c r="O651" t="n">
        <v>1</v>
      </c>
      <c r="P651" t="n">
        <v>0</v>
      </c>
      <c r="Q651" t="n">
        <v>1</v>
      </c>
      <c r="R651" s="2" t="inlineStr">
        <is>
          <t>Spillkråka</t>
        </is>
      </c>
      <c r="S651">
        <f>HYPERLINK("https://klasma.github.io/Logging_0484/artfynd/A 2515-2025 artfynd.xlsx", "A 2515-2025")</f>
        <v/>
      </c>
      <c r="T651">
        <f>HYPERLINK("https://klasma.github.io/Logging_0484/kartor/A 2515-2025 karta.png", "A 2515-2025")</f>
        <v/>
      </c>
      <c r="U651">
        <f>HYPERLINK("https://klasma.github.io/Logging_0484/knärot/A 2515-2025 karta knärot.png", "A 2515-2025")</f>
        <v/>
      </c>
      <c r="V651">
        <f>HYPERLINK("https://klasma.github.io/Logging_0484/klagomål/A 2515-2025 FSC-klagomål.docx", "A 2515-2025")</f>
        <v/>
      </c>
      <c r="W651">
        <f>HYPERLINK("https://klasma.github.io/Logging_0484/klagomålsmail/A 2515-2025 FSC-klagomål mail.docx", "A 2515-2025")</f>
        <v/>
      </c>
      <c r="X651">
        <f>HYPERLINK("https://klasma.github.io/Logging_0484/tillsyn/A 2515-2025 tillsynsbegäran.docx", "A 2515-2025")</f>
        <v/>
      </c>
      <c r="Y651">
        <f>HYPERLINK("https://klasma.github.io/Logging_0484/tillsynsmail/A 2515-2025 tillsynsbegäran mail.docx", "A 2515-2025")</f>
        <v/>
      </c>
      <c r="Z651">
        <f>HYPERLINK("https://klasma.github.io/Logging_0484/fåglar/A 2515-2025 prioriterade fågelarter.docx", "A 2515-2025")</f>
        <v/>
      </c>
    </row>
    <row r="652" ht="15" customHeight="1">
      <c r="A652" t="inlineStr">
        <is>
          <t>A 2837-2025</t>
        </is>
      </c>
      <c r="B652" s="1" t="n">
        <v>45677</v>
      </c>
      <c r="C652" s="1" t="n">
        <v>45761</v>
      </c>
      <c r="D652" t="inlineStr">
        <is>
          <t>SÖDERMANLANDS LÄN</t>
        </is>
      </c>
      <c r="E652" t="inlineStr">
        <is>
          <t>NYKÖPING</t>
        </is>
      </c>
      <c r="G652" t="n">
        <v>5.2</v>
      </c>
      <c r="H652" t="n">
        <v>0</v>
      </c>
      <c r="I652" t="n">
        <v>1</v>
      </c>
      <c r="J652" t="n">
        <v>0</v>
      </c>
      <c r="K652" t="n">
        <v>0</v>
      </c>
      <c r="L652" t="n">
        <v>0</v>
      </c>
      <c r="M652" t="n">
        <v>0</v>
      </c>
      <c r="N652" t="n">
        <v>0</v>
      </c>
      <c r="O652" t="n">
        <v>0</v>
      </c>
      <c r="P652" t="n">
        <v>0</v>
      </c>
      <c r="Q652" t="n">
        <v>1</v>
      </c>
      <c r="R652" s="2" t="inlineStr">
        <is>
          <t>Hasselticka</t>
        </is>
      </c>
      <c r="S652">
        <f>HYPERLINK("https://klasma.github.io/Logging_0480/artfynd/A 2837-2025 artfynd.xlsx", "A 2837-2025")</f>
        <v/>
      </c>
      <c r="T652">
        <f>HYPERLINK("https://klasma.github.io/Logging_0480/kartor/A 2837-2025 karta.png", "A 2837-2025")</f>
        <v/>
      </c>
      <c r="V652">
        <f>HYPERLINK("https://klasma.github.io/Logging_0480/klagomål/A 2837-2025 FSC-klagomål.docx", "A 2837-2025")</f>
        <v/>
      </c>
      <c r="W652">
        <f>HYPERLINK("https://klasma.github.io/Logging_0480/klagomålsmail/A 2837-2025 FSC-klagomål mail.docx", "A 2837-2025")</f>
        <v/>
      </c>
      <c r="X652">
        <f>HYPERLINK("https://klasma.github.io/Logging_0480/tillsyn/A 2837-2025 tillsynsbegäran.docx", "A 2837-2025")</f>
        <v/>
      </c>
      <c r="Y652">
        <f>HYPERLINK("https://klasma.github.io/Logging_0480/tillsynsmail/A 2837-2025 tillsynsbegäran mail.docx", "A 2837-2025")</f>
        <v/>
      </c>
    </row>
    <row r="653" ht="15" customHeight="1">
      <c r="A653" t="inlineStr">
        <is>
          <t>A 3700-2025</t>
        </is>
      </c>
      <c r="B653" s="1" t="n">
        <v>45681</v>
      </c>
      <c r="C653" s="1" t="n">
        <v>45761</v>
      </c>
      <c r="D653" t="inlineStr">
        <is>
          <t>SÖDERMANLANDS LÄN</t>
        </is>
      </c>
      <c r="E653" t="inlineStr">
        <is>
          <t>NYKÖPING</t>
        </is>
      </c>
      <c r="G653" t="n">
        <v>3.2</v>
      </c>
      <c r="H653" t="n">
        <v>1</v>
      </c>
      <c r="I653" t="n">
        <v>0</v>
      </c>
      <c r="J653" t="n">
        <v>1</v>
      </c>
      <c r="K653" t="n">
        <v>0</v>
      </c>
      <c r="L653" t="n">
        <v>0</v>
      </c>
      <c r="M653" t="n">
        <v>0</v>
      </c>
      <c r="N653" t="n">
        <v>0</v>
      </c>
      <c r="O653" t="n">
        <v>1</v>
      </c>
      <c r="P653" t="n">
        <v>0</v>
      </c>
      <c r="Q653" t="n">
        <v>1</v>
      </c>
      <c r="R653" s="2" t="inlineStr">
        <is>
          <t>Havsörn</t>
        </is>
      </c>
      <c r="S653">
        <f>HYPERLINK("https://klasma.github.io/Logging_0480/artfynd/A 3700-2025 artfynd.xlsx", "A 3700-2025")</f>
        <v/>
      </c>
      <c r="T653">
        <f>HYPERLINK("https://klasma.github.io/Logging_0480/kartor/A 3700-2025 karta.png", "A 3700-2025")</f>
        <v/>
      </c>
      <c r="V653">
        <f>HYPERLINK("https://klasma.github.io/Logging_0480/klagomål/A 3700-2025 FSC-klagomål.docx", "A 3700-2025")</f>
        <v/>
      </c>
      <c r="W653">
        <f>HYPERLINK("https://klasma.github.io/Logging_0480/klagomålsmail/A 3700-2025 FSC-klagomål mail.docx", "A 3700-2025")</f>
        <v/>
      </c>
      <c r="X653">
        <f>HYPERLINK("https://klasma.github.io/Logging_0480/tillsyn/A 3700-2025 tillsynsbegäran.docx", "A 3700-2025")</f>
        <v/>
      </c>
      <c r="Y653">
        <f>HYPERLINK("https://klasma.github.io/Logging_0480/tillsynsmail/A 3700-2025 tillsynsbegäran mail.docx", "A 3700-2025")</f>
        <v/>
      </c>
      <c r="Z653">
        <f>HYPERLINK("https://klasma.github.io/Logging_0480/fåglar/A 3700-2025 prioriterade fågelarter.docx", "A 3700-2025")</f>
        <v/>
      </c>
    </row>
    <row r="654" ht="15" customHeight="1">
      <c r="A654" t="inlineStr">
        <is>
          <t>A 4047-2025</t>
        </is>
      </c>
      <c r="B654" s="1" t="n">
        <v>45684</v>
      </c>
      <c r="C654" s="1" t="n">
        <v>45761</v>
      </c>
      <c r="D654" t="inlineStr">
        <is>
          <t>SÖDERMANLANDS LÄN</t>
        </is>
      </c>
      <c r="E654" t="inlineStr">
        <is>
          <t>STRÄNGNÄS</t>
        </is>
      </c>
      <c r="G654" t="n">
        <v>8.5</v>
      </c>
      <c r="H654" t="n">
        <v>0</v>
      </c>
      <c r="I654" t="n">
        <v>1</v>
      </c>
      <c r="J654" t="n">
        <v>0</v>
      </c>
      <c r="K654" t="n">
        <v>0</v>
      </c>
      <c r="L654" t="n">
        <v>0</v>
      </c>
      <c r="M654" t="n">
        <v>0</v>
      </c>
      <c r="N654" t="n">
        <v>0</v>
      </c>
      <c r="O654" t="n">
        <v>0</v>
      </c>
      <c r="P654" t="n">
        <v>0</v>
      </c>
      <c r="Q654" t="n">
        <v>1</v>
      </c>
      <c r="R654" s="2" t="inlineStr">
        <is>
          <t>Grönpyrola</t>
        </is>
      </c>
      <c r="S654">
        <f>HYPERLINK("https://klasma.github.io/Logging_0486/artfynd/A 4047-2025 artfynd.xlsx", "A 4047-2025")</f>
        <v/>
      </c>
      <c r="T654">
        <f>HYPERLINK("https://klasma.github.io/Logging_0486/kartor/A 4047-2025 karta.png", "A 4047-2025")</f>
        <v/>
      </c>
      <c r="V654">
        <f>HYPERLINK("https://klasma.github.io/Logging_0486/klagomål/A 4047-2025 FSC-klagomål.docx", "A 4047-2025")</f>
        <v/>
      </c>
      <c r="W654">
        <f>HYPERLINK("https://klasma.github.io/Logging_0486/klagomålsmail/A 4047-2025 FSC-klagomål mail.docx", "A 4047-2025")</f>
        <v/>
      </c>
      <c r="X654">
        <f>HYPERLINK("https://klasma.github.io/Logging_0486/tillsyn/A 4047-2025 tillsynsbegäran.docx", "A 4047-2025")</f>
        <v/>
      </c>
      <c r="Y654">
        <f>HYPERLINK("https://klasma.github.io/Logging_0486/tillsynsmail/A 4047-2025 tillsynsbegäran mail.docx", "A 4047-2025")</f>
        <v/>
      </c>
    </row>
    <row r="655" ht="15" customHeight="1">
      <c r="A655" t="inlineStr">
        <is>
          <t>A 4149-2025</t>
        </is>
      </c>
      <c r="B655" s="1" t="n">
        <v>45685</v>
      </c>
      <c r="C655" s="1" t="n">
        <v>45761</v>
      </c>
      <c r="D655" t="inlineStr">
        <is>
          <t>SÖDERMANLANDS LÄN</t>
        </is>
      </c>
      <c r="E655" t="inlineStr">
        <is>
          <t>ESKILSTUNA</t>
        </is>
      </c>
      <c r="F655" t="inlineStr">
        <is>
          <t>Holmen skog AB</t>
        </is>
      </c>
      <c r="G655" t="n">
        <v>8.800000000000001</v>
      </c>
      <c r="H655" t="n">
        <v>0</v>
      </c>
      <c r="I655" t="n">
        <v>1</v>
      </c>
      <c r="J655" t="n">
        <v>0</v>
      </c>
      <c r="K655" t="n">
        <v>0</v>
      </c>
      <c r="L655" t="n">
        <v>0</v>
      </c>
      <c r="M655" t="n">
        <v>0</v>
      </c>
      <c r="N655" t="n">
        <v>0</v>
      </c>
      <c r="O655" t="n">
        <v>0</v>
      </c>
      <c r="P655" t="n">
        <v>0</v>
      </c>
      <c r="Q655" t="n">
        <v>1</v>
      </c>
      <c r="R655" s="2" t="inlineStr">
        <is>
          <t>Springkorn</t>
        </is>
      </c>
      <c r="S655">
        <f>HYPERLINK("https://klasma.github.io/Logging_0484/artfynd/A 4149-2025 artfynd.xlsx", "A 4149-2025")</f>
        <v/>
      </c>
      <c r="T655">
        <f>HYPERLINK("https://klasma.github.io/Logging_0484/kartor/A 4149-2025 karta.png", "A 4149-2025")</f>
        <v/>
      </c>
      <c r="V655">
        <f>HYPERLINK("https://klasma.github.io/Logging_0484/klagomål/A 4149-2025 FSC-klagomål.docx", "A 4149-2025")</f>
        <v/>
      </c>
      <c r="W655">
        <f>HYPERLINK("https://klasma.github.io/Logging_0484/klagomålsmail/A 4149-2025 FSC-klagomål mail.docx", "A 4149-2025")</f>
        <v/>
      </c>
      <c r="X655">
        <f>HYPERLINK("https://klasma.github.io/Logging_0484/tillsyn/A 4149-2025 tillsynsbegäran.docx", "A 4149-2025")</f>
        <v/>
      </c>
      <c r="Y655">
        <f>HYPERLINK("https://klasma.github.io/Logging_0484/tillsynsmail/A 4149-2025 tillsynsbegäran mail.docx", "A 4149-2025")</f>
        <v/>
      </c>
    </row>
    <row r="656" ht="15" customHeight="1">
      <c r="A656" t="inlineStr">
        <is>
          <t>A 4889-2025</t>
        </is>
      </c>
      <c r="B656" s="1" t="n">
        <v>45688</v>
      </c>
      <c r="C656" s="1" t="n">
        <v>45761</v>
      </c>
      <c r="D656" t="inlineStr">
        <is>
          <t>SÖDERMANLANDS LÄN</t>
        </is>
      </c>
      <c r="E656" t="inlineStr">
        <is>
          <t>ESKILSTUNA</t>
        </is>
      </c>
      <c r="G656" t="n">
        <v>1</v>
      </c>
      <c r="H656" t="n">
        <v>0</v>
      </c>
      <c r="I656" t="n">
        <v>0</v>
      </c>
      <c r="J656" t="n">
        <v>1</v>
      </c>
      <c r="K656" t="n">
        <v>0</v>
      </c>
      <c r="L656" t="n">
        <v>0</v>
      </c>
      <c r="M656" t="n">
        <v>0</v>
      </c>
      <c r="N656" t="n">
        <v>0</v>
      </c>
      <c r="O656" t="n">
        <v>1</v>
      </c>
      <c r="P656" t="n">
        <v>0</v>
      </c>
      <c r="Q656" t="n">
        <v>1</v>
      </c>
      <c r="R656" s="2" t="inlineStr">
        <is>
          <t>Solvända</t>
        </is>
      </c>
      <c r="S656">
        <f>HYPERLINK("https://klasma.github.io/Logging_0484/artfynd/A 4889-2025 artfynd.xlsx", "A 4889-2025")</f>
        <v/>
      </c>
      <c r="T656">
        <f>HYPERLINK("https://klasma.github.io/Logging_0484/kartor/A 4889-2025 karta.png", "A 4889-2025")</f>
        <v/>
      </c>
      <c r="V656">
        <f>HYPERLINK("https://klasma.github.io/Logging_0484/klagomål/A 4889-2025 FSC-klagomål.docx", "A 4889-2025")</f>
        <v/>
      </c>
      <c r="W656">
        <f>HYPERLINK("https://klasma.github.io/Logging_0484/klagomålsmail/A 4889-2025 FSC-klagomål mail.docx", "A 4889-2025")</f>
        <v/>
      </c>
      <c r="X656">
        <f>HYPERLINK("https://klasma.github.io/Logging_0484/tillsyn/A 4889-2025 tillsynsbegäran.docx", "A 4889-2025")</f>
        <v/>
      </c>
      <c r="Y656">
        <f>HYPERLINK("https://klasma.github.io/Logging_0484/tillsynsmail/A 4889-2025 tillsynsbegäran mail.docx", "A 4889-2025")</f>
        <v/>
      </c>
    </row>
    <row r="657" ht="15" customHeight="1">
      <c r="A657" t="inlineStr">
        <is>
          <t>A 5203-2025</t>
        </is>
      </c>
      <c r="B657" s="1" t="n">
        <v>45691</v>
      </c>
      <c r="C657" s="1" t="n">
        <v>45761</v>
      </c>
      <c r="D657" t="inlineStr">
        <is>
          <t>SÖDERMANLANDS LÄN</t>
        </is>
      </c>
      <c r="E657" t="inlineStr">
        <is>
          <t>ESKILSTUNA</t>
        </is>
      </c>
      <c r="F657" t="inlineStr">
        <is>
          <t>Holmen skog AB</t>
        </is>
      </c>
      <c r="G657" t="n">
        <v>2.5</v>
      </c>
      <c r="H657" t="n">
        <v>1</v>
      </c>
      <c r="I657" t="n">
        <v>0</v>
      </c>
      <c r="J657" t="n">
        <v>0</v>
      </c>
      <c r="K657" t="n">
        <v>0</v>
      </c>
      <c r="L657" t="n">
        <v>0</v>
      </c>
      <c r="M657" t="n">
        <v>0</v>
      </c>
      <c r="N657" t="n">
        <v>0</v>
      </c>
      <c r="O657" t="n">
        <v>0</v>
      </c>
      <c r="P657" t="n">
        <v>0</v>
      </c>
      <c r="Q657" t="n">
        <v>1</v>
      </c>
      <c r="R657" s="2" t="inlineStr">
        <is>
          <t>Nattskärra</t>
        </is>
      </c>
      <c r="S657">
        <f>HYPERLINK("https://klasma.github.io/Logging_0484/artfynd/A 5203-2025 artfynd.xlsx", "A 5203-2025")</f>
        <v/>
      </c>
      <c r="T657">
        <f>HYPERLINK("https://klasma.github.io/Logging_0484/kartor/A 5203-2025 karta.png", "A 5203-2025")</f>
        <v/>
      </c>
      <c r="V657">
        <f>HYPERLINK("https://klasma.github.io/Logging_0484/klagomål/A 5203-2025 FSC-klagomål.docx", "A 5203-2025")</f>
        <v/>
      </c>
      <c r="W657">
        <f>HYPERLINK("https://klasma.github.io/Logging_0484/klagomålsmail/A 5203-2025 FSC-klagomål mail.docx", "A 5203-2025")</f>
        <v/>
      </c>
      <c r="X657">
        <f>HYPERLINK("https://klasma.github.io/Logging_0484/tillsyn/A 5203-2025 tillsynsbegäran.docx", "A 5203-2025")</f>
        <v/>
      </c>
      <c r="Y657">
        <f>HYPERLINK("https://klasma.github.io/Logging_0484/tillsynsmail/A 5203-2025 tillsynsbegäran mail.docx", "A 5203-2025")</f>
        <v/>
      </c>
      <c r="Z657">
        <f>HYPERLINK("https://klasma.github.io/Logging_0484/fåglar/A 5203-2025 prioriterade fågelarter.docx", "A 5203-2025")</f>
        <v/>
      </c>
    </row>
    <row r="658" ht="15" customHeight="1">
      <c r="A658" t="inlineStr">
        <is>
          <t>A 7274-2025</t>
        </is>
      </c>
      <c r="B658" s="1" t="n">
        <v>45702</v>
      </c>
      <c r="C658" s="1" t="n">
        <v>45761</v>
      </c>
      <c r="D658" t="inlineStr">
        <is>
          <t>SÖDERMANLANDS LÄN</t>
        </is>
      </c>
      <c r="E658" t="inlineStr">
        <is>
          <t>NYKÖPING</t>
        </is>
      </c>
      <c r="F658" t="inlineStr">
        <is>
          <t>Övriga Aktiebolag</t>
        </is>
      </c>
      <c r="G658" t="n">
        <v>6</v>
      </c>
      <c r="H658" t="n">
        <v>1</v>
      </c>
      <c r="I658" t="n">
        <v>0</v>
      </c>
      <c r="J658" t="n">
        <v>1</v>
      </c>
      <c r="K658" t="n">
        <v>0</v>
      </c>
      <c r="L658" t="n">
        <v>0</v>
      </c>
      <c r="M658" t="n">
        <v>0</v>
      </c>
      <c r="N658" t="n">
        <v>0</v>
      </c>
      <c r="O658" t="n">
        <v>1</v>
      </c>
      <c r="P658" t="n">
        <v>0</v>
      </c>
      <c r="Q658" t="n">
        <v>1</v>
      </c>
      <c r="R658" s="2" t="inlineStr">
        <is>
          <t>Järpe</t>
        </is>
      </c>
      <c r="S658">
        <f>HYPERLINK("https://klasma.github.io/Logging_0480/artfynd/A 7274-2025 artfynd.xlsx", "A 7274-2025")</f>
        <v/>
      </c>
      <c r="T658">
        <f>HYPERLINK("https://klasma.github.io/Logging_0480/kartor/A 7274-2025 karta.png", "A 7274-2025")</f>
        <v/>
      </c>
      <c r="V658">
        <f>HYPERLINK("https://klasma.github.io/Logging_0480/klagomål/A 7274-2025 FSC-klagomål.docx", "A 7274-2025")</f>
        <v/>
      </c>
      <c r="W658">
        <f>HYPERLINK("https://klasma.github.io/Logging_0480/klagomålsmail/A 7274-2025 FSC-klagomål mail.docx", "A 7274-2025")</f>
        <v/>
      </c>
      <c r="X658">
        <f>HYPERLINK("https://klasma.github.io/Logging_0480/tillsyn/A 7274-2025 tillsynsbegäran.docx", "A 7274-2025")</f>
        <v/>
      </c>
      <c r="Y658">
        <f>HYPERLINK("https://klasma.github.io/Logging_0480/tillsynsmail/A 7274-2025 tillsynsbegäran mail.docx", "A 7274-2025")</f>
        <v/>
      </c>
      <c r="Z658">
        <f>HYPERLINK("https://klasma.github.io/Logging_0480/fåglar/A 7274-2025 prioriterade fågelarter.docx", "A 7274-2025")</f>
        <v/>
      </c>
    </row>
    <row r="659" ht="15" customHeight="1">
      <c r="A659" t="inlineStr">
        <is>
          <t>A 9066-2025</t>
        </is>
      </c>
      <c r="B659" s="1" t="n">
        <v>45713</v>
      </c>
      <c r="C659" s="1" t="n">
        <v>45761</v>
      </c>
      <c r="D659" t="inlineStr">
        <is>
          <t>SÖDERMANLANDS LÄN</t>
        </is>
      </c>
      <c r="E659" t="inlineStr">
        <is>
          <t>FLEN</t>
        </is>
      </c>
      <c r="G659" t="n">
        <v>4.5</v>
      </c>
      <c r="H659" t="n">
        <v>0</v>
      </c>
      <c r="I659" t="n">
        <v>0</v>
      </c>
      <c r="J659" t="n">
        <v>1</v>
      </c>
      <c r="K659" t="n">
        <v>0</v>
      </c>
      <c r="L659" t="n">
        <v>0</v>
      </c>
      <c r="M659" t="n">
        <v>0</v>
      </c>
      <c r="N659" t="n">
        <v>0</v>
      </c>
      <c r="O659" t="n">
        <v>1</v>
      </c>
      <c r="P659" t="n">
        <v>0</v>
      </c>
      <c r="Q659" t="n">
        <v>1</v>
      </c>
      <c r="R659" s="2" t="inlineStr">
        <is>
          <t>Gullklöver</t>
        </is>
      </c>
      <c r="S659">
        <f>HYPERLINK("https://klasma.github.io/Logging_0482/artfynd/A 9066-2025 artfynd.xlsx", "A 9066-2025")</f>
        <v/>
      </c>
      <c r="T659">
        <f>HYPERLINK("https://klasma.github.io/Logging_0482/kartor/A 9066-2025 karta.png", "A 9066-2025")</f>
        <v/>
      </c>
      <c r="V659">
        <f>HYPERLINK("https://klasma.github.io/Logging_0482/klagomål/A 9066-2025 FSC-klagomål.docx", "A 9066-2025")</f>
        <v/>
      </c>
      <c r="W659">
        <f>HYPERLINK("https://klasma.github.io/Logging_0482/klagomålsmail/A 9066-2025 FSC-klagomål mail.docx", "A 9066-2025")</f>
        <v/>
      </c>
      <c r="X659">
        <f>HYPERLINK("https://klasma.github.io/Logging_0482/tillsyn/A 9066-2025 tillsynsbegäran.docx", "A 9066-2025")</f>
        <v/>
      </c>
      <c r="Y659">
        <f>HYPERLINK("https://klasma.github.io/Logging_0482/tillsynsmail/A 9066-2025 tillsynsbegäran mail.docx", "A 9066-2025")</f>
        <v/>
      </c>
    </row>
    <row r="660" ht="15" customHeight="1">
      <c r="A660" t="inlineStr">
        <is>
          <t>A 10828-2025</t>
        </is>
      </c>
      <c r="B660" s="1" t="n">
        <v>45722</v>
      </c>
      <c r="C660" s="1" t="n">
        <v>45761</v>
      </c>
      <c r="D660" t="inlineStr">
        <is>
          <t>SÖDERMANLANDS LÄN</t>
        </is>
      </c>
      <c r="E660" t="inlineStr">
        <is>
          <t>FLEN</t>
        </is>
      </c>
      <c r="F660" t="inlineStr">
        <is>
          <t>Holmen skog AB</t>
        </is>
      </c>
      <c r="G660" t="n">
        <v>3.7</v>
      </c>
      <c r="H660" t="n">
        <v>0</v>
      </c>
      <c r="I660" t="n">
        <v>0</v>
      </c>
      <c r="J660" t="n">
        <v>1</v>
      </c>
      <c r="K660" t="n">
        <v>0</v>
      </c>
      <c r="L660" t="n">
        <v>0</v>
      </c>
      <c r="M660" t="n">
        <v>0</v>
      </c>
      <c r="N660" t="n">
        <v>0</v>
      </c>
      <c r="O660" t="n">
        <v>1</v>
      </c>
      <c r="P660" t="n">
        <v>0</v>
      </c>
      <c r="Q660" t="n">
        <v>1</v>
      </c>
      <c r="R660" s="2" t="inlineStr">
        <is>
          <t>Tallticka</t>
        </is>
      </c>
      <c r="S660">
        <f>HYPERLINK("https://klasma.github.io/Logging_040482/artfynd/A 10828-2025 artfynd.xlsx", "A 10828-2025")</f>
        <v/>
      </c>
      <c r="T660">
        <f>HYPERLINK("https://klasma.github.io/Logging_040482/kartor/A 10828-2025 karta.png", "A 10828-2025")</f>
        <v/>
      </c>
      <c r="V660">
        <f>HYPERLINK("https://klasma.github.io/Logging_040482/klagomål/A 10828-2025 FSC-klagomål.docx", "A 10828-2025")</f>
        <v/>
      </c>
      <c r="W660">
        <f>HYPERLINK("https://klasma.github.io/Logging_040482/klagomålsmail/A 10828-2025 FSC-klagomål mail.docx", "A 10828-2025")</f>
        <v/>
      </c>
      <c r="X660">
        <f>HYPERLINK("https://klasma.github.io/Logging_040482/tillsyn/A 10828-2025 tillsynsbegäran.docx", "A 10828-2025")</f>
        <v/>
      </c>
      <c r="Y660">
        <f>HYPERLINK("https://klasma.github.io/Logging_040482/tillsynsmail/A 10828-2025 tillsynsbegäran mail.docx", "A 10828-2025")</f>
        <v/>
      </c>
    </row>
    <row r="661" ht="15" customHeight="1">
      <c r="A661" t="inlineStr">
        <is>
          <t>A 14101-2025</t>
        </is>
      </c>
      <c r="B661" s="1" t="n">
        <v>45740</v>
      </c>
      <c r="C661" s="1" t="n">
        <v>45761</v>
      </c>
      <c r="D661" t="inlineStr">
        <is>
          <t>SÖDERMANLANDS LÄN</t>
        </is>
      </c>
      <c r="E661" t="inlineStr">
        <is>
          <t>FLEN</t>
        </is>
      </c>
      <c r="F661" t="inlineStr">
        <is>
          <t>Övriga statliga verk och myndigheter</t>
        </is>
      </c>
      <c r="G661" t="n">
        <v>1.3</v>
      </c>
      <c r="H661" t="n">
        <v>0</v>
      </c>
      <c r="I661" t="n">
        <v>0</v>
      </c>
      <c r="J661" t="n">
        <v>1</v>
      </c>
      <c r="K661" t="n">
        <v>0</v>
      </c>
      <c r="L661" t="n">
        <v>0</v>
      </c>
      <c r="M661" t="n">
        <v>0</v>
      </c>
      <c r="N661" t="n">
        <v>0</v>
      </c>
      <c r="O661" t="n">
        <v>1</v>
      </c>
      <c r="P661" t="n">
        <v>0</v>
      </c>
      <c r="Q661" t="n">
        <v>1</v>
      </c>
      <c r="R661" s="2" t="inlineStr">
        <is>
          <t>Motaggsvamp</t>
        </is>
      </c>
      <c r="S661">
        <f>HYPERLINK("https://klasma.github.io/Logging_040482/artfynd/A 14101-2025 artfynd.xlsx", "A 14101-2025")</f>
        <v/>
      </c>
      <c r="T661">
        <f>HYPERLINK("https://klasma.github.io/Logging_040482/kartor/A 14101-2025 karta.png", "A 14101-2025")</f>
        <v/>
      </c>
      <c r="V661">
        <f>HYPERLINK("https://klasma.github.io/Logging_040482/klagomål/A 14101-2025 FSC-klagomål.docx", "A 14101-2025")</f>
        <v/>
      </c>
      <c r="W661">
        <f>HYPERLINK("https://klasma.github.io/Logging_040482/klagomålsmail/A 14101-2025 FSC-klagomål mail.docx", "A 14101-2025")</f>
        <v/>
      </c>
      <c r="X661">
        <f>HYPERLINK("https://klasma.github.io/Logging_040482/tillsyn/A 14101-2025 tillsynsbegäran.docx", "A 14101-2025")</f>
        <v/>
      </c>
      <c r="Y661">
        <f>HYPERLINK("https://klasma.github.io/Logging_040482/tillsynsmail/A 14101-2025 tillsynsbegäran mail.docx", "A 14101-2025")</f>
        <v/>
      </c>
    </row>
    <row r="662" ht="15" customHeight="1">
      <c r="A662" t="inlineStr">
        <is>
          <t>A 14273-2025</t>
        </is>
      </c>
      <c r="B662" s="1" t="n">
        <v>45740</v>
      </c>
      <c r="C662" s="1" t="n">
        <v>45761</v>
      </c>
      <c r="D662" t="inlineStr">
        <is>
          <t>SÖDERMANLANDS LÄN</t>
        </is>
      </c>
      <c r="E662" t="inlineStr">
        <is>
          <t>FLEN</t>
        </is>
      </c>
      <c r="F662" t="inlineStr">
        <is>
          <t>Holmen skog AB</t>
        </is>
      </c>
      <c r="G662" t="n">
        <v>3.1</v>
      </c>
      <c r="H662" t="n">
        <v>0</v>
      </c>
      <c r="I662" t="n">
        <v>0</v>
      </c>
      <c r="J662" t="n">
        <v>1</v>
      </c>
      <c r="K662" t="n">
        <v>0</v>
      </c>
      <c r="L662" t="n">
        <v>0</v>
      </c>
      <c r="M662" t="n">
        <v>0</v>
      </c>
      <c r="N662" t="n">
        <v>0</v>
      </c>
      <c r="O662" t="n">
        <v>1</v>
      </c>
      <c r="P662" t="n">
        <v>0</v>
      </c>
      <c r="Q662" t="n">
        <v>1</v>
      </c>
      <c r="R662" s="2" t="inlineStr">
        <is>
          <t>Vedskivlav</t>
        </is>
      </c>
      <c r="S662">
        <f>HYPERLINK("https://klasma.github.io/Logging_040482/artfynd/A 14273-2025 artfynd.xlsx", "A 14273-2025")</f>
        <v/>
      </c>
      <c r="T662">
        <f>HYPERLINK("https://klasma.github.io/Logging_040482/kartor/A 14273-2025 karta.png", "A 14273-2025")</f>
        <v/>
      </c>
      <c r="V662">
        <f>HYPERLINK("https://klasma.github.io/Logging_040482/klagomål/A 14273-2025 FSC-klagomål.docx", "A 14273-2025")</f>
        <v/>
      </c>
      <c r="W662">
        <f>HYPERLINK("https://klasma.github.io/Logging_040482/klagomålsmail/A 14273-2025 FSC-klagomål mail.docx", "A 14273-2025")</f>
        <v/>
      </c>
      <c r="X662">
        <f>HYPERLINK("https://klasma.github.io/Logging_040482/tillsyn/A 14273-2025 tillsynsbegäran.docx", "A 14273-2025")</f>
        <v/>
      </c>
      <c r="Y662">
        <f>HYPERLINK("https://klasma.github.io/Logging_040482/tillsynsmail/A 14273-2025 tillsynsbegäran mail.docx", "A 14273-2025")</f>
        <v/>
      </c>
    </row>
    <row r="663" ht="15" customHeight="1">
      <c r="A663" t="inlineStr">
        <is>
          <t>A 14113-2025</t>
        </is>
      </c>
      <c r="B663" s="1" t="n">
        <v>45740</v>
      </c>
      <c r="C663" s="1" t="n">
        <v>45761</v>
      </c>
      <c r="D663" t="inlineStr">
        <is>
          <t>SÖDERMANLANDS LÄN</t>
        </is>
      </c>
      <c r="E663" t="inlineStr">
        <is>
          <t>FLEN</t>
        </is>
      </c>
      <c r="F663" t="inlineStr">
        <is>
          <t>Övriga statliga verk och myndigheter</t>
        </is>
      </c>
      <c r="G663" t="n">
        <v>3.6</v>
      </c>
      <c r="H663" t="n">
        <v>1</v>
      </c>
      <c r="I663" t="n">
        <v>0</v>
      </c>
      <c r="J663" t="n">
        <v>0</v>
      </c>
      <c r="K663" t="n">
        <v>0</v>
      </c>
      <c r="L663" t="n">
        <v>0</v>
      </c>
      <c r="M663" t="n">
        <v>0</v>
      </c>
      <c r="N663" t="n">
        <v>0</v>
      </c>
      <c r="O663" t="n">
        <v>0</v>
      </c>
      <c r="P663" t="n">
        <v>0</v>
      </c>
      <c r="Q663" t="n">
        <v>1</v>
      </c>
      <c r="R663" s="2" t="inlineStr">
        <is>
          <t>Blåsippa</t>
        </is>
      </c>
      <c r="S663">
        <f>HYPERLINK("https://klasma.github.io/Logging_040482/artfynd/A 14113-2025 artfynd.xlsx", "A 14113-2025")</f>
        <v/>
      </c>
      <c r="T663">
        <f>HYPERLINK("https://klasma.github.io/Logging_040482/kartor/A 14113-2025 karta.png", "A 14113-2025")</f>
        <v/>
      </c>
      <c r="V663">
        <f>HYPERLINK("https://klasma.github.io/Logging_040482/klagomål/A 14113-2025 FSC-klagomål.docx", "A 14113-2025")</f>
        <v/>
      </c>
      <c r="W663">
        <f>HYPERLINK("https://klasma.github.io/Logging_040482/klagomålsmail/A 14113-2025 FSC-klagomål mail.docx", "A 14113-2025")</f>
        <v/>
      </c>
      <c r="X663">
        <f>HYPERLINK("https://klasma.github.io/Logging_040482/tillsyn/A 14113-2025 tillsynsbegäran.docx", "A 14113-2025")</f>
        <v/>
      </c>
      <c r="Y663">
        <f>HYPERLINK("https://klasma.github.io/Logging_040482/tillsynsmail/A 14113-2025 tillsynsbegäran mail.docx", "A 14113-2025")</f>
        <v/>
      </c>
    </row>
    <row r="664" ht="15" customHeight="1">
      <c r="A664" t="inlineStr">
        <is>
          <t>A 16831-2025</t>
        </is>
      </c>
      <c r="B664" s="1" t="n">
        <v>45754</v>
      </c>
      <c r="C664" s="1" t="n">
        <v>45761</v>
      </c>
      <c r="D664" t="inlineStr">
        <is>
          <t>SÖDERMANLANDS LÄN</t>
        </is>
      </c>
      <c r="E664" t="inlineStr">
        <is>
          <t>FLEN</t>
        </is>
      </c>
      <c r="F664" t="inlineStr">
        <is>
          <t>Holmen skog AB</t>
        </is>
      </c>
      <c r="G664" t="n">
        <v>6.6</v>
      </c>
      <c r="H664" t="n">
        <v>0</v>
      </c>
      <c r="I664" t="n">
        <v>1</v>
      </c>
      <c r="J664" t="n">
        <v>0</v>
      </c>
      <c r="K664" t="n">
        <v>0</v>
      </c>
      <c r="L664" t="n">
        <v>0</v>
      </c>
      <c r="M664" t="n">
        <v>0</v>
      </c>
      <c r="N664" t="n">
        <v>0</v>
      </c>
      <c r="O664" t="n">
        <v>0</v>
      </c>
      <c r="P664" t="n">
        <v>0</v>
      </c>
      <c r="Q664" t="n">
        <v>1</v>
      </c>
      <c r="R664" s="2" t="inlineStr">
        <is>
          <t>Grönpyrola</t>
        </is>
      </c>
      <c r="S664">
        <f>HYPERLINK("https://klasma.github.io/Logging_040482/artfynd/A 16831-2025 artfynd.xlsx", "A 16831-2025")</f>
        <v/>
      </c>
      <c r="T664">
        <f>HYPERLINK("https://klasma.github.io/Logging_040482/kartor/A 16831-2025 karta.png", "A 16831-2025")</f>
        <v/>
      </c>
      <c r="V664">
        <f>HYPERLINK("https://klasma.github.io/Logging_040482/klagomål/A 16831-2025 FSC-klagomål.docx", "A 16831-2025")</f>
        <v/>
      </c>
      <c r="W664">
        <f>HYPERLINK("https://klasma.github.io/Logging_040482/klagomålsmail/A 16831-2025 FSC-klagomål mail.docx", "A 16831-2025")</f>
        <v/>
      </c>
      <c r="X664">
        <f>HYPERLINK("https://klasma.github.io/Logging_040482/tillsyn/A 16831-2025 tillsynsbegäran.docx", "A 16831-2025")</f>
        <v/>
      </c>
      <c r="Y664">
        <f>HYPERLINK("https://klasma.github.io/Logging_040482/tillsynsmail/A 16831-2025 tillsynsbegäran mail.docx", "A 16831-2025")</f>
        <v/>
      </c>
    </row>
    <row r="665" ht="15" customHeight="1">
      <c r="A665" t="inlineStr">
        <is>
          <t>A 17818-2019</t>
        </is>
      </c>
      <c r="B665" s="1" t="n">
        <v>43556</v>
      </c>
      <c r="C665" s="1" t="n">
        <v>45761</v>
      </c>
      <c r="D665" t="inlineStr">
        <is>
          <t>SÖDERMANLANDS LÄN</t>
        </is>
      </c>
      <c r="E665" t="inlineStr">
        <is>
          <t>NYKÖPING</t>
        </is>
      </c>
      <c r="G665" t="n">
        <v>9.9</v>
      </c>
      <c r="H665" t="n">
        <v>0</v>
      </c>
      <c r="I665" t="n">
        <v>0</v>
      </c>
      <c r="J665" t="n">
        <v>0</v>
      </c>
      <c r="K665" t="n">
        <v>0</v>
      </c>
      <c r="L665" t="n">
        <v>0</v>
      </c>
      <c r="M665" t="n">
        <v>0</v>
      </c>
      <c r="N665" t="n">
        <v>0</v>
      </c>
      <c r="O665" t="n">
        <v>0</v>
      </c>
      <c r="P665" t="n">
        <v>0</v>
      </c>
      <c r="Q665" t="n">
        <v>0</v>
      </c>
      <c r="R665" s="2" t="inlineStr"/>
    </row>
    <row r="666" ht="15" customHeight="1">
      <c r="A666" t="inlineStr">
        <is>
          <t>A 17815-2019</t>
        </is>
      </c>
      <c r="B666" s="1" t="n">
        <v>43556</v>
      </c>
      <c r="C666" s="1" t="n">
        <v>45761</v>
      </c>
      <c r="D666" t="inlineStr">
        <is>
          <t>SÖDERMANLANDS LÄN</t>
        </is>
      </c>
      <c r="E666" t="inlineStr">
        <is>
          <t>NYKÖPING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17823-2019</t>
        </is>
      </c>
      <c r="B667" s="1" t="n">
        <v>43556</v>
      </c>
      <c r="C667" s="1" t="n">
        <v>45761</v>
      </c>
      <c r="D667" t="inlineStr">
        <is>
          <t>SÖDERMANLANDS LÄN</t>
        </is>
      </c>
      <c r="E667" t="inlineStr">
        <is>
          <t>NYKÖPING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18002-2019</t>
        </is>
      </c>
      <c r="B668" s="1" t="n">
        <v>43556</v>
      </c>
      <c r="C668" s="1" t="n">
        <v>45761</v>
      </c>
      <c r="D668" t="inlineStr">
        <is>
          <t>SÖDERMANLANDS LÄN</t>
        </is>
      </c>
      <c r="E668" t="inlineStr">
        <is>
          <t>GNESTA</t>
        </is>
      </c>
      <c r="G668" t="n">
        <v>2</v>
      </c>
      <c r="H668" t="n">
        <v>0</v>
      </c>
      <c r="I668" t="n">
        <v>0</v>
      </c>
      <c r="J668" t="n">
        <v>0</v>
      </c>
      <c r="K668" t="n">
        <v>0</v>
      </c>
      <c r="L668" t="n">
        <v>0</v>
      </c>
      <c r="M668" t="n">
        <v>0</v>
      </c>
      <c r="N668" t="n">
        <v>0</v>
      </c>
      <c r="O668" t="n">
        <v>0</v>
      </c>
      <c r="P668" t="n">
        <v>0</v>
      </c>
      <c r="Q668" t="n">
        <v>0</v>
      </c>
      <c r="R668" s="2" t="inlineStr"/>
    </row>
    <row r="669" ht="15" customHeight="1">
      <c r="A669" t="inlineStr">
        <is>
          <t>A 17953-2019</t>
        </is>
      </c>
      <c r="B669" s="1" t="n">
        <v>43557</v>
      </c>
      <c r="C669" s="1" t="n">
        <v>45761</v>
      </c>
      <c r="D669" t="inlineStr">
        <is>
          <t>SÖDERMANLANDS LÄN</t>
        </is>
      </c>
      <c r="E669" t="inlineStr">
        <is>
          <t>ESKILSTUNA</t>
        </is>
      </c>
      <c r="G669" t="n">
        <v>0.2</v>
      </c>
      <c r="H669" t="n">
        <v>0</v>
      </c>
      <c r="I669" t="n">
        <v>0</v>
      </c>
      <c r="J669" t="n">
        <v>0</v>
      </c>
      <c r="K669" t="n">
        <v>0</v>
      </c>
      <c r="L669" t="n">
        <v>0</v>
      </c>
      <c r="M669" t="n">
        <v>0</v>
      </c>
      <c r="N669" t="n">
        <v>0</v>
      </c>
      <c r="O669" t="n">
        <v>0</v>
      </c>
      <c r="P669" t="n">
        <v>0</v>
      </c>
      <c r="Q669" t="n">
        <v>0</v>
      </c>
      <c r="R669" s="2" t="inlineStr"/>
    </row>
    <row r="670" ht="15" customHeight="1">
      <c r="A670" t="inlineStr">
        <is>
          <t>A 18324-2019</t>
        </is>
      </c>
      <c r="B670" s="1" t="n">
        <v>43557</v>
      </c>
      <c r="C670" s="1" t="n">
        <v>45761</v>
      </c>
      <c r="D670" t="inlineStr">
        <is>
          <t>SÖDERMANLANDS LÄN</t>
        </is>
      </c>
      <c r="E670" t="inlineStr">
        <is>
          <t>STRÄNGNÄS</t>
        </is>
      </c>
      <c r="G670" t="n">
        <v>3.3</v>
      </c>
      <c r="H670" t="n">
        <v>0</v>
      </c>
      <c r="I670" t="n">
        <v>0</v>
      </c>
      <c r="J670" t="n">
        <v>0</v>
      </c>
      <c r="K670" t="n">
        <v>0</v>
      </c>
      <c r="L670" t="n">
        <v>0</v>
      </c>
      <c r="M670" t="n">
        <v>0</v>
      </c>
      <c r="N670" t="n">
        <v>0</v>
      </c>
      <c r="O670" t="n">
        <v>0</v>
      </c>
      <c r="P670" t="n">
        <v>0</v>
      </c>
      <c r="Q670" t="n">
        <v>0</v>
      </c>
      <c r="R670" s="2" t="inlineStr"/>
    </row>
    <row r="671" ht="15" customHeight="1">
      <c r="A671" t="inlineStr">
        <is>
          <t>A 18328-2019</t>
        </is>
      </c>
      <c r="B671" s="1" t="n">
        <v>43557</v>
      </c>
      <c r="C671" s="1" t="n">
        <v>45761</v>
      </c>
      <c r="D671" t="inlineStr">
        <is>
          <t>SÖDERMANLANDS LÄN</t>
        </is>
      </c>
      <c r="E671" t="inlineStr">
        <is>
          <t>STRÄNGNÄS</t>
        </is>
      </c>
      <c r="G671" t="n">
        <v>12.8</v>
      </c>
      <c r="H671" t="n">
        <v>0</v>
      </c>
      <c r="I671" t="n">
        <v>0</v>
      </c>
      <c r="J671" t="n">
        <v>0</v>
      </c>
      <c r="K671" t="n">
        <v>0</v>
      </c>
      <c r="L671" t="n">
        <v>0</v>
      </c>
      <c r="M671" t="n">
        <v>0</v>
      </c>
      <c r="N671" t="n">
        <v>0</v>
      </c>
      <c r="O671" t="n">
        <v>0</v>
      </c>
      <c r="P671" t="n">
        <v>0</v>
      </c>
      <c r="Q671" t="n">
        <v>0</v>
      </c>
      <c r="R671" s="2" t="inlineStr"/>
    </row>
    <row r="672" ht="15" customHeight="1">
      <c r="A672" t="inlineStr">
        <is>
          <t>A 18391-2019</t>
        </is>
      </c>
      <c r="B672" s="1" t="n">
        <v>43558</v>
      </c>
      <c r="C672" s="1" t="n">
        <v>45761</v>
      </c>
      <c r="D672" t="inlineStr">
        <is>
          <t>SÖDERMANLANDS LÄN</t>
        </is>
      </c>
      <c r="E672" t="inlineStr">
        <is>
          <t>FLEN</t>
        </is>
      </c>
      <c r="G672" t="n">
        <v>0.8</v>
      </c>
      <c r="H672" t="n">
        <v>0</v>
      </c>
      <c r="I672" t="n">
        <v>0</v>
      </c>
      <c r="J672" t="n">
        <v>0</v>
      </c>
      <c r="K672" t="n">
        <v>0</v>
      </c>
      <c r="L672" t="n">
        <v>0</v>
      </c>
      <c r="M672" t="n">
        <v>0</v>
      </c>
      <c r="N672" t="n">
        <v>0</v>
      </c>
      <c r="O672" t="n">
        <v>0</v>
      </c>
      <c r="P672" t="n">
        <v>0</v>
      </c>
      <c r="Q672" t="n">
        <v>0</v>
      </c>
      <c r="R672" s="2" t="inlineStr"/>
    </row>
    <row r="673" ht="15" customHeight="1">
      <c r="A673" t="inlineStr">
        <is>
          <t>A 18334-2019</t>
        </is>
      </c>
      <c r="B673" s="1" t="n">
        <v>43558</v>
      </c>
      <c r="C673" s="1" t="n">
        <v>45761</v>
      </c>
      <c r="D673" t="inlineStr">
        <is>
          <t>SÖDERMANLANDS LÄN</t>
        </is>
      </c>
      <c r="E673" t="inlineStr">
        <is>
          <t>NYKÖPING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18224-2019</t>
        </is>
      </c>
      <c r="B674" s="1" t="n">
        <v>43558</v>
      </c>
      <c r="C674" s="1" t="n">
        <v>45761</v>
      </c>
      <c r="D674" t="inlineStr">
        <is>
          <t>SÖDERMANLANDS LÄN</t>
        </is>
      </c>
      <c r="E674" t="inlineStr">
        <is>
          <t>ESKILSTUNA</t>
        </is>
      </c>
      <c r="G674" t="n">
        <v>2.1</v>
      </c>
      <c r="H674" t="n">
        <v>0</v>
      </c>
      <c r="I674" t="n">
        <v>0</v>
      </c>
      <c r="J674" t="n">
        <v>0</v>
      </c>
      <c r="K674" t="n">
        <v>0</v>
      </c>
      <c r="L674" t="n">
        <v>0</v>
      </c>
      <c r="M674" t="n">
        <v>0</v>
      </c>
      <c r="N674" t="n">
        <v>0</v>
      </c>
      <c r="O674" t="n">
        <v>0</v>
      </c>
      <c r="P674" t="n">
        <v>0</v>
      </c>
      <c r="Q674" t="n">
        <v>0</v>
      </c>
      <c r="R674" s="2" t="inlineStr"/>
    </row>
    <row r="675" ht="15" customHeight="1">
      <c r="A675" t="inlineStr">
        <is>
          <t>A 18543-2019</t>
        </is>
      </c>
      <c r="B675" s="1" t="n">
        <v>43558</v>
      </c>
      <c r="C675" s="1" t="n">
        <v>45761</v>
      </c>
      <c r="D675" t="inlineStr">
        <is>
          <t>SÖDERMANLANDS LÄN</t>
        </is>
      </c>
      <c r="E675" t="inlineStr">
        <is>
          <t>FLEN</t>
        </is>
      </c>
      <c r="F675" t="inlineStr">
        <is>
          <t>Övriga statliga verk och myndigheter</t>
        </is>
      </c>
      <c r="G675" t="n">
        <v>1.3</v>
      </c>
      <c r="H675" t="n">
        <v>0</v>
      </c>
      <c r="I675" t="n">
        <v>0</v>
      </c>
      <c r="J675" t="n">
        <v>0</v>
      </c>
      <c r="K675" t="n">
        <v>0</v>
      </c>
      <c r="L675" t="n">
        <v>0</v>
      </c>
      <c r="M675" t="n">
        <v>0</v>
      </c>
      <c r="N675" t="n">
        <v>0</v>
      </c>
      <c r="O675" t="n">
        <v>0</v>
      </c>
      <c r="P675" t="n">
        <v>0</v>
      </c>
      <c r="Q675" t="n">
        <v>0</v>
      </c>
      <c r="R675" s="2" t="inlineStr"/>
    </row>
    <row r="676" ht="15" customHeight="1">
      <c r="A676" t="inlineStr">
        <is>
          <t>A 18493-2019</t>
        </is>
      </c>
      <c r="B676" s="1" t="n">
        <v>43558</v>
      </c>
      <c r="C676" s="1" t="n">
        <v>45761</v>
      </c>
      <c r="D676" t="inlineStr">
        <is>
          <t>SÖDERMANLANDS LÄN</t>
        </is>
      </c>
      <c r="E676" t="inlineStr">
        <is>
          <t>ESKILSTUNA</t>
        </is>
      </c>
      <c r="G676" t="n">
        <v>3</v>
      </c>
      <c r="H676" t="n">
        <v>0</v>
      </c>
      <c r="I676" t="n">
        <v>0</v>
      </c>
      <c r="J676" t="n">
        <v>0</v>
      </c>
      <c r="K676" t="n">
        <v>0</v>
      </c>
      <c r="L676" t="n">
        <v>0</v>
      </c>
      <c r="M676" t="n">
        <v>0</v>
      </c>
      <c r="N676" t="n">
        <v>0</v>
      </c>
      <c r="O676" t="n">
        <v>0</v>
      </c>
      <c r="P676" t="n">
        <v>0</v>
      </c>
      <c r="Q676" t="n">
        <v>0</v>
      </c>
      <c r="R676" s="2" t="inlineStr"/>
    </row>
    <row r="677" ht="15" customHeight="1">
      <c r="A677" t="inlineStr">
        <is>
          <t>A 18561-2019</t>
        </is>
      </c>
      <c r="B677" s="1" t="n">
        <v>43559</v>
      </c>
      <c r="C677" s="1" t="n">
        <v>45761</v>
      </c>
      <c r="D677" t="inlineStr">
        <is>
          <t>SÖDERMANLANDS LÄN</t>
        </is>
      </c>
      <c r="E677" t="inlineStr">
        <is>
          <t>STRÄNGNÄS</t>
        </is>
      </c>
      <c r="F677" t="inlineStr">
        <is>
          <t>Allmännings- och besparingsskogar</t>
        </is>
      </c>
      <c r="G677" t="n">
        <v>2.7</v>
      </c>
      <c r="H677" t="n">
        <v>0</v>
      </c>
      <c r="I677" t="n">
        <v>0</v>
      </c>
      <c r="J677" t="n">
        <v>0</v>
      </c>
      <c r="K677" t="n">
        <v>0</v>
      </c>
      <c r="L677" t="n">
        <v>0</v>
      </c>
      <c r="M677" t="n">
        <v>0</v>
      </c>
      <c r="N677" t="n">
        <v>0</v>
      </c>
      <c r="O677" t="n">
        <v>0</v>
      </c>
      <c r="P677" t="n">
        <v>0</v>
      </c>
      <c r="Q677" t="n">
        <v>0</v>
      </c>
      <c r="R677" s="2" t="inlineStr"/>
    </row>
    <row r="678" ht="15" customHeight="1">
      <c r="A678" t="inlineStr">
        <is>
          <t>A 18639-2019</t>
        </is>
      </c>
      <c r="B678" s="1" t="n">
        <v>43559</v>
      </c>
      <c r="C678" s="1" t="n">
        <v>45761</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18700-2019</t>
        </is>
      </c>
      <c r="B679" s="1" t="n">
        <v>43559</v>
      </c>
      <c r="C679" s="1" t="n">
        <v>45761</v>
      </c>
      <c r="D679" t="inlineStr">
        <is>
          <t>SÖDERMANLANDS LÄN</t>
        </is>
      </c>
      <c r="E679" t="inlineStr">
        <is>
          <t>FLEN</t>
        </is>
      </c>
      <c r="G679" t="n">
        <v>3.5</v>
      </c>
      <c r="H679" t="n">
        <v>0</v>
      </c>
      <c r="I679" t="n">
        <v>0</v>
      </c>
      <c r="J679" t="n">
        <v>0</v>
      </c>
      <c r="K679" t="n">
        <v>0</v>
      </c>
      <c r="L679" t="n">
        <v>0</v>
      </c>
      <c r="M679" t="n">
        <v>0</v>
      </c>
      <c r="N679" t="n">
        <v>0</v>
      </c>
      <c r="O679" t="n">
        <v>0</v>
      </c>
      <c r="P679" t="n">
        <v>0</v>
      </c>
      <c r="Q679" t="n">
        <v>0</v>
      </c>
      <c r="R679" s="2" t="inlineStr"/>
    </row>
    <row r="680" ht="15" customHeight="1">
      <c r="A680" t="inlineStr">
        <is>
          <t>A 18698-2019</t>
        </is>
      </c>
      <c r="B680" s="1" t="n">
        <v>43559</v>
      </c>
      <c r="C680" s="1" t="n">
        <v>45761</v>
      </c>
      <c r="D680" t="inlineStr">
        <is>
          <t>SÖDERMANLANDS LÄN</t>
        </is>
      </c>
      <c r="E680" t="inlineStr">
        <is>
          <t>ESKILSTUNA</t>
        </is>
      </c>
      <c r="G680" t="n">
        <v>10</v>
      </c>
      <c r="H680" t="n">
        <v>0</v>
      </c>
      <c r="I680" t="n">
        <v>0</v>
      </c>
      <c r="J680" t="n">
        <v>0</v>
      </c>
      <c r="K680" t="n">
        <v>0</v>
      </c>
      <c r="L680" t="n">
        <v>0</v>
      </c>
      <c r="M680" t="n">
        <v>0</v>
      </c>
      <c r="N680" t="n">
        <v>0</v>
      </c>
      <c r="O680" t="n">
        <v>0</v>
      </c>
      <c r="P680" t="n">
        <v>0</v>
      </c>
      <c r="Q680" t="n">
        <v>0</v>
      </c>
      <c r="R680" s="2" t="inlineStr"/>
    </row>
    <row r="681" ht="15" customHeight="1">
      <c r="A681" t="inlineStr">
        <is>
          <t>A 18688-2019</t>
        </is>
      </c>
      <c r="B681" s="1" t="n">
        <v>43559</v>
      </c>
      <c r="C681" s="1" t="n">
        <v>45761</v>
      </c>
      <c r="D681" t="inlineStr">
        <is>
          <t>SÖDERMANLANDS LÄN</t>
        </is>
      </c>
      <c r="E681" t="inlineStr">
        <is>
          <t>FLEN</t>
        </is>
      </c>
      <c r="G681" t="n">
        <v>1.9</v>
      </c>
      <c r="H681" t="n">
        <v>0</v>
      </c>
      <c r="I681" t="n">
        <v>0</v>
      </c>
      <c r="J681" t="n">
        <v>0</v>
      </c>
      <c r="K681" t="n">
        <v>0</v>
      </c>
      <c r="L681" t="n">
        <v>0</v>
      </c>
      <c r="M681" t="n">
        <v>0</v>
      </c>
      <c r="N681" t="n">
        <v>0</v>
      </c>
      <c r="O681" t="n">
        <v>0</v>
      </c>
      <c r="P681" t="n">
        <v>0</v>
      </c>
      <c r="Q681" t="n">
        <v>0</v>
      </c>
      <c r="R681" s="2" t="inlineStr"/>
    </row>
    <row r="682" ht="15" customHeight="1">
      <c r="A682" t="inlineStr">
        <is>
          <t>A 18423-2019</t>
        </is>
      </c>
      <c r="B682" s="1" t="n">
        <v>43559</v>
      </c>
      <c r="C682" s="1" t="n">
        <v>45761</v>
      </c>
      <c r="D682" t="inlineStr">
        <is>
          <t>SÖDERMANLANDS LÄN</t>
        </is>
      </c>
      <c r="E682" t="inlineStr">
        <is>
          <t>ESKILSTUNA</t>
        </is>
      </c>
      <c r="G682" t="n">
        <v>1.1</v>
      </c>
      <c r="H682" t="n">
        <v>0</v>
      </c>
      <c r="I682" t="n">
        <v>0</v>
      </c>
      <c r="J682" t="n">
        <v>0</v>
      </c>
      <c r="K682" t="n">
        <v>0</v>
      </c>
      <c r="L682" t="n">
        <v>0</v>
      </c>
      <c r="M682" t="n">
        <v>0</v>
      </c>
      <c r="N682" t="n">
        <v>0</v>
      </c>
      <c r="O682" t="n">
        <v>0</v>
      </c>
      <c r="P682" t="n">
        <v>0</v>
      </c>
      <c r="Q682" t="n">
        <v>0</v>
      </c>
      <c r="R682" s="2" t="inlineStr"/>
    </row>
    <row r="683" ht="15" customHeight="1">
      <c r="A683" t="inlineStr">
        <is>
          <t>A 18704-2019</t>
        </is>
      </c>
      <c r="B683" s="1" t="n">
        <v>43559</v>
      </c>
      <c r="C683" s="1" t="n">
        <v>45761</v>
      </c>
      <c r="D683" t="inlineStr">
        <is>
          <t>SÖDERMANLANDS LÄN</t>
        </is>
      </c>
      <c r="E683" t="inlineStr">
        <is>
          <t>ESKILSTUNA</t>
        </is>
      </c>
      <c r="G683" t="n">
        <v>7.8</v>
      </c>
      <c r="H683" t="n">
        <v>0</v>
      </c>
      <c r="I683" t="n">
        <v>0</v>
      </c>
      <c r="J683" t="n">
        <v>0</v>
      </c>
      <c r="K683" t="n">
        <v>0</v>
      </c>
      <c r="L683" t="n">
        <v>0</v>
      </c>
      <c r="M683" t="n">
        <v>0</v>
      </c>
      <c r="N683" t="n">
        <v>0</v>
      </c>
      <c r="O683" t="n">
        <v>0</v>
      </c>
      <c r="P683" t="n">
        <v>0</v>
      </c>
      <c r="Q683" t="n">
        <v>0</v>
      </c>
      <c r="R683" s="2" t="inlineStr"/>
    </row>
    <row r="684" ht="15" customHeight="1">
      <c r="A684" t="inlineStr">
        <is>
          <t>A 18632-2019</t>
        </is>
      </c>
      <c r="B684" s="1" t="n">
        <v>43559</v>
      </c>
      <c r="C684" s="1" t="n">
        <v>45761</v>
      </c>
      <c r="D684" t="inlineStr">
        <is>
          <t>SÖDERMANLANDS LÄN</t>
        </is>
      </c>
      <c r="E684" t="inlineStr">
        <is>
          <t>VINGÅKER</t>
        </is>
      </c>
      <c r="G684" t="n">
        <v>6.4</v>
      </c>
      <c r="H684" t="n">
        <v>0</v>
      </c>
      <c r="I684" t="n">
        <v>0</v>
      </c>
      <c r="J684" t="n">
        <v>0</v>
      </c>
      <c r="K684" t="n">
        <v>0</v>
      </c>
      <c r="L684" t="n">
        <v>0</v>
      </c>
      <c r="M684" t="n">
        <v>0</v>
      </c>
      <c r="N684" t="n">
        <v>0</v>
      </c>
      <c r="O684" t="n">
        <v>0</v>
      </c>
      <c r="P684" t="n">
        <v>0</v>
      </c>
      <c r="Q684" t="n">
        <v>0</v>
      </c>
      <c r="R684" s="2" t="inlineStr"/>
    </row>
    <row r="685" ht="15" customHeight="1">
      <c r="A685" t="inlineStr">
        <is>
          <t>A 18431-2019</t>
        </is>
      </c>
      <c r="B685" s="1" t="n">
        <v>43559</v>
      </c>
      <c r="C685" s="1" t="n">
        <v>45761</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18645-2019</t>
        </is>
      </c>
      <c r="B686" s="1" t="n">
        <v>43560</v>
      </c>
      <c r="C686" s="1" t="n">
        <v>45761</v>
      </c>
      <c r="D686" t="inlineStr">
        <is>
          <t>SÖDERMANLANDS LÄN</t>
        </is>
      </c>
      <c r="E686" t="inlineStr">
        <is>
          <t>FLEN</t>
        </is>
      </c>
      <c r="G686" t="n">
        <v>8.4</v>
      </c>
      <c r="H686" t="n">
        <v>0</v>
      </c>
      <c r="I686" t="n">
        <v>0</v>
      </c>
      <c r="J686" t="n">
        <v>0</v>
      </c>
      <c r="K686" t="n">
        <v>0</v>
      </c>
      <c r="L686" t="n">
        <v>0</v>
      </c>
      <c r="M686" t="n">
        <v>0</v>
      </c>
      <c r="N686" t="n">
        <v>0</v>
      </c>
      <c r="O686" t="n">
        <v>0</v>
      </c>
      <c r="P686" t="n">
        <v>0</v>
      </c>
      <c r="Q686" t="n">
        <v>0</v>
      </c>
      <c r="R686" s="2" t="inlineStr"/>
    </row>
    <row r="687" ht="15" customHeight="1">
      <c r="A687" t="inlineStr">
        <is>
          <t>A 18824-2019</t>
        </is>
      </c>
      <c r="B687" s="1" t="n">
        <v>43560</v>
      </c>
      <c r="C687" s="1" t="n">
        <v>45761</v>
      </c>
      <c r="D687" t="inlineStr">
        <is>
          <t>SÖDERMANLANDS LÄN</t>
        </is>
      </c>
      <c r="E687" t="inlineStr">
        <is>
          <t>FLEN</t>
        </is>
      </c>
      <c r="G687" t="n">
        <v>0.5</v>
      </c>
      <c r="H687" t="n">
        <v>0</v>
      </c>
      <c r="I687" t="n">
        <v>0</v>
      </c>
      <c r="J687" t="n">
        <v>0</v>
      </c>
      <c r="K687" t="n">
        <v>0</v>
      </c>
      <c r="L687" t="n">
        <v>0</v>
      </c>
      <c r="M687" t="n">
        <v>0</v>
      </c>
      <c r="N687" t="n">
        <v>0</v>
      </c>
      <c r="O687" t="n">
        <v>0</v>
      </c>
      <c r="P687" t="n">
        <v>0</v>
      </c>
      <c r="Q687" t="n">
        <v>0</v>
      </c>
      <c r="R687" s="2" t="inlineStr"/>
    </row>
    <row r="688" ht="15" customHeight="1">
      <c r="A688" t="inlineStr">
        <is>
          <t>A 18740-2019</t>
        </is>
      </c>
      <c r="B688" s="1" t="n">
        <v>43560</v>
      </c>
      <c r="C688" s="1" t="n">
        <v>45761</v>
      </c>
      <c r="D688" t="inlineStr">
        <is>
          <t>SÖDERMANLANDS LÄN</t>
        </is>
      </c>
      <c r="E688" t="inlineStr">
        <is>
          <t>NYKÖPING</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18786-2019</t>
        </is>
      </c>
      <c r="B689" s="1" t="n">
        <v>43562</v>
      </c>
      <c r="C689" s="1" t="n">
        <v>45761</v>
      </c>
      <c r="D689" t="inlineStr">
        <is>
          <t>SÖDERMANLANDS LÄN</t>
        </is>
      </c>
      <c r="E689" t="inlineStr">
        <is>
          <t>NYKÖPING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18793-2019</t>
        </is>
      </c>
      <c r="B690" s="1" t="n">
        <v>43562</v>
      </c>
      <c r="C690" s="1" t="n">
        <v>45761</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18869-2019</t>
        </is>
      </c>
      <c r="B691" s="1" t="n">
        <v>43563</v>
      </c>
      <c r="C691" s="1" t="n">
        <v>45761</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18892-2019</t>
        </is>
      </c>
      <c r="B692" s="1" t="n">
        <v>43563</v>
      </c>
      <c r="C692" s="1" t="n">
        <v>45761</v>
      </c>
      <c r="D692" t="inlineStr">
        <is>
          <t>SÖDERMANLANDS LÄN</t>
        </is>
      </c>
      <c r="E692" t="inlineStr">
        <is>
          <t>GNESTA</t>
        </is>
      </c>
      <c r="G692" t="n">
        <v>5.6</v>
      </c>
      <c r="H692" t="n">
        <v>0</v>
      </c>
      <c r="I692" t="n">
        <v>0</v>
      </c>
      <c r="J692" t="n">
        <v>0</v>
      </c>
      <c r="K692" t="n">
        <v>0</v>
      </c>
      <c r="L692" t="n">
        <v>0</v>
      </c>
      <c r="M692" t="n">
        <v>0</v>
      </c>
      <c r="N692" t="n">
        <v>0</v>
      </c>
      <c r="O692" t="n">
        <v>0</v>
      </c>
      <c r="P692" t="n">
        <v>0</v>
      </c>
      <c r="Q692" t="n">
        <v>0</v>
      </c>
      <c r="R692" s="2" t="inlineStr"/>
    </row>
    <row r="693" ht="15" customHeight="1">
      <c r="A693" t="inlineStr">
        <is>
          <t>A 18950-2019</t>
        </is>
      </c>
      <c r="B693" s="1" t="n">
        <v>43563</v>
      </c>
      <c r="C693" s="1" t="n">
        <v>45761</v>
      </c>
      <c r="D693" t="inlineStr">
        <is>
          <t>SÖDERMANLANDS LÄN</t>
        </is>
      </c>
      <c r="E693" t="inlineStr">
        <is>
          <t>ESKILSTUNA</t>
        </is>
      </c>
      <c r="G693" t="n">
        <v>3</v>
      </c>
      <c r="H693" t="n">
        <v>0</v>
      </c>
      <c r="I693" t="n">
        <v>0</v>
      </c>
      <c r="J693" t="n">
        <v>0</v>
      </c>
      <c r="K693" t="n">
        <v>0</v>
      </c>
      <c r="L693" t="n">
        <v>0</v>
      </c>
      <c r="M693" t="n">
        <v>0</v>
      </c>
      <c r="N693" t="n">
        <v>0</v>
      </c>
      <c r="O693" t="n">
        <v>0</v>
      </c>
      <c r="P693" t="n">
        <v>0</v>
      </c>
      <c r="Q693" t="n">
        <v>0</v>
      </c>
      <c r="R693" s="2" t="inlineStr"/>
    </row>
    <row r="694" ht="15" customHeight="1">
      <c r="A694" t="inlineStr">
        <is>
          <t>A 18862-2019</t>
        </is>
      </c>
      <c r="B694" s="1" t="n">
        <v>43563</v>
      </c>
      <c r="C694" s="1" t="n">
        <v>45761</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19122-2019</t>
        </is>
      </c>
      <c r="B695" s="1" t="n">
        <v>43564</v>
      </c>
      <c r="C695" s="1" t="n">
        <v>45761</v>
      </c>
      <c r="D695" t="inlineStr">
        <is>
          <t>SÖDERMANLANDS LÄN</t>
        </is>
      </c>
      <c r="E695" t="inlineStr">
        <is>
          <t>ESKILSTUNA</t>
        </is>
      </c>
      <c r="G695" t="n">
        <v>2.5</v>
      </c>
      <c r="H695" t="n">
        <v>0</v>
      </c>
      <c r="I695" t="n">
        <v>0</v>
      </c>
      <c r="J695" t="n">
        <v>0</v>
      </c>
      <c r="K695" t="n">
        <v>0</v>
      </c>
      <c r="L695" t="n">
        <v>0</v>
      </c>
      <c r="M695" t="n">
        <v>0</v>
      </c>
      <c r="N695" t="n">
        <v>0</v>
      </c>
      <c r="O695" t="n">
        <v>0</v>
      </c>
      <c r="P695" t="n">
        <v>0</v>
      </c>
      <c r="Q695" t="n">
        <v>0</v>
      </c>
      <c r="R695" s="2" t="inlineStr"/>
    </row>
    <row r="696" ht="15" customHeight="1">
      <c r="A696" t="inlineStr">
        <is>
          <t>A 19166-2019</t>
        </is>
      </c>
      <c r="B696" s="1" t="n">
        <v>43564</v>
      </c>
      <c r="C696" s="1" t="n">
        <v>45761</v>
      </c>
      <c r="D696" t="inlineStr">
        <is>
          <t>SÖDERMANLANDS LÄN</t>
        </is>
      </c>
      <c r="E696" t="inlineStr">
        <is>
          <t>GNESTA</t>
        </is>
      </c>
      <c r="G696" t="n">
        <v>1</v>
      </c>
      <c r="H696" t="n">
        <v>0</v>
      </c>
      <c r="I696" t="n">
        <v>0</v>
      </c>
      <c r="J696" t="n">
        <v>0</v>
      </c>
      <c r="K696" t="n">
        <v>0</v>
      </c>
      <c r="L696" t="n">
        <v>0</v>
      </c>
      <c r="M696" t="n">
        <v>0</v>
      </c>
      <c r="N696" t="n">
        <v>0</v>
      </c>
      <c r="O696" t="n">
        <v>0</v>
      </c>
      <c r="P696" t="n">
        <v>0</v>
      </c>
      <c r="Q696" t="n">
        <v>0</v>
      </c>
      <c r="R696" s="2" t="inlineStr"/>
    </row>
    <row r="697" ht="15" customHeight="1">
      <c r="A697" t="inlineStr">
        <is>
          <t>A 19291-2019</t>
        </is>
      </c>
      <c r="B697" s="1" t="n">
        <v>43565</v>
      </c>
      <c r="C697" s="1" t="n">
        <v>45761</v>
      </c>
      <c r="D697" t="inlineStr">
        <is>
          <t>SÖDERMANLANDS LÄN</t>
        </is>
      </c>
      <c r="E697" t="inlineStr">
        <is>
          <t>ESKILSTUNA</t>
        </is>
      </c>
      <c r="G697" t="n">
        <v>0.6</v>
      </c>
      <c r="H697" t="n">
        <v>0</v>
      </c>
      <c r="I697" t="n">
        <v>0</v>
      </c>
      <c r="J697" t="n">
        <v>0</v>
      </c>
      <c r="K697" t="n">
        <v>0</v>
      </c>
      <c r="L697" t="n">
        <v>0</v>
      </c>
      <c r="M697" t="n">
        <v>0</v>
      </c>
      <c r="N697" t="n">
        <v>0</v>
      </c>
      <c r="O697" t="n">
        <v>0</v>
      </c>
      <c r="P697" t="n">
        <v>0</v>
      </c>
      <c r="Q697" t="n">
        <v>0</v>
      </c>
      <c r="R697" s="2" t="inlineStr"/>
    </row>
    <row r="698" ht="15" customHeight="1">
      <c r="A698" t="inlineStr">
        <is>
          <t>A 19374-2019</t>
        </is>
      </c>
      <c r="B698" s="1" t="n">
        <v>43565</v>
      </c>
      <c r="C698" s="1" t="n">
        <v>45761</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19449-2019</t>
        </is>
      </c>
      <c r="B699" s="1" t="n">
        <v>43565</v>
      </c>
      <c r="C699" s="1" t="n">
        <v>45761</v>
      </c>
      <c r="D699" t="inlineStr">
        <is>
          <t>SÖDERMANLANDS LÄN</t>
        </is>
      </c>
      <c r="E699" t="inlineStr">
        <is>
          <t>VINGÅKER</t>
        </is>
      </c>
      <c r="G699" t="n">
        <v>2.7</v>
      </c>
      <c r="H699" t="n">
        <v>0</v>
      </c>
      <c r="I699" t="n">
        <v>0</v>
      </c>
      <c r="J699" t="n">
        <v>0</v>
      </c>
      <c r="K699" t="n">
        <v>0</v>
      </c>
      <c r="L699" t="n">
        <v>0</v>
      </c>
      <c r="M699" t="n">
        <v>0</v>
      </c>
      <c r="N699" t="n">
        <v>0</v>
      </c>
      <c r="O699" t="n">
        <v>0</v>
      </c>
      <c r="P699" t="n">
        <v>0</v>
      </c>
      <c r="Q699" t="n">
        <v>0</v>
      </c>
      <c r="R699" s="2" t="inlineStr"/>
    </row>
    <row r="700" ht="15" customHeight="1">
      <c r="A700" t="inlineStr">
        <is>
          <t>A 19476-2019</t>
        </is>
      </c>
      <c r="B700" s="1" t="n">
        <v>43565</v>
      </c>
      <c r="C700" s="1" t="n">
        <v>45761</v>
      </c>
      <c r="D700" t="inlineStr">
        <is>
          <t>SÖDERMANLANDS LÄN</t>
        </is>
      </c>
      <c r="E700" t="inlineStr">
        <is>
          <t>NYKÖPING</t>
        </is>
      </c>
      <c r="G700" t="n">
        <v>7.5</v>
      </c>
      <c r="H700" t="n">
        <v>0</v>
      </c>
      <c r="I700" t="n">
        <v>0</v>
      </c>
      <c r="J700" t="n">
        <v>0</v>
      </c>
      <c r="K700" t="n">
        <v>0</v>
      </c>
      <c r="L700" t="n">
        <v>0</v>
      </c>
      <c r="M700" t="n">
        <v>0</v>
      </c>
      <c r="N700" t="n">
        <v>0</v>
      </c>
      <c r="O700" t="n">
        <v>0</v>
      </c>
      <c r="P700" t="n">
        <v>0</v>
      </c>
      <c r="Q700" t="n">
        <v>0</v>
      </c>
      <c r="R700" s="2" t="inlineStr"/>
    </row>
    <row r="701" ht="15" customHeight="1">
      <c r="A701" t="inlineStr">
        <is>
          <t>A 19395-2019</t>
        </is>
      </c>
      <c r="B701" s="1" t="n">
        <v>43565</v>
      </c>
      <c r="C701" s="1" t="n">
        <v>45761</v>
      </c>
      <c r="D701" t="inlineStr">
        <is>
          <t>SÖDERMANLANDS LÄN</t>
        </is>
      </c>
      <c r="E701" t="inlineStr">
        <is>
          <t>FLEN</t>
        </is>
      </c>
      <c r="G701" t="n">
        <v>5.7</v>
      </c>
      <c r="H701" t="n">
        <v>0</v>
      </c>
      <c r="I701" t="n">
        <v>0</v>
      </c>
      <c r="J701" t="n">
        <v>0</v>
      </c>
      <c r="K701" t="n">
        <v>0</v>
      </c>
      <c r="L701" t="n">
        <v>0</v>
      </c>
      <c r="M701" t="n">
        <v>0</v>
      </c>
      <c r="N701" t="n">
        <v>0</v>
      </c>
      <c r="O701" t="n">
        <v>0</v>
      </c>
      <c r="P701" t="n">
        <v>0</v>
      </c>
      <c r="Q701" t="n">
        <v>0</v>
      </c>
      <c r="R701" s="2" t="inlineStr"/>
    </row>
    <row r="702" ht="15" customHeight="1">
      <c r="A702" t="inlineStr">
        <is>
          <t>A 19427-2019</t>
        </is>
      </c>
      <c r="B702" s="1" t="n">
        <v>43565</v>
      </c>
      <c r="C702" s="1" t="n">
        <v>45761</v>
      </c>
      <c r="D702" t="inlineStr">
        <is>
          <t>SÖDERMANLANDS LÄN</t>
        </is>
      </c>
      <c r="E702" t="inlineStr">
        <is>
          <t>NYKÖPING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19511-2019</t>
        </is>
      </c>
      <c r="B703" s="1" t="n">
        <v>43565</v>
      </c>
      <c r="C703" s="1" t="n">
        <v>45761</v>
      </c>
      <c r="D703" t="inlineStr">
        <is>
          <t>SÖDERMANLANDS LÄN</t>
        </is>
      </c>
      <c r="E703" t="inlineStr">
        <is>
          <t>NYKÖPING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19469-2019</t>
        </is>
      </c>
      <c r="B704" s="1" t="n">
        <v>43565</v>
      </c>
      <c r="C704" s="1" t="n">
        <v>45761</v>
      </c>
      <c r="D704" t="inlineStr">
        <is>
          <t>SÖDERMANLANDS LÄN</t>
        </is>
      </c>
      <c r="E704" t="inlineStr">
        <is>
          <t>NYKÖPING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19692-2019</t>
        </is>
      </c>
      <c r="B705" s="1" t="n">
        <v>43566</v>
      </c>
      <c r="C705" s="1" t="n">
        <v>45761</v>
      </c>
      <c r="D705" t="inlineStr">
        <is>
          <t>SÖDERMANLANDS LÄN</t>
        </is>
      </c>
      <c r="E705" t="inlineStr">
        <is>
          <t>NYKÖPING</t>
        </is>
      </c>
      <c r="F705" t="inlineStr">
        <is>
          <t>Kyrkan</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19804-2019</t>
        </is>
      </c>
      <c r="B706" s="1" t="n">
        <v>43566</v>
      </c>
      <c r="C706" s="1" t="n">
        <v>45761</v>
      </c>
      <c r="D706" t="inlineStr">
        <is>
          <t>SÖDERMANLANDS LÄN</t>
        </is>
      </c>
      <c r="E706" t="inlineStr">
        <is>
          <t>GNESTA</t>
        </is>
      </c>
      <c r="G706" t="n">
        <v>0.7</v>
      </c>
      <c r="H706" t="n">
        <v>0</v>
      </c>
      <c r="I706" t="n">
        <v>0</v>
      </c>
      <c r="J706" t="n">
        <v>0</v>
      </c>
      <c r="K706" t="n">
        <v>0</v>
      </c>
      <c r="L706" t="n">
        <v>0</v>
      </c>
      <c r="M706" t="n">
        <v>0</v>
      </c>
      <c r="N706" t="n">
        <v>0</v>
      </c>
      <c r="O706" t="n">
        <v>0</v>
      </c>
      <c r="P706" t="n">
        <v>0</v>
      </c>
      <c r="Q706" t="n">
        <v>0</v>
      </c>
      <c r="R706" s="2" t="inlineStr"/>
    </row>
    <row r="707" ht="15" customHeight="1">
      <c r="A707" t="inlineStr">
        <is>
          <t>A 19874-2019</t>
        </is>
      </c>
      <c r="B707" s="1" t="n">
        <v>43567</v>
      </c>
      <c r="C707" s="1" t="n">
        <v>45761</v>
      </c>
      <c r="D707" t="inlineStr">
        <is>
          <t>SÖDERMANLANDS LÄN</t>
        </is>
      </c>
      <c r="E707" t="inlineStr">
        <is>
          <t>STRÄNGNÄS</t>
        </is>
      </c>
      <c r="G707" t="n">
        <v>12.6</v>
      </c>
      <c r="H707" t="n">
        <v>0</v>
      </c>
      <c r="I707" t="n">
        <v>0</v>
      </c>
      <c r="J707" t="n">
        <v>0</v>
      </c>
      <c r="K707" t="n">
        <v>0</v>
      </c>
      <c r="L707" t="n">
        <v>0</v>
      </c>
      <c r="M707" t="n">
        <v>0</v>
      </c>
      <c r="N707" t="n">
        <v>0</v>
      </c>
      <c r="O707" t="n">
        <v>0</v>
      </c>
      <c r="P707" t="n">
        <v>0</v>
      </c>
      <c r="Q707" t="n">
        <v>0</v>
      </c>
      <c r="R707" s="2" t="inlineStr"/>
    </row>
    <row r="708" ht="15" customHeight="1">
      <c r="A708" t="inlineStr">
        <is>
          <t>A 19834-2019</t>
        </is>
      </c>
      <c r="B708" s="1" t="n">
        <v>43567</v>
      </c>
      <c r="C708" s="1" t="n">
        <v>45761</v>
      </c>
      <c r="D708" t="inlineStr">
        <is>
          <t>SÖDERMANLANDS LÄN</t>
        </is>
      </c>
      <c r="E708" t="inlineStr">
        <is>
          <t>FLEN</t>
        </is>
      </c>
      <c r="G708" t="n">
        <v>7.5</v>
      </c>
      <c r="H708" t="n">
        <v>0</v>
      </c>
      <c r="I708" t="n">
        <v>0</v>
      </c>
      <c r="J708" t="n">
        <v>0</v>
      </c>
      <c r="K708" t="n">
        <v>0</v>
      </c>
      <c r="L708" t="n">
        <v>0</v>
      </c>
      <c r="M708" t="n">
        <v>0</v>
      </c>
      <c r="N708" t="n">
        <v>0</v>
      </c>
      <c r="O708" t="n">
        <v>0</v>
      </c>
      <c r="P708" t="n">
        <v>0</v>
      </c>
      <c r="Q708" t="n">
        <v>0</v>
      </c>
      <c r="R708" s="2" t="inlineStr"/>
    </row>
    <row r="709" ht="15" customHeight="1">
      <c r="A709" t="inlineStr">
        <is>
          <t>A 20179-2019</t>
        </is>
      </c>
      <c r="B709" s="1" t="n">
        <v>43570</v>
      </c>
      <c r="C709" s="1" t="n">
        <v>45761</v>
      </c>
      <c r="D709" t="inlineStr">
        <is>
          <t>SÖDERMANLANDS LÄN</t>
        </is>
      </c>
      <c r="E709" t="inlineStr">
        <is>
          <t>ESKILSTUNA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20284-2019</t>
        </is>
      </c>
      <c r="B710" s="1" t="n">
        <v>43570</v>
      </c>
      <c r="C710" s="1" t="n">
        <v>45761</v>
      </c>
      <c r="D710" t="inlineStr">
        <is>
          <t>SÖDERMANLANDS LÄN</t>
        </is>
      </c>
      <c r="E710" t="inlineStr">
        <is>
          <t>FLEN</t>
        </is>
      </c>
      <c r="G710" t="n">
        <v>6.5</v>
      </c>
      <c r="H710" t="n">
        <v>0</v>
      </c>
      <c r="I710" t="n">
        <v>0</v>
      </c>
      <c r="J710" t="n">
        <v>0</v>
      </c>
      <c r="K710" t="n">
        <v>0</v>
      </c>
      <c r="L710" t="n">
        <v>0</v>
      </c>
      <c r="M710" t="n">
        <v>0</v>
      </c>
      <c r="N710" t="n">
        <v>0</v>
      </c>
      <c r="O710" t="n">
        <v>0</v>
      </c>
      <c r="P710" t="n">
        <v>0</v>
      </c>
      <c r="Q710" t="n">
        <v>0</v>
      </c>
      <c r="R710" s="2" t="inlineStr"/>
    </row>
    <row r="711" ht="15" customHeight="1">
      <c r="A711" t="inlineStr">
        <is>
          <t>A 20084-2019</t>
        </is>
      </c>
      <c r="B711" s="1" t="n">
        <v>43570</v>
      </c>
      <c r="C711" s="1" t="n">
        <v>45761</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19980-2019</t>
        </is>
      </c>
      <c r="B712" s="1" t="n">
        <v>43570</v>
      </c>
      <c r="C712" s="1" t="n">
        <v>45761</v>
      </c>
      <c r="D712" t="inlineStr">
        <is>
          <t>SÖDERMANLANDS LÄN</t>
        </is>
      </c>
      <c r="E712" t="inlineStr">
        <is>
          <t>NYKÖPING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20081-2019</t>
        </is>
      </c>
      <c r="B713" s="1" t="n">
        <v>43570</v>
      </c>
      <c r="C713" s="1" t="n">
        <v>45761</v>
      </c>
      <c r="D713" t="inlineStr">
        <is>
          <t>SÖDERMANLANDS LÄN</t>
        </is>
      </c>
      <c r="E713" t="inlineStr">
        <is>
          <t>KATRINEHOLM</t>
        </is>
      </c>
      <c r="G713" t="n">
        <v>2.8</v>
      </c>
      <c r="H713" t="n">
        <v>0</v>
      </c>
      <c r="I713" t="n">
        <v>0</v>
      </c>
      <c r="J713" t="n">
        <v>0</v>
      </c>
      <c r="K713" t="n">
        <v>0</v>
      </c>
      <c r="L713" t="n">
        <v>0</v>
      </c>
      <c r="M713" t="n">
        <v>0</v>
      </c>
      <c r="N713" t="n">
        <v>0</v>
      </c>
      <c r="O713" t="n">
        <v>0</v>
      </c>
      <c r="P713" t="n">
        <v>0</v>
      </c>
      <c r="Q713" t="n">
        <v>0</v>
      </c>
      <c r="R713" s="2" t="inlineStr"/>
    </row>
    <row r="714" ht="15" customHeight="1">
      <c r="A714" t="inlineStr">
        <is>
          <t>A 20089-2019</t>
        </is>
      </c>
      <c r="B714" s="1" t="n">
        <v>43570</v>
      </c>
      <c r="C714" s="1" t="n">
        <v>45761</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20529-2019</t>
        </is>
      </c>
      <c r="B715" s="1" t="n">
        <v>43572</v>
      </c>
      <c r="C715" s="1" t="n">
        <v>45761</v>
      </c>
      <c r="D715" t="inlineStr">
        <is>
          <t>SÖDERMANLANDS LÄN</t>
        </is>
      </c>
      <c r="E715" t="inlineStr">
        <is>
          <t>GNESTA</t>
        </is>
      </c>
      <c r="G715" t="n">
        <v>2.8</v>
      </c>
      <c r="H715" t="n">
        <v>0</v>
      </c>
      <c r="I715" t="n">
        <v>0</v>
      </c>
      <c r="J715" t="n">
        <v>0</v>
      </c>
      <c r="K715" t="n">
        <v>0</v>
      </c>
      <c r="L715" t="n">
        <v>0</v>
      </c>
      <c r="M715" t="n">
        <v>0</v>
      </c>
      <c r="N715" t="n">
        <v>0</v>
      </c>
      <c r="O715" t="n">
        <v>0</v>
      </c>
      <c r="P715" t="n">
        <v>0</v>
      </c>
      <c r="Q715" t="n">
        <v>0</v>
      </c>
      <c r="R715" s="2" t="inlineStr"/>
    </row>
    <row r="716" ht="15" customHeight="1">
      <c r="A716" t="inlineStr">
        <is>
          <t>A 20666-2019</t>
        </is>
      </c>
      <c r="B716" s="1" t="n">
        <v>43572</v>
      </c>
      <c r="C716" s="1" t="n">
        <v>45761</v>
      </c>
      <c r="D716" t="inlineStr">
        <is>
          <t>SÖDERMANLANDS LÄN</t>
        </is>
      </c>
      <c r="E716" t="inlineStr">
        <is>
          <t>STRÄNGNÄS</t>
        </is>
      </c>
      <c r="G716" t="n">
        <v>1.4</v>
      </c>
      <c r="H716" t="n">
        <v>0</v>
      </c>
      <c r="I716" t="n">
        <v>0</v>
      </c>
      <c r="J716" t="n">
        <v>0</v>
      </c>
      <c r="K716" t="n">
        <v>0</v>
      </c>
      <c r="L716" t="n">
        <v>0</v>
      </c>
      <c r="M716" t="n">
        <v>0</v>
      </c>
      <c r="N716" t="n">
        <v>0</v>
      </c>
      <c r="O716" t="n">
        <v>0</v>
      </c>
      <c r="P716" t="n">
        <v>0</v>
      </c>
      <c r="Q716" t="n">
        <v>0</v>
      </c>
      <c r="R716" s="2" t="inlineStr"/>
    </row>
    <row r="717" ht="15" customHeight="1">
      <c r="A717" t="inlineStr">
        <is>
          <t>A 20729-2019</t>
        </is>
      </c>
      <c r="B717" s="1" t="n">
        <v>43573</v>
      </c>
      <c r="C717" s="1" t="n">
        <v>45761</v>
      </c>
      <c r="D717" t="inlineStr">
        <is>
          <t>SÖDERMANLANDS LÄN</t>
        </is>
      </c>
      <c r="E717" t="inlineStr">
        <is>
          <t>VINGÅKER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21555-2019</t>
        </is>
      </c>
      <c r="B718" s="1" t="n">
        <v>43580</v>
      </c>
      <c r="C718" s="1" t="n">
        <v>45761</v>
      </c>
      <c r="D718" t="inlineStr">
        <is>
          <t>SÖDERMANLANDS LÄN</t>
        </is>
      </c>
      <c r="E718" t="inlineStr">
        <is>
          <t>ESKILSTUNA</t>
        </is>
      </c>
      <c r="G718" t="n">
        <v>3.6</v>
      </c>
      <c r="H718" t="n">
        <v>0</v>
      </c>
      <c r="I718" t="n">
        <v>0</v>
      </c>
      <c r="J718" t="n">
        <v>0</v>
      </c>
      <c r="K718" t="n">
        <v>0</v>
      </c>
      <c r="L718" t="n">
        <v>0</v>
      </c>
      <c r="M718" t="n">
        <v>0</v>
      </c>
      <c r="N718" t="n">
        <v>0</v>
      </c>
      <c r="O718" t="n">
        <v>0</v>
      </c>
      <c r="P718" t="n">
        <v>0</v>
      </c>
      <c r="Q718" t="n">
        <v>0</v>
      </c>
      <c r="R718" s="2" t="inlineStr"/>
    </row>
    <row r="719" ht="15" customHeight="1">
      <c r="A719" t="inlineStr">
        <is>
          <t>A 21575-2019</t>
        </is>
      </c>
      <c r="B719" s="1" t="n">
        <v>43580</v>
      </c>
      <c r="C719" s="1" t="n">
        <v>45761</v>
      </c>
      <c r="D719" t="inlineStr">
        <is>
          <t>SÖDERMANLANDS LÄN</t>
        </is>
      </c>
      <c r="E719" t="inlineStr">
        <is>
          <t>VINGÅKER</t>
        </is>
      </c>
      <c r="G719" t="n">
        <v>2.4</v>
      </c>
      <c r="H719" t="n">
        <v>0</v>
      </c>
      <c r="I719" t="n">
        <v>0</v>
      </c>
      <c r="J719" t="n">
        <v>0</v>
      </c>
      <c r="K719" t="n">
        <v>0</v>
      </c>
      <c r="L719" t="n">
        <v>0</v>
      </c>
      <c r="M719" t="n">
        <v>0</v>
      </c>
      <c r="N719" t="n">
        <v>0</v>
      </c>
      <c r="O719" t="n">
        <v>0</v>
      </c>
      <c r="P719" t="n">
        <v>0</v>
      </c>
      <c r="Q719" t="n">
        <v>0</v>
      </c>
      <c r="R719" s="2" t="inlineStr"/>
    </row>
    <row r="720" ht="15" customHeight="1">
      <c r="A720" t="inlineStr">
        <is>
          <t>A 21632-2019</t>
        </is>
      </c>
      <c r="B720" s="1" t="n">
        <v>43580</v>
      </c>
      <c r="C720" s="1" t="n">
        <v>45761</v>
      </c>
      <c r="D720" t="inlineStr">
        <is>
          <t>SÖDERMANLANDS LÄN</t>
        </is>
      </c>
      <c r="E720" t="inlineStr">
        <is>
          <t>VINGÅKER</t>
        </is>
      </c>
      <c r="G720" t="n">
        <v>4.6</v>
      </c>
      <c r="H720" t="n">
        <v>0</v>
      </c>
      <c r="I720" t="n">
        <v>0</v>
      </c>
      <c r="J720" t="n">
        <v>0</v>
      </c>
      <c r="K720" t="n">
        <v>0</v>
      </c>
      <c r="L720" t="n">
        <v>0</v>
      </c>
      <c r="M720" t="n">
        <v>0</v>
      </c>
      <c r="N720" t="n">
        <v>0</v>
      </c>
      <c r="O720" t="n">
        <v>0</v>
      </c>
      <c r="P720" t="n">
        <v>0</v>
      </c>
      <c r="Q720" t="n">
        <v>0</v>
      </c>
      <c r="R720" s="2" t="inlineStr"/>
    </row>
    <row r="721" ht="15" customHeight="1">
      <c r="A721" t="inlineStr">
        <is>
          <t>A 21472-2019</t>
        </is>
      </c>
      <c r="B721" s="1" t="n">
        <v>43580</v>
      </c>
      <c r="C721" s="1" t="n">
        <v>45761</v>
      </c>
      <c r="D721" t="inlineStr">
        <is>
          <t>SÖDERMANLANDS LÄN</t>
        </is>
      </c>
      <c r="E721" t="inlineStr">
        <is>
          <t>ESKILSTUNA</t>
        </is>
      </c>
      <c r="F721" t="inlineStr">
        <is>
          <t>Kyrkan</t>
        </is>
      </c>
      <c r="G721" t="n">
        <v>0.7</v>
      </c>
      <c r="H721" t="n">
        <v>0</v>
      </c>
      <c r="I721" t="n">
        <v>0</v>
      </c>
      <c r="J721" t="n">
        <v>0</v>
      </c>
      <c r="K721" t="n">
        <v>0</v>
      </c>
      <c r="L721" t="n">
        <v>0</v>
      </c>
      <c r="M721" t="n">
        <v>0</v>
      </c>
      <c r="N721" t="n">
        <v>0</v>
      </c>
      <c r="O721" t="n">
        <v>0</v>
      </c>
      <c r="P721" t="n">
        <v>0</v>
      </c>
      <c r="Q721" t="n">
        <v>0</v>
      </c>
      <c r="R721" s="2" t="inlineStr"/>
    </row>
    <row r="722" ht="15" customHeight="1">
      <c r="A722" t="inlineStr">
        <is>
          <t>A 21630-2019</t>
        </is>
      </c>
      <c r="B722" s="1" t="n">
        <v>43580</v>
      </c>
      <c r="C722" s="1" t="n">
        <v>45761</v>
      </c>
      <c r="D722" t="inlineStr">
        <is>
          <t>SÖDERMANLANDS LÄN</t>
        </is>
      </c>
      <c r="E722" t="inlineStr">
        <is>
          <t>VINGÅKER</t>
        </is>
      </c>
      <c r="G722" t="n">
        <v>4.2</v>
      </c>
      <c r="H722" t="n">
        <v>0</v>
      </c>
      <c r="I722" t="n">
        <v>0</v>
      </c>
      <c r="J722" t="n">
        <v>0</v>
      </c>
      <c r="K722" t="n">
        <v>0</v>
      </c>
      <c r="L722" t="n">
        <v>0</v>
      </c>
      <c r="M722" t="n">
        <v>0</v>
      </c>
      <c r="N722" t="n">
        <v>0</v>
      </c>
      <c r="O722" t="n">
        <v>0</v>
      </c>
      <c r="P722" t="n">
        <v>0</v>
      </c>
      <c r="Q722" t="n">
        <v>0</v>
      </c>
      <c r="R722" s="2" t="inlineStr"/>
    </row>
    <row r="723" ht="15" customHeight="1">
      <c r="A723" t="inlineStr">
        <is>
          <t>A 21627-2019</t>
        </is>
      </c>
      <c r="B723" s="1" t="n">
        <v>43580</v>
      </c>
      <c r="C723" s="1" t="n">
        <v>45761</v>
      </c>
      <c r="D723" t="inlineStr">
        <is>
          <t>SÖDERMANLANDS LÄN</t>
        </is>
      </c>
      <c r="E723" t="inlineStr">
        <is>
          <t>VINGÅKER</t>
        </is>
      </c>
      <c r="G723" t="n">
        <v>13.1</v>
      </c>
      <c r="H723" t="n">
        <v>0</v>
      </c>
      <c r="I723" t="n">
        <v>0</v>
      </c>
      <c r="J723" t="n">
        <v>0</v>
      </c>
      <c r="K723" t="n">
        <v>0</v>
      </c>
      <c r="L723" t="n">
        <v>0</v>
      </c>
      <c r="M723" t="n">
        <v>0</v>
      </c>
      <c r="N723" t="n">
        <v>0</v>
      </c>
      <c r="O723" t="n">
        <v>0</v>
      </c>
      <c r="P723" t="n">
        <v>0</v>
      </c>
      <c r="Q723" t="n">
        <v>0</v>
      </c>
      <c r="R723" s="2" t="inlineStr"/>
    </row>
    <row r="724" ht="15" customHeight="1">
      <c r="A724" t="inlineStr">
        <is>
          <t>A 21585-2019</t>
        </is>
      </c>
      <c r="B724" s="1" t="n">
        <v>43580</v>
      </c>
      <c r="C724" s="1" t="n">
        <v>45761</v>
      </c>
      <c r="D724" t="inlineStr">
        <is>
          <t>SÖDERMANLANDS LÄN</t>
        </is>
      </c>
      <c r="E724" t="inlineStr">
        <is>
          <t>NYKÖPING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21691-2019</t>
        </is>
      </c>
      <c r="B725" s="1" t="n">
        <v>43581</v>
      </c>
      <c r="C725" s="1" t="n">
        <v>45761</v>
      </c>
      <c r="D725" t="inlineStr">
        <is>
          <t>SÖDERMANLANDS LÄN</t>
        </is>
      </c>
      <c r="E725" t="inlineStr">
        <is>
          <t>GNESTA</t>
        </is>
      </c>
      <c r="G725" t="n">
        <v>1.2</v>
      </c>
      <c r="H725" t="n">
        <v>0</v>
      </c>
      <c r="I725" t="n">
        <v>0</v>
      </c>
      <c r="J725" t="n">
        <v>0</v>
      </c>
      <c r="K725" t="n">
        <v>0</v>
      </c>
      <c r="L725" t="n">
        <v>0</v>
      </c>
      <c r="M725" t="n">
        <v>0</v>
      </c>
      <c r="N725" t="n">
        <v>0</v>
      </c>
      <c r="O725" t="n">
        <v>0</v>
      </c>
      <c r="P725" t="n">
        <v>0</v>
      </c>
      <c r="Q725" t="n">
        <v>0</v>
      </c>
      <c r="R725" s="2" t="inlineStr"/>
    </row>
    <row r="726" ht="15" customHeight="1">
      <c r="A726" t="inlineStr">
        <is>
          <t>A 21994-2019</t>
        </is>
      </c>
      <c r="B726" s="1" t="n">
        <v>43581</v>
      </c>
      <c r="C726" s="1" t="n">
        <v>45761</v>
      </c>
      <c r="D726" t="inlineStr">
        <is>
          <t>SÖDERMANLANDS LÄN</t>
        </is>
      </c>
      <c r="E726" t="inlineStr">
        <is>
          <t>KATRINEHOLM</t>
        </is>
      </c>
      <c r="G726" t="n">
        <v>0.9</v>
      </c>
      <c r="H726" t="n">
        <v>0</v>
      </c>
      <c r="I726" t="n">
        <v>0</v>
      </c>
      <c r="J726" t="n">
        <v>0</v>
      </c>
      <c r="K726" t="n">
        <v>0</v>
      </c>
      <c r="L726" t="n">
        <v>0</v>
      </c>
      <c r="M726" t="n">
        <v>0</v>
      </c>
      <c r="N726" t="n">
        <v>0</v>
      </c>
      <c r="O726" t="n">
        <v>0</v>
      </c>
      <c r="P726" t="n">
        <v>0</v>
      </c>
      <c r="Q726" t="n">
        <v>0</v>
      </c>
      <c r="R726" s="2" t="inlineStr"/>
    </row>
    <row r="727" ht="15" customHeight="1">
      <c r="A727" t="inlineStr">
        <is>
          <t>A 21694-2019</t>
        </is>
      </c>
      <c r="B727" s="1" t="n">
        <v>43581</v>
      </c>
      <c r="C727" s="1" t="n">
        <v>45761</v>
      </c>
      <c r="D727" t="inlineStr">
        <is>
          <t>SÖDERMANLANDS LÄN</t>
        </is>
      </c>
      <c r="E727" t="inlineStr">
        <is>
          <t>NYKÖPING</t>
        </is>
      </c>
      <c r="G727" t="n">
        <v>3.4</v>
      </c>
      <c r="H727" t="n">
        <v>0</v>
      </c>
      <c r="I727" t="n">
        <v>0</v>
      </c>
      <c r="J727" t="n">
        <v>0</v>
      </c>
      <c r="K727" t="n">
        <v>0</v>
      </c>
      <c r="L727" t="n">
        <v>0</v>
      </c>
      <c r="M727" t="n">
        <v>0</v>
      </c>
      <c r="N727" t="n">
        <v>0</v>
      </c>
      <c r="O727" t="n">
        <v>0</v>
      </c>
      <c r="P727" t="n">
        <v>0</v>
      </c>
      <c r="Q727" t="n">
        <v>0</v>
      </c>
      <c r="R727" s="2" t="inlineStr"/>
    </row>
    <row r="728" ht="15" customHeight="1">
      <c r="A728" t="inlineStr">
        <is>
          <t>A 22100-2019</t>
        </is>
      </c>
      <c r="B728" s="1" t="n">
        <v>43584</v>
      </c>
      <c r="C728" s="1" t="n">
        <v>45761</v>
      </c>
      <c r="D728" t="inlineStr">
        <is>
          <t>SÖDERMANLANDS LÄN</t>
        </is>
      </c>
      <c r="E728" t="inlineStr">
        <is>
          <t>GNESTA</t>
        </is>
      </c>
      <c r="G728" t="n">
        <v>2.2</v>
      </c>
      <c r="H728" t="n">
        <v>0</v>
      </c>
      <c r="I728" t="n">
        <v>0</v>
      </c>
      <c r="J728" t="n">
        <v>0</v>
      </c>
      <c r="K728" t="n">
        <v>0</v>
      </c>
      <c r="L728" t="n">
        <v>0</v>
      </c>
      <c r="M728" t="n">
        <v>0</v>
      </c>
      <c r="N728" t="n">
        <v>0</v>
      </c>
      <c r="O728" t="n">
        <v>0</v>
      </c>
      <c r="P728" t="n">
        <v>0</v>
      </c>
      <c r="Q728" t="n">
        <v>0</v>
      </c>
      <c r="R728" s="2" t="inlineStr"/>
    </row>
    <row r="729" ht="15" customHeight="1">
      <c r="A729" t="inlineStr">
        <is>
          <t>A 22101-2019</t>
        </is>
      </c>
      <c r="B729" s="1" t="n">
        <v>43584</v>
      </c>
      <c r="C729" s="1" t="n">
        <v>45761</v>
      </c>
      <c r="D729" t="inlineStr">
        <is>
          <t>SÖDERMANLANDS LÄN</t>
        </is>
      </c>
      <c r="E729" t="inlineStr">
        <is>
          <t>GNESTA</t>
        </is>
      </c>
      <c r="G729" t="n">
        <v>1.5</v>
      </c>
      <c r="H729" t="n">
        <v>0</v>
      </c>
      <c r="I729" t="n">
        <v>0</v>
      </c>
      <c r="J729" t="n">
        <v>0</v>
      </c>
      <c r="K729" t="n">
        <v>0</v>
      </c>
      <c r="L729" t="n">
        <v>0</v>
      </c>
      <c r="M729" t="n">
        <v>0</v>
      </c>
      <c r="N729" t="n">
        <v>0</v>
      </c>
      <c r="O729" t="n">
        <v>0</v>
      </c>
      <c r="P729" t="n">
        <v>0</v>
      </c>
      <c r="Q729" t="n">
        <v>0</v>
      </c>
      <c r="R729" s="2" t="inlineStr"/>
    </row>
    <row r="730" ht="15" customHeight="1">
      <c r="A730" t="inlineStr">
        <is>
          <t>A 21920-2019</t>
        </is>
      </c>
      <c r="B730" s="1" t="n">
        <v>43584</v>
      </c>
      <c r="C730" s="1" t="n">
        <v>45761</v>
      </c>
      <c r="D730" t="inlineStr">
        <is>
          <t>SÖDERMANLANDS LÄN</t>
        </is>
      </c>
      <c r="E730" t="inlineStr">
        <is>
          <t>FLEN</t>
        </is>
      </c>
      <c r="G730" t="n">
        <v>6.8</v>
      </c>
      <c r="H730" t="n">
        <v>0</v>
      </c>
      <c r="I730" t="n">
        <v>0</v>
      </c>
      <c r="J730" t="n">
        <v>0</v>
      </c>
      <c r="K730" t="n">
        <v>0</v>
      </c>
      <c r="L730" t="n">
        <v>0</v>
      </c>
      <c r="M730" t="n">
        <v>0</v>
      </c>
      <c r="N730" t="n">
        <v>0</v>
      </c>
      <c r="O730" t="n">
        <v>0</v>
      </c>
      <c r="P730" t="n">
        <v>0</v>
      </c>
      <c r="Q730" t="n">
        <v>0</v>
      </c>
      <c r="R730" s="2" t="inlineStr"/>
    </row>
    <row r="731" ht="15" customHeight="1">
      <c r="A731" t="inlineStr">
        <is>
          <t>A 22217-2019</t>
        </is>
      </c>
      <c r="B731" s="1" t="n">
        <v>43585</v>
      </c>
      <c r="C731" s="1" t="n">
        <v>45761</v>
      </c>
      <c r="D731" t="inlineStr">
        <is>
          <t>SÖDERMANLANDS LÄN</t>
        </is>
      </c>
      <c r="E731" t="inlineStr">
        <is>
          <t>ESKILSTUNA</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22503-2019</t>
        </is>
      </c>
      <c r="B732" s="1" t="n">
        <v>43587</v>
      </c>
      <c r="C732" s="1" t="n">
        <v>45761</v>
      </c>
      <c r="D732" t="inlineStr">
        <is>
          <t>SÖDERMANLANDS LÄN</t>
        </is>
      </c>
      <c r="E732" t="inlineStr">
        <is>
          <t>VINGÅKER</t>
        </is>
      </c>
      <c r="G732" t="n">
        <v>4.1</v>
      </c>
      <c r="H732" t="n">
        <v>0</v>
      </c>
      <c r="I732" t="n">
        <v>0</v>
      </c>
      <c r="J732" t="n">
        <v>0</v>
      </c>
      <c r="K732" t="n">
        <v>0</v>
      </c>
      <c r="L732" t="n">
        <v>0</v>
      </c>
      <c r="M732" t="n">
        <v>0</v>
      </c>
      <c r="N732" t="n">
        <v>0</v>
      </c>
      <c r="O732" t="n">
        <v>0</v>
      </c>
      <c r="P732" t="n">
        <v>0</v>
      </c>
      <c r="Q732" t="n">
        <v>0</v>
      </c>
      <c r="R732" s="2" t="inlineStr"/>
    </row>
    <row r="733" ht="15" customHeight="1">
      <c r="A733" t="inlineStr">
        <is>
          <t>A 22691-2019</t>
        </is>
      </c>
      <c r="B733" s="1" t="n">
        <v>43588</v>
      </c>
      <c r="C733" s="1" t="n">
        <v>45761</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23055-2019</t>
        </is>
      </c>
      <c r="B734" s="1" t="n">
        <v>43591</v>
      </c>
      <c r="C734" s="1" t="n">
        <v>45761</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23053-2019</t>
        </is>
      </c>
      <c r="B735" s="1" t="n">
        <v>43591</v>
      </c>
      <c r="C735" s="1" t="n">
        <v>45761</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22839-2019</t>
        </is>
      </c>
      <c r="B736" s="1" t="n">
        <v>43591</v>
      </c>
      <c r="C736" s="1" t="n">
        <v>45761</v>
      </c>
      <c r="D736" t="inlineStr">
        <is>
          <t>SÖDERMANLANDS LÄN</t>
        </is>
      </c>
      <c r="E736" t="inlineStr">
        <is>
          <t>KATRINEHOLM</t>
        </is>
      </c>
      <c r="G736" t="n">
        <v>4.2</v>
      </c>
      <c r="H736" t="n">
        <v>0</v>
      </c>
      <c r="I736" t="n">
        <v>0</v>
      </c>
      <c r="J736" t="n">
        <v>0</v>
      </c>
      <c r="K736" t="n">
        <v>0</v>
      </c>
      <c r="L736" t="n">
        <v>0</v>
      </c>
      <c r="M736" t="n">
        <v>0</v>
      </c>
      <c r="N736" t="n">
        <v>0</v>
      </c>
      <c r="O736" t="n">
        <v>0</v>
      </c>
      <c r="P736" t="n">
        <v>0</v>
      </c>
      <c r="Q736" t="n">
        <v>0</v>
      </c>
      <c r="R736" s="2" t="inlineStr"/>
    </row>
    <row r="737" ht="15" customHeight="1">
      <c r="A737" t="inlineStr">
        <is>
          <t>A 23265-2019</t>
        </is>
      </c>
      <c r="B737" s="1" t="n">
        <v>43591</v>
      </c>
      <c r="C737" s="1" t="n">
        <v>45761</v>
      </c>
      <c r="D737" t="inlineStr">
        <is>
          <t>SÖDERMANLANDS LÄN</t>
        </is>
      </c>
      <c r="E737" t="inlineStr">
        <is>
          <t>STRÄNGNÄS</t>
        </is>
      </c>
      <c r="G737" t="n">
        <v>12.7</v>
      </c>
      <c r="H737" t="n">
        <v>0</v>
      </c>
      <c r="I737" t="n">
        <v>0</v>
      </c>
      <c r="J737" t="n">
        <v>0</v>
      </c>
      <c r="K737" t="n">
        <v>0</v>
      </c>
      <c r="L737" t="n">
        <v>0</v>
      </c>
      <c r="M737" t="n">
        <v>0</v>
      </c>
      <c r="N737" t="n">
        <v>0</v>
      </c>
      <c r="O737" t="n">
        <v>0</v>
      </c>
      <c r="P737" t="n">
        <v>0</v>
      </c>
      <c r="Q737" t="n">
        <v>0</v>
      </c>
      <c r="R737" s="2" t="inlineStr"/>
    </row>
    <row r="738" ht="15" customHeight="1">
      <c r="A738" t="inlineStr">
        <is>
          <t>A 23244-2019</t>
        </is>
      </c>
      <c r="B738" s="1" t="n">
        <v>43592</v>
      </c>
      <c r="C738" s="1" t="n">
        <v>45761</v>
      </c>
      <c r="D738" t="inlineStr">
        <is>
          <t>SÖDERMANLANDS LÄN</t>
        </is>
      </c>
      <c r="E738" t="inlineStr">
        <is>
          <t>VINGÅKER</t>
        </is>
      </c>
      <c r="F738" t="inlineStr">
        <is>
          <t>Kyrkan</t>
        </is>
      </c>
      <c r="G738" t="n">
        <v>2.9</v>
      </c>
      <c r="H738" t="n">
        <v>0</v>
      </c>
      <c r="I738" t="n">
        <v>0</v>
      </c>
      <c r="J738" t="n">
        <v>0</v>
      </c>
      <c r="K738" t="n">
        <v>0</v>
      </c>
      <c r="L738" t="n">
        <v>0</v>
      </c>
      <c r="M738" t="n">
        <v>0</v>
      </c>
      <c r="N738" t="n">
        <v>0</v>
      </c>
      <c r="O738" t="n">
        <v>0</v>
      </c>
      <c r="P738" t="n">
        <v>0</v>
      </c>
      <c r="Q738" t="n">
        <v>0</v>
      </c>
      <c r="R738" s="2" t="inlineStr"/>
    </row>
    <row r="739" ht="15" customHeight="1">
      <c r="A739" t="inlineStr">
        <is>
          <t>A 23267-2019</t>
        </is>
      </c>
      <c r="B739" s="1" t="n">
        <v>43592</v>
      </c>
      <c r="C739" s="1" t="n">
        <v>45761</v>
      </c>
      <c r="D739" t="inlineStr">
        <is>
          <t>SÖDERMANLANDS LÄN</t>
        </is>
      </c>
      <c r="E739" t="inlineStr">
        <is>
          <t>STRÄNGNÄS</t>
        </is>
      </c>
      <c r="G739" t="n">
        <v>12.1</v>
      </c>
      <c r="H739" t="n">
        <v>0</v>
      </c>
      <c r="I739" t="n">
        <v>0</v>
      </c>
      <c r="J739" t="n">
        <v>0</v>
      </c>
      <c r="K739" t="n">
        <v>0</v>
      </c>
      <c r="L739" t="n">
        <v>0</v>
      </c>
      <c r="M739" t="n">
        <v>0</v>
      </c>
      <c r="N739" t="n">
        <v>0</v>
      </c>
      <c r="O739" t="n">
        <v>0</v>
      </c>
      <c r="P739" t="n">
        <v>0</v>
      </c>
      <c r="Q739" t="n">
        <v>0</v>
      </c>
      <c r="R739" s="2" t="inlineStr"/>
    </row>
    <row r="740" ht="15" customHeight="1">
      <c r="A740" t="inlineStr">
        <is>
          <t>A 23506-2019</t>
        </is>
      </c>
      <c r="B740" s="1" t="n">
        <v>43593</v>
      </c>
      <c r="C740" s="1" t="n">
        <v>45761</v>
      </c>
      <c r="D740" t="inlineStr">
        <is>
          <t>SÖDERMANLANDS LÄN</t>
        </is>
      </c>
      <c r="E740" t="inlineStr">
        <is>
          <t>GNESTA</t>
        </is>
      </c>
      <c r="G740" t="n">
        <v>7.7</v>
      </c>
      <c r="H740" t="n">
        <v>0</v>
      </c>
      <c r="I740" t="n">
        <v>0</v>
      </c>
      <c r="J740" t="n">
        <v>0</v>
      </c>
      <c r="K740" t="n">
        <v>0</v>
      </c>
      <c r="L740" t="n">
        <v>0</v>
      </c>
      <c r="M740" t="n">
        <v>0</v>
      </c>
      <c r="N740" t="n">
        <v>0</v>
      </c>
      <c r="O740" t="n">
        <v>0</v>
      </c>
      <c r="P740" t="n">
        <v>0</v>
      </c>
      <c r="Q740" t="n">
        <v>0</v>
      </c>
      <c r="R740" s="2" t="inlineStr"/>
    </row>
    <row r="741" ht="15" customHeight="1">
      <c r="A741" t="inlineStr">
        <is>
          <t>A 23679-2019</t>
        </is>
      </c>
      <c r="B741" s="1" t="n">
        <v>43594</v>
      </c>
      <c r="C741" s="1" t="n">
        <v>45761</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23553-2019</t>
        </is>
      </c>
      <c r="B742" s="1" t="n">
        <v>43594</v>
      </c>
      <c r="C742" s="1" t="n">
        <v>45761</v>
      </c>
      <c r="D742" t="inlineStr">
        <is>
          <t>SÖDERMANLANDS LÄN</t>
        </is>
      </c>
      <c r="E742" t="inlineStr">
        <is>
          <t>NYKÖPING</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23769-2019</t>
        </is>
      </c>
      <c r="B743" s="1" t="n">
        <v>43595</v>
      </c>
      <c r="C743" s="1" t="n">
        <v>45761</v>
      </c>
      <c r="D743" t="inlineStr">
        <is>
          <t>SÖDERMANLANDS LÄN</t>
        </is>
      </c>
      <c r="E743" t="inlineStr">
        <is>
          <t>ESKILSTUNA</t>
        </is>
      </c>
      <c r="G743" t="n">
        <v>1</v>
      </c>
      <c r="H743" t="n">
        <v>0</v>
      </c>
      <c r="I743" t="n">
        <v>0</v>
      </c>
      <c r="J743" t="n">
        <v>0</v>
      </c>
      <c r="K743" t="n">
        <v>0</v>
      </c>
      <c r="L743" t="n">
        <v>0</v>
      </c>
      <c r="M743" t="n">
        <v>0</v>
      </c>
      <c r="N743" t="n">
        <v>0</v>
      </c>
      <c r="O743" t="n">
        <v>0</v>
      </c>
      <c r="P743" t="n">
        <v>0</v>
      </c>
      <c r="Q743" t="n">
        <v>0</v>
      </c>
      <c r="R743" s="2" t="inlineStr"/>
    </row>
    <row r="744" ht="15" customHeight="1">
      <c r="A744" t="inlineStr">
        <is>
          <t>A 24069-2019</t>
        </is>
      </c>
      <c r="B744" s="1" t="n">
        <v>43598</v>
      </c>
      <c r="C744" s="1" t="n">
        <v>45761</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24368-2019</t>
        </is>
      </c>
      <c r="B745" s="1" t="n">
        <v>43599</v>
      </c>
      <c r="C745" s="1" t="n">
        <v>45761</v>
      </c>
      <c r="D745" t="inlineStr">
        <is>
          <t>SÖDERMANLANDS LÄN</t>
        </is>
      </c>
      <c r="E745" t="inlineStr">
        <is>
          <t>NYKÖPING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24192-2019</t>
        </is>
      </c>
      <c r="B746" s="1" t="n">
        <v>43599</v>
      </c>
      <c r="C746" s="1" t="n">
        <v>45761</v>
      </c>
      <c r="D746" t="inlineStr">
        <is>
          <t>SÖDERMANLANDS LÄN</t>
        </is>
      </c>
      <c r="E746" t="inlineStr">
        <is>
          <t>KATRINEHOLM</t>
        </is>
      </c>
      <c r="G746" t="n">
        <v>4</v>
      </c>
      <c r="H746" t="n">
        <v>0</v>
      </c>
      <c r="I746" t="n">
        <v>0</v>
      </c>
      <c r="J746" t="n">
        <v>0</v>
      </c>
      <c r="K746" t="n">
        <v>0</v>
      </c>
      <c r="L746" t="n">
        <v>0</v>
      </c>
      <c r="M746" t="n">
        <v>0</v>
      </c>
      <c r="N746" t="n">
        <v>0</v>
      </c>
      <c r="O746" t="n">
        <v>0</v>
      </c>
      <c r="P746" t="n">
        <v>0</v>
      </c>
      <c r="Q746" t="n">
        <v>0</v>
      </c>
      <c r="R746" s="2" t="inlineStr"/>
    </row>
    <row r="747" ht="15" customHeight="1">
      <c r="A747" t="inlineStr">
        <is>
          <t>A 24622-2019</t>
        </is>
      </c>
      <c r="B747" s="1" t="n">
        <v>43601</v>
      </c>
      <c r="C747" s="1" t="n">
        <v>45761</v>
      </c>
      <c r="D747" t="inlineStr">
        <is>
          <t>SÖDERMANLANDS LÄN</t>
        </is>
      </c>
      <c r="E747" t="inlineStr">
        <is>
          <t>NYKÖPING</t>
        </is>
      </c>
      <c r="G747" t="n">
        <v>6.9</v>
      </c>
      <c r="H747" t="n">
        <v>0</v>
      </c>
      <c r="I747" t="n">
        <v>0</v>
      </c>
      <c r="J747" t="n">
        <v>0</v>
      </c>
      <c r="K747" t="n">
        <v>0</v>
      </c>
      <c r="L747" t="n">
        <v>0</v>
      </c>
      <c r="M747" t="n">
        <v>0</v>
      </c>
      <c r="N747" t="n">
        <v>0</v>
      </c>
      <c r="O747" t="n">
        <v>0</v>
      </c>
      <c r="P747" t="n">
        <v>0</v>
      </c>
      <c r="Q747" t="n">
        <v>0</v>
      </c>
      <c r="R747" s="2" t="inlineStr"/>
    </row>
    <row r="748" ht="15" customHeight="1">
      <c r="A748" t="inlineStr">
        <is>
          <t>A 24616-2019</t>
        </is>
      </c>
      <c r="B748" s="1" t="n">
        <v>43601</v>
      </c>
      <c r="C748" s="1" t="n">
        <v>45761</v>
      </c>
      <c r="D748" t="inlineStr">
        <is>
          <t>SÖDERMANLANDS LÄN</t>
        </is>
      </c>
      <c r="E748" t="inlineStr">
        <is>
          <t>NYKÖPING</t>
        </is>
      </c>
      <c r="G748" t="n">
        <v>2.4</v>
      </c>
      <c r="H748" t="n">
        <v>0</v>
      </c>
      <c r="I748" t="n">
        <v>0</v>
      </c>
      <c r="J748" t="n">
        <v>0</v>
      </c>
      <c r="K748" t="n">
        <v>0</v>
      </c>
      <c r="L748" t="n">
        <v>0</v>
      </c>
      <c r="M748" t="n">
        <v>0</v>
      </c>
      <c r="N748" t="n">
        <v>0</v>
      </c>
      <c r="O748" t="n">
        <v>0</v>
      </c>
      <c r="P748" t="n">
        <v>0</v>
      </c>
      <c r="Q748" t="n">
        <v>0</v>
      </c>
      <c r="R748" s="2" t="inlineStr"/>
    </row>
    <row r="749" ht="15" customHeight="1">
      <c r="A749" t="inlineStr">
        <is>
          <t>A 25195-2019</t>
        </is>
      </c>
      <c r="B749" s="1" t="n">
        <v>43605</v>
      </c>
      <c r="C749" s="1" t="n">
        <v>45761</v>
      </c>
      <c r="D749" t="inlineStr">
        <is>
          <t>SÖDERMANLANDS LÄN</t>
        </is>
      </c>
      <c r="E749" t="inlineStr">
        <is>
          <t>KATRINEHOLM</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25294-2019</t>
        </is>
      </c>
      <c r="B750" s="1" t="n">
        <v>43605</v>
      </c>
      <c r="C750" s="1" t="n">
        <v>45761</v>
      </c>
      <c r="D750" t="inlineStr">
        <is>
          <t>SÖDERMANLANDS LÄN</t>
        </is>
      </c>
      <c r="E750" t="inlineStr">
        <is>
          <t>GNESTA</t>
        </is>
      </c>
      <c r="F750" t="inlineStr">
        <is>
          <t>Kommuner</t>
        </is>
      </c>
      <c r="G750" t="n">
        <v>4.1</v>
      </c>
      <c r="H750" t="n">
        <v>0</v>
      </c>
      <c r="I750" t="n">
        <v>0</v>
      </c>
      <c r="J750" t="n">
        <v>0</v>
      </c>
      <c r="K750" t="n">
        <v>0</v>
      </c>
      <c r="L750" t="n">
        <v>0</v>
      </c>
      <c r="M750" t="n">
        <v>0</v>
      </c>
      <c r="N750" t="n">
        <v>0</v>
      </c>
      <c r="O750" t="n">
        <v>0</v>
      </c>
      <c r="P750" t="n">
        <v>0</v>
      </c>
      <c r="Q750" t="n">
        <v>0</v>
      </c>
      <c r="R750" s="2" t="inlineStr"/>
    </row>
    <row r="751" ht="15" customHeight="1">
      <c r="A751" t="inlineStr">
        <is>
          <t>A 26460-2019</t>
        </is>
      </c>
      <c r="B751" s="1" t="n">
        <v>43606</v>
      </c>
      <c r="C751" s="1" t="n">
        <v>45761</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25570-2019</t>
        </is>
      </c>
      <c r="B752" s="1" t="n">
        <v>43607</v>
      </c>
      <c r="C752" s="1" t="n">
        <v>45761</v>
      </c>
      <c r="D752" t="inlineStr">
        <is>
          <t>SÖDERMANLANDS LÄN</t>
        </is>
      </c>
      <c r="E752" t="inlineStr">
        <is>
          <t>KATRINEHOLM</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25805-2019</t>
        </is>
      </c>
      <c r="B753" s="1" t="n">
        <v>43608</v>
      </c>
      <c r="C753" s="1" t="n">
        <v>45761</v>
      </c>
      <c r="D753" t="inlineStr">
        <is>
          <t>SÖDERMANLANDS LÄN</t>
        </is>
      </c>
      <c r="E753" t="inlineStr">
        <is>
          <t>VINGÅKER</t>
        </is>
      </c>
      <c r="G753" t="n">
        <v>6.6</v>
      </c>
      <c r="H753" t="n">
        <v>0</v>
      </c>
      <c r="I753" t="n">
        <v>0</v>
      </c>
      <c r="J753" t="n">
        <v>0</v>
      </c>
      <c r="K753" t="n">
        <v>0</v>
      </c>
      <c r="L753" t="n">
        <v>0</v>
      </c>
      <c r="M753" t="n">
        <v>0</v>
      </c>
      <c r="N753" t="n">
        <v>0</v>
      </c>
      <c r="O753" t="n">
        <v>0</v>
      </c>
      <c r="P753" t="n">
        <v>0</v>
      </c>
      <c r="Q753" t="n">
        <v>0</v>
      </c>
      <c r="R753" s="2" t="inlineStr"/>
    </row>
    <row r="754" ht="15" customHeight="1">
      <c r="A754" t="inlineStr">
        <is>
          <t>A 25807-2019</t>
        </is>
      </c>
      <c r="B754" s="1" t="n">
        <v>43608</v>
      </c>
      <c r="C754" s="1" t="n">
        <v>45761</v>
      </c>
      <c r="D754" t="inlineStr">
        <is>
          <t>SÖDERMANLANDS LÄN</t>
        </is>
      </c>
      <c r="E754" t="inlineStr">
        <is>
          <t>VINGÅKER</t>
        </is>
      </c>
      <c r="G754" t="n">
        <v>0.5</v>
      </c>
      <c r="H754" t="n">
        <v>0</v>
      </c>
      <c r="I754" t="n">
        <v>0</v>
      </c>
      <c r="J754" t="n">
        <v>0</v>
      </c>
      <c r="K754" t="n">
        <v>0</v>
      </c>
      <c r="L754" t="n">
        <v>0</v>
      </c>
      <c r="M754" t="n">
        <v>0</v>
      </c>
      <c r="N754" t="n">
        <v>0</v>
      </c>
      <c r="O754" t="n">
        <v>0</v>
      </c>
      <c r="P754" t="n">
        <v>0</v>
      </c>
      <c r="Q754" t="n">
        <v>0</v>
      </c>
      <c r="R754" s="2" t="inlineStr"/>
    </row>
    <row r="755" ht="15" customHeight="1">
      <c r="A755" t="inlineStr">
        <is>
          <t>A 25802-2019</t>
        </is>
      </c>
      <c r="B755" s="1" t="n">
        <v>43608</v>
      </c>
      <c r="C755" s="1" t="n">
        <v>45761</v>
      </c>
      <c r="D755" t="inlineStr">
        <is>
          <t>SÖDERMANLANDS LÄN</t>
        </is>
      </c>
      <c r="E755" t="inlineStr">
        <is>
          <t>VINGÅKER</t>
        </is>
      </c>
      <c r="G755" t="n">
        <v>20.2</v>
      </c>
      <c r="H755" t="n">
        <v>0</v>
      </c>
      <c r="I755" t="n">
        <v>0</v>
      </c>
      <c r="J755" t="n">
        <v>0</v>
      </c>
      <c r="K755" t="n">
        <v>0</v>
      </c>
      <c r="L755" t="n">
        <v>0</v>
      </c>
      <c r="M755" t="n">
        <v>0</v>
      </c>
      <c r="N755" t="n">
        <v>0</v>
      </c>
      <c r="O755" t="n">
        <v>0</v>
      </c>
      <c r="P755" t="n">
        <v>0</v>
      </c>
      <c r="Q755" t="n">
        <v>0</v>
      </c>
      <c r="R755" s="2" t="inlineStr"/>
    </row>
    <row r="756" ht="15" customHeight="1">
      <c r="A756" t="inlineStr">
        <is>
          <t>A 26873-2019</t>
        </is>
      </c>
      <c r="B756" s="1" t="n">
        <v>43608</v>
      </c>
      <c r="C756" s="1" t="n">
        <v>45761</v>
      </c>
      <c r="D756" t="inlineStr">
        <is>
          <t>SÖDERMANLANDS LÄN</t>
        </is>
      </c>
      <c r="E756" t="inlineStr">
        <is>
          <t>VINGÅKER</t>
        </is>
      </c>
      <c r="G756" t="n">
        <v>5.4</v>
      </c>
      <c r="H756" t="n">
        <v>0</v>
      </c>
      <c r="I756" t="n">
        <v>0</v>
      </c>
      <c r="J756" t="n">
        <v>0</v>
      </c>
      <c r="K756" t="n">
        <v>0</v>
      </c>
      <c r="L756" t="n">
        <v>0</v>
      </c>
      <c r="M756" t="n">
        <v>0</v>
      </c>
      <c r="N756" t="n">
        <v>0</v>
      </c>
      <c r="O756" t="n">
        <v>0</v>
      </c>
      <c r="P756" t="n">
        <v>0</v>
      </c>
      <c r="Q756" t="n">
        <v>0</v>
      </c>
      <c r="R756" s="2" t="inlineStr"/>
    </row>
    <row r="757" ht="15" customHeight="1">
      <c r="A757" t="inlineStr">
        <is>
          <t>A 25936-2019</t>
        </is>
      </c>
      <c r="B757" s="1" t="n">
        <v>43608</v>
      </c>
      <c r="C757" s="1" t="n">
        <v>45761</v>
      </c>
      <c r="D757" t="inlineStr">
        <is>
          <t>SÖDERMANLANDS LÄN</t>
        </is>
      </c>
      <c r="E757" t="inlineStr">
        <is>
          <t>KATRINEHOLM</t>
        </is>
      </c>
      <c r="F757" t="inlineStr">
        <is>
          <t>Övriga Aktiebolag</t>
        </is>
      </c>
      <c r="G757" t="n">
        <v>1.4</v>
      </c>
      <c r="H757" t="n">
        <v>0</v>
      </c>
      <c r="I757" t="n">
        <v>0</v>
      </c>
      <c r="J757" t="n">
        <v>0</v>
      </c>
      <c r="K757" t="n">
        <v>0</v>
      </c>
      <c r="L757" t="n">
        <v>0</v>
      </c>
      <c r="M757" t="n">
        <v>0</v>
      </c>
      <c r="N757" t="n">
        <v>0</v>
      </c>
      <c r="O757" t="n">
        <v>0</v>
      </c>
      <c r="P757" t="n">
        <v>0</v>
      </c>
      <c r="Q757" t="n">
        <v>0</v>
      </c>
      <c r="R757" s="2" t="inlineStr"/>
    </row>
    <row r="758" ht="15" customHeight="1">
      <c r="A758" t="inlineStr">
        <is>
          <t>A 26339-2019</t>
        </is>
      </c>
      <c r="B758" s="1" t="n">
        <v>43612</v>
      </c>
      <c r="C758" s="1" t="n">
        <v>45761</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26532-2019</t>
        </is>
      </c>
      <c r="B759" s="1" t="n">
        <v>43612</v>
      </c>
      <c r="C759" s="1" t="n">
        <v>45761</v>
      </c>
      <c r="D759" t="inlineStr">
        <is>
          <t>SÖDERMANLANDS LÄN</t>
        </is>
      </c>
      <c r="E759" t="inlineStr">
        <is>
          <t>KATRINEHOLM</t>
        </is>
      </c>
      <c r="G759" t="n">
        <v>4.2</v>
      </c>
      <c r="H759" t="n">
        <v>0</v>
      </c>
      <c r="I759" t="n">
        <v>0</v>
      </c>
      <c r="J759" t="n">
        <v>0</v>
      </c>
      <c r="K759" t="n">
        <v>0</v>
      </c>
      <c r="L759" t="n">
        <v>0</v>
      </c>
      <c r="M759" t="n">
        <v>0</v>
      </c>
      <c r="N759" t="n">
        <v>0</v>
      </c>
      <c r="O759" t="n">
        <v>0</v>
      </c>
      <c r="P759" t="n">
        <v>0</v>
      </c>
      <c r="Q759" t="n">
        <v>0</v>
      </c>
      <c r="R759" s="2" t="inlineStr"/>
    </row>
    <row r="760" ht="15" customHeight="1">
      <c r="A760" t="inlineStr">
        <is>
          <t>A 27951-2019</t>
        </is>
      </c>
      <c r="B760" s="1" t="n">
        <v>43612</v>
      </c>
      <c r="C760" s="1" t="n">
        <v>45761</v>
      </c>
      <c r="D760" t="inlineStr">
        <is>
          <t>SÖDERMANLANDS LÄN</t>
        </is>
      </c>
      <c r="E760" t="inlineStr">
        <is>
          <t>STRÄNGNÄS</t>
        </is>
      </c>
      <c r="G760" t="n">
        <v>4.9</v>
      </c>
      <c r="H760" t="n">
        <v>0</v>
      </c>
      <c r="I760" t="n">
        <v>0</v>
      </c>
      <c r="J760" t="n">
        <v>0</v>
      </c>
      <c r="K760" t="n">
        <v>0</v>
      </c>
      <c r="L760" t="n">
        <v>0</v>
      </c>
      <c r="M760" t="n">
        <v>0</v>
      </c>
      <c r="N760" t="n">
        <v>0</v>
      </c>
      <c r="O760" t="n">
        <v>0</v>
      </c>
      <c r="P760" t="n">
        <v>0</v>
      </c>
      <c r="Q760" t="n">
        <v>0</v>
      </c>
      <c r="R760" s="2" t="inlineStr"/>
    </row>
    <row r="761" ht="15" customHeight="1">
      <c r="A761" t="inlineStr">
        <is>
          <t>A 26542-2019</t>
        </is>
      </c>
      <c r="B761" s="1" t="n">
        <v>43612</v>
      </c>
      <c r="C761" s="1" t="n">
        <v>45761</v>
      </c>
      <c r="D761" t="inlineStr">
        <is>
          <t>SÖDERMANLANDS LÄN</t>
        </is>
      </c>
      <c r="E761" t="inlineStr">
        <is>
          <t>NYKÖPING</t>
        </is>
      </c>
      <c r="F761" t="inlineStr">
        <is>
          <t>Kommuner</t>
        </is>
      </c>
      <c r="G761" t="n">
        <v>1.9</v>
      </c>
      <c r="H761" t="n">
        <v>0</v>
      </c>
      <c r="I761" t="n">
        <v>0</v>
      </c>
      <c r="J761" t="n">
        <v>0</v>
      </c>
      <c r="K761" t="n">
        <v>0</v>
      </c>
      <c r="L761" t="n">
        <v>0</v>
      </c>
      <c r="M761" t="n">
        <v>0</v>
      </c>
      <c r="N761" t="n">
        <v>0</v>
      </c>
      <c r="O761" t="n">
        <v>0</v>
      </c>
      <c r="P761" t="n">
        <v>0</v>
      </c>
      <c r="Q761" t="n">
        <v>0</v>
      </c>
      <c r="R761" s="2" t="inlineStr"/>
    </row>
    <row r="762" ht="15" customHeight="1">
      <c r="A762" t="inlineStr">
        <is>
          <t>A 26848-2019</t>
        </is>
      </c>
      <c r="B762" s="1" t="n">
        <v>43613</v>
      </c>
      <c r="C762" s="1" t="n">
        <v>45761</v>
      </c>
      <c r="D762" t="inlineStr">
        <is>
          <t>SÖDERMANLANDS LÄN</t>
        </is>
      </c>
      <c r="E762" t="inlineStr">
        <is>
          <t>VINGÅKER</t>
        </is>
      </c>
      <c r="F762" t="inlineStr">
        <is>
          <t>Kyrkan</t>
        </is>
      </c>
      <c r="G762" t="n">
        <v>2.6</v>
      </c>
      <c r="H762" t="n">
        <v>0</v>
      </c>
      <c r="I762" t="n">
        <v>0</v>
      </c>
      <c r="J762" t="n">
        <v>0</v>
      </c>
      <c r="K762" t="n">
        <v>0</v>
      </c>
      <c r="L762" t="n">
        <v>0</v>
      </c>
      <c r="M762" t="n">
        <v>0</v>
      </c>
      <c r="N762" t="n">
        <v>0</v>
      </c>
      <c r="O762" t="n">
        <v>0</v>
      </c>
      <c r="P762" t="n">
        <v>0</v>
      </c>
      <c r="Q762" t="n">
        <v>0</v>
      </c>
      <c r="R762" s="2" t="inlineStr"/>
    </row>
    <row r="763" ht="15" customHeight="1">
      <c r="A763" t="inlineStr">
        <is>
          <t>A 28673-2019</t>
        </is>
      </c>
      <c r="B763" s="1" t="n">
        <v>43614</v>
      </c>
      <c r="C763" s="1" t="n">
        <v>45761</v>
      </c>
      <c r="D763" t="inlineStr">
        <is>
          <t>SÖDERMANLANDS LÄN</t>
        </is>
      </c>
      <c r="E763" t="inlineStr">
        <is>
          <t>KATRINEHOLM</t>
        </is>
      </c>
      <c r="F763" t="inlineStr">
        <is>
          <t>Allmännings- och besparingsskogar</t>
        </is>
      </c>
      <c r="G763" t="n">
        <v>1.3</v>
      </c>
      <c r="H763" t="n">
        <v>0</v>
      </c>
      <c r="I763" t="n">
        <v>0</v>
      </c>
      <c r="J763" t="n">
        <v>0</v>
      </c>
      <c r="K763" t="n">
        <v>0</v>
      </c>
      <c r="L763" t="n">
        <v>0</v>
      </c>
      <c r="M763" t="n">
        <v>0</v>
      </c>
      <c r="N763" t="n">
        <v>0</v>
      </c>
      <c r="O763" t="n">
        <v>0</v>
      </c>
      <c r="P763" t="n">
        <v>0</v>
      </c>
      <c r="Q763" t="n">
        <v>0</v>
      </c>
      <c r="R763" s="2" t="inlineStr"/>
    </row>
    <row r="764" ht="15" customHeight="1">
      <c r="A764" t="inlineStr">
        <is>
          <t>A 27151-2019</t>
        </is>
      </c>
      <c r="B764" s="1" t="n">
        <v>43614</v>
      </c>
      <c r="C764" s="1" t="n">
        <v>45761</v>
      </c>
      <c r="D764" t="inlineStr">
        <is>
          <t>SÖDERMANLANDS LÄN</t>
        </is>
      </c>
      <c r="E764" t="inlineStr">
        <is>
          <t>ESKILSTUNA</t>
        </is>
      </c>
      <c r="F764" t="inlineStr">
        <is>
          <t>Allmännings- och besparingsskogar</t>
        </is>
      </c>
      <c r="G764" t="n">
        <v>2.2</v>
      </c>
      <c r="H764" t="n">
        <v>0</v>
      </c>
      <c r="I764" t="n">
        <v>0</v>
      </c>
      <c r="J764" t="n">
        <v>0</v>
      </c>
      <c r="K764" t="n">
        <v>0</v>
      </c>
      <c r="L764" t="n">
        <v>0</v>
      </c>
      <c r="M764" t="n">
        <v>0</v>
      </c>
      <c r="N764" t="n">
        <v>0</v>
      </c>
      <c r="O764" t="n">
        <v>0</v>
      </c>
      <c r="P764" t="n">
        <v>0</v>
      </c>
      <c r="Q764" t="n">
        <v>0</v>
      </c>
      <c r="R764" s="2" t="inlineStr"/>
    </row>
    <row r="765" ht="15" customHeight="1">
      <c r="A765" t="inlineStr">
        <is>
          <t>A 28911-2019</t>
        </is>
      </c>
      <c r="B765" s="1" t="n">
        <v>43616</v>
      </c>
      <c r="C765" s="1" t="n">
        <v>45761</v>
      </c>
      <c r="D765" t="inlineStr">
        <is>
          <t>SÖDERMANLANDS LÄN</t>
        </is>
      </c>
      <c r="E765" t="inlineStr">
        <is>
          <t>FLEN</t>
        </is>
      </c>
      <c r="G765" t="n">
        <v>3.4</v>
      </c>
      <c r="H765" t="n">
        <v>0</v>
      </c>
      <c r="I765" t="n">
        <v>0</v>
      </c>
      <c r="J765" t="n">
        <v>0</v>
      </c>
      <c r="K765" t="n">
        <v>0</v>
      </c>
      <c r="L765" t="n">
        <v>0</v>
      </c>
      <c r="M765" t="n">
        <v>0</v>
      </c>
      <c r="N765" t="n">
        <v>0</v>
      </c>
      <c r="O765" t="n">
        <v>0</v>
      </c>
      <c r="P765" t="n">
        <v>0</v>
      </c>
      <c r="Q765" t="n">
        <v>0</v>
      </c>
      <c r="R765" s="2" t="inlineStr"/>
    </row>
    <row r="766" ht="15" customHeight="1">
      <c r="A766" t="inlineStr">
        <is>
          <t>A 27620-2019</t>
        </is>
      </c>
      <c r="B766" s="1" t="n">
        <v>43619</v>
      </c>
      <c r="C766" s="1" t="n">
        <v>45761</v>
      </c>
      <c r="D766" t="inlineStr">
        <is>
          <t>SÖDERMANLANDS LÄN</t>
        </is>
      </c>
      <c r="E766" t="inlineStr">
        <is>
          <t>ESKILSTUNA</t>
        </is>
      </c>
      <c r="G766" t="n">
        <v>0.5</v>
      </c>
      <c r="H766" t="n">
        <v>0</v>
      </c>
      <c r="I766" t="n">
        <v>0</v>
      </c>
      <c r="J766" t="n">
        <v>0</v>
      </c>
      <c r="K766" t="n">
        <v>0</v>
      </c>
      <c r="L766" t="n">
        <v>0</v>
      </c>
      <c r="M766" t="n">
        <v>0</v>
      </c>
      <c r="N766" t="n">
        <v>0</v>
      </c>
      <c r="O766" t="n">
        <v>0</v>
      </c>
      <c r="P766" t="n">
        <v>0</v>
      </c>
      <c r="Q766" t="n">
        <v>0</v>
      </c>
      <c r="R766" s="2" t="inlineStr"/>
    </row>
    <row r="767" ht="15" customHeight="1">
      <c r="A767" t="inlineStr">
        <is>
          <t>A 27545-2019</t>
        </is>
      </c>
      <c r="B767" s="1" t="n">
        <v>43619</v>
      </c>
      <c r="C767" s="1" t="n">
        <v>45761</v>
      </c>
      <c r="D767" t="inlineStr">
        <is>
          <t>SÖDERMANLANDS LÄN</t>
        </is>
      </c>
      <c r="E767" t="inlineStr">
        <is>
          <t>NYKÖPING</t>
        </is>
      </c>
      <c r="F767" t="inlineStr">
        <is>
          <t>Sveaskog</t>
        </is>
      </c>
      <c r="G767" t="n">
        <v>6.1</v>
      </c>
      <c r="H767" t="n">
        <v>0</v>
      </c>
      <c r="I767" t="n">
        <v>0</v>
      </c>
      <c r="J767" t="n">
        <v>0</v>
      </c>
      <c r="K767" t="n">
        <v>0</v>
      </c>
      <c r="L767" t="n">
        <v>0</v>
      </c>
      <c r="M767" t="n">
        <v>0</v>
      </c>
      <c r="N767" t="n">
        <v>0</v>
      </c>
      <c r="O767" t="n">
        <v>0</v>
      </c>
      <c r="P767" t="n">
        <v>0</v>
      </c>
      <c r="Q767" t="n">
        <v>0</v>
      </c>
      <c r="R767" s="2" t="inlineStr"/>
    </row>
    <row r="768" ht="15" customHeight="1">
      <c r="A768" t="inlineStr">
        <is>
          <t>A 28029-2019</t>
        </is>
      </c>
      <c r="B768" s="1" t="n">
        <v>43621</v>
      </c>
      <c r="C768" s="1" t="n">
        <v>45761</v>
      </c>
      <c r="D768" t="inlineStr">
        <is>
          <t>SÖDERMANLANDS LÄN</t>
        </is>
      </c>
      <c r="E768" t="inlineStr">
        <is>
          <t>NYKÖPING</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28035-2019</t>
        </is>
      </c>
      <c r="B769" s="1" t="n">
        <v>43621</v>
      </c>
      <c r="C769" s="1" t="n">
        <v>45761</v>
      </c>
      <c r="D769" t="inlineStr">
        <is>
          <t>SÖDERMANLANDS LÄN</t>
        </is>
      </c>
      <c r="E769" t="inlineStr">
        <is>
          <t>NYKÖPING</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28058-2019</t>
        </is>
      </c>
      <c r="B770" s="1" t="n">
        <v>43621</v>
      </c>
      <c r="C770" s="1" t="n">
        <v>45761</v>
      </c>
      <c r="D770" t="inlineStr">
        <is>
          <t>SÖDERMANLANDS LÄN</t>
        </is>
      </c>
      <c r="E770" t="inlineStr">
        <is>
          <t>FLEN</t>
        </is>
      </c>
      <c r="G770" t="n">
        <v>2.1</v>
      </c>
      <c r="H770" t="n">
        <v>0</v>
      </c>
      <c r="I770" t="n">
        <v>0</v>
      </c>
      <c r="J770" t="n">
        <v>0</v>
      </c>
      <c r="K770" t="n">
        <v>0</v>
      </c>
      <c r="L770" t="n">
        <v>0</v>
      </c>
      <c r="M770" t="n">
        <v>0</v>
      </c>
      <c r="N770" t="n">
        <v>0</v>
      </c>
      <c r="O770" t="n">
        <v>0</v>
      </c>
      <c r="P770" t="n">
        <v>0</v>
      </c>
      <c r="Q770" t="n">
        <v>0</v>
      </c>
      <c r="R770" s="2" t="inlineStr"/>
    </row>
    <row r="771" ht="15" customHeight="1">
      <c r="A771" t="inlineStr">
        <is>
          <t>A 28025-2019</t>
        </is>
      </c>
      <c r="B771" s="1" t="n">
        <v>43621</v>
      </c>
      <c r="C771" s="1" t="n">
        <v>45761</v>
      </c>
      <c r="D771" t="inlineStr">
        <is>
          <t>SÖDERMANLANDS LÄN</t>
        </is>
      </c>
      <c r="E771" t="inlineStr">
        <is>
          <t>NYKÖPING</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29433-2019</t>
        </is>
      </c>
      <c r="B772" s="1" t="n">
        <v>43623</v>
      </c>
      <c r="C772" s="1" t="n">
        <v>45761</v>
      </c>
      <c r="D772" t="inlineStr">
        <is>
          <t>SÖDERMANLANDS LÄN</t>
        </is>
      </c>
      <c r="E772" t="inlineStr">
        <is>
          <t>KATRINEHOLM</t>
        </is>
      </c>
      <c r="G772" t="n">
        <v>16.7</v>
      </c>
      <c r="H772" t="n">
        <v>0</v>
      </c>
      <c r="I772" t="n">
        <v>0</v>
      </c>
      <c r="J772" t="n">
        <v>0</v>
      </c>
      <c r="K772" t="n">
        <v>0</v>
      </c>
      <c r="L772" t="n">
        <v>0</v>
      </c>
      <c r="M772" t="n">
        <v>0</v>
      </c>
      <c r="N772" t="n">
        <v>0</v>
      </c>
      <c r="O772" t="n">
        <v>0</v>
      </c>
      <c r="P772" t="n">
        <v>0</v>
      </c>
      <c r="Q772" t="n">
        <v>0</v>
      </c>
      <c r="R772" s="2" t="inlineStr"/>
    </row>
    <row r="773" ht="15" customHeight="1">
      <c r="A773" t="inlineStr">
        <is>
          <t>A 28401-2019</t>
        </is>
      </c>
      <c r="B773" s="1" t="n">
        <v>43626</v>
      </c>
      <c r="C773" s="1" t="n">
        <v>45761</v>
      </c>
      <c r="D773" t="inlineStr">
        <is>
          <t>SÖDERMANLANDS LÄN</t>
        </is>
      </c>
      <c r="E773" t="inlineStr">
        <is>
          <t>NYKÖPING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28400-2019</t>
        </is>
      </c>
      <c r="B774" s="1" t="n">
        <v>43626</v>
      </c>
      <c r="C774" s="1" t="n">
        <v>45761</v>
      </c>
      <c r="D774" t="inlineStr">
        <is>
          <t>SÖDERMANLANDS LÄN</t>
        </is>
      </c>
      <c r="E774" t="inlineStr">
        <is>
          <t>NYKÖPING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28404-2019</t>
        </is>
      </c>
      <c r="B775" s="1" t="n">
        <v>43626</v>
      </c>
      <c r="C775" s="1" t="n">
        <v>45761</v>
      </c>
      <c r="D775" t="inlineStr">
        <is>
          <t>SÖDERMANLANDS LÄN</t>
        </is>
      </c>
      <c r="E775" t="inlineStr">
        <is>
          <t>NYKÖPING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28402-2019</t>
        </is>
      </c>
      <c r="B776" s="1" t="n">
        <v>43626</v>
      </c>
      <c r="C776" s="1" t="n">
        <v>45761</v>
      </c>
      <c r="D776" t="inlineStr">
        <is>
          <t>SÖDERMANLANDS LÄN</t>
        </is>
      </c>
      <c r="E776" t="inlineStr">
        <is>
          <t>NYKÖPING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28568-2019</t>
        </is>
      </c>
      <c r="B777" s="1" t="n">
        <v>43626</v>
      </c>
      <c r="C777" s="1" t="n">
        <v>45761</v>
      </c>
      <c r="D777" t="inlineStr">
        <is>
          <t>SÖDERMANLANDS LÄN</t>
        </is>
      </c>
      <c r="E777" t="inlineStr">
        <is>
          <t>NYKÖPING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28511-2019</t>
        </is>
      </c>
      <c r="B778" s="1" t="n">
        <v>43626</v>
      </c>
      <c r="C778" s="1" t="n">
        <v>45761</v>
      </c>
      <c r="D778" t="inlineStr">
        <is>
          <t>SÖDERMANLANDS LÄN</t>
        </is>
      </c>
      <c r="E778" t="inlineStr">
        <is>
          <t>VINGÅKER</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28567-2019</t>
        </is>
      </c>
      <c r="B779" s="1" t="n">
        <v>43626</v>
      </c>
      <c r="C779" s="1" t="n">
        <v>45761</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28405-2019</t>
        </is>
      </c>
      <c r="B780" s="1" t="n">
        <v>43626</v>
      </c>
      <c r="C780" s="1" t="n">
        <v>45761</v>
      </c>
      <c r="D780" t="inlineStr">
        <is>
          <t>SÖDERMANLANDS LÄN</t>
        </is>
      </c>
      <c r="E780" t="inlineStr">
        <is>
          <t>NYKÖPING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28719-2019</t>
        </is>
      </c>
      <c r="B781" s="1" t="n">
        <v>43627</v>
      </c>
      <c r="C781" s="1" t="n">
        <v>45761</v>
      </c>
      <c r="D781" t="inlineStr">
        <is>
          <t>SÖDERMANLANDS LÄN</t>
        </is>
      </c>
      <c r="E781" t="inlineStr">
        <is>
          <t>NYKÖPING</t>
        </is>
      </c>
      <c r="G781" t="n">
        <v>14.7</v>
      </c>
      <c r="H781" t="n">
        <v>0</v>
      </c>
      <c r="I781" t="n">
        <v>0</v>
      </c>
      <c r="J781" t="n">
        <v>0</v>
      </c>
      <c r="K781" t="n">
        <v>0</v>
      </c>
      <c r="L781" t="n">
        <v>0</v>
      </c>
      <c r="M781" t="n">
        <v>0</v>
      </c>
      <c r="N781" t="n">
        <v>0</v>
      </c>
      <c r="O781" t="n">
        <v>0</v>
      </c>
      <c r="P781" t="n">
        <v>0</v>
      </c>
      <c r="Q781" t="n">
        <v>0</v>
      </c>
      <c r="R781" s="2" t="inlineStr"/>
    </row>
    <row r="782" ht="15" customHeight="1">
      <c r="A782" t="inlineStr">
        <is>
          <t>A 29084-2019</t>
        </is>
      </c>
      <c r="B782" s="1" t="n">
        <v>43628</v>
      </c>
      <c r="C782" s="1" t="n">
        <v>45761</v>
      </c>
      <c r="D782" t="inlineStr">
        <is>
          <t>SÖDERMANLANDS LÄN</t>
        </is>
      </c>
      <c r="E782" t="inlineStr">
        <is>
          <t>ESKILSTUNA</t>
        </is>
      </c>
      <c r="G782" t="n">
        <v>2.6</v>
      </c>
      <c r="H782" t="n">
        <v>0</v>
      </c>
      <c r="I782" t="n">
        <v>0</v>
      </c>
      <c r="J782" t="n">
        <v>0</v>
      </c>
      <c r="K782" t="n">
        <v>0</v>
      </c>
      <c r="L782" t="n">
        <v>0</v>
      </c>
      <c r="M782" t="n">
        <v>0</v>
      </c>
      <c r="N782" t="n">
        <v>0</v>
      </c>
      <c r="O782" t="n">
        <v>0</v>
      </c>
      <c r="P782" t="n">
        <v>0</v>
      </c>
      <c r="Q782" t="n">
        <v>0</v>
      </c>
      <c r="R782" s="2" t="inlineStr"/>
    </row>
    <row r="783" ht="15" customHeight="1">
      <c r="A783" t="inlineStr">
        <is>
          <t>A 28982-2019</t>
        </is>
      </c>
      <c r="B783" s="1" t="n">
        <v>43628</v>
      </c>
      <c r="C783" s="1" t="n">
        <v>45761</v>
      </c>
      <c r="D783" t="inlineStr">
        <is>
          <t>SÖDERMANLANDS LÄN</t>
        </is>
      </c>
      <c r="E783" t="inlineStr">
        <is>
          <t>STRÄNGNÄS</t>
        </is>
      </c>
      <c r="F783" t="inlineStr">
        <is>
          <t>Övriga Aktiebolag</t>
        </is>
      </c>
      <c r="G783" t="n">
        <v>3</v>
      </c>
      <c r="H783" t="n">
        <v>0</v>
      </c>
      <c r="I783" t="n">
        <v>0</v>
      </c>
      <c r="J783" t="n">
        <v>0</v>
      </c>
      <c r="K783" t="n">
        <v>0</v>
      </c>
      <c r="L783" t="n">
        <v>0</v>
      </c>
      <c r="M783" t="n">
        <v>0</v>
      </c>
      <c r="N783" t="n">
        <v>0</v>
      </c>
      <c r="O783" t="n">
        <v>0</v>
      </c>
      <c r="P783" t="n">
        <v>0</v>
      </c>
      <c r="Q783" t="n">
        <v>0</v>
      </c>
      <c r="R783" s="2" t="inlineStr"/>
    </row>
    <row r="784" ht="15" customHeight="1">
      <c r="A784" t="inlineStr">
        <is>
          <t>A 29125-2019</t>
        </is>
      </c>
      <c r="B784" s="1" t="n">
        <v>43628</v>
      </c>
      <c r="C784" s="1" t="n">
        <v>45761</v>
      </c>
      <c r="D784" t="inlineStr">
        <is>
          <t>SÖDERMANLANDS LÄN</t>
        </is>
      </c>
      <c r="E784" t="inlineStr">
        <is>
          <t>STRÄNGNÄS</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29449-2019</t>
        </is>
      </c>
      <c r="B785" s="1" t="n">
        <v>43629</v>
      </c>
      <c r="C785" s="1" t="n">
        <v>45761</v>
      </c>
      <c r="D785" t="inlineStr">
        <is>
          <t>SÖDERMANLANDS LÄN</t>
        </is>
      </c>
      <c r="E785" t="inlineStr">
        <is>
          <t>ESKILSTUNA</t>
        </is>
      </c>
      <c r="G785" t="n">
        <v>4.1</v>
      </c>
      <c r="H785" t="n">
        <v>0</v>
      </c>
      <c r="I785" t="n">
        <v>0</v>
      </c>
      <c r="J785" t="n">
        <v>0</v>
      </c>
      <c r="K785" t="n">
        <v>0</v>
      </c>
      <c r="L785" t="n">
        <v>0</v>
      </c>
      <c r="M785" t="n">
        <v>0</v>
      </c>
      <c r="N785" t="n">
        <v>0</v>
      </c>
      <c r="O785" t="n">
        <v>0</v>
      </c>
      <c r="P785" t="n">
        <v>0</v>
      </c>
      <c r="Q785" t="n">
        <v>0</v>
      </c>
      <c r="R785" s="2" t="inlineStr"/>
    </row>
    <row r="786" ht="15" customHeight="1">
      <c r="A786" t="inlineStr">
        <is>
          <t>A 29258-2019</t>
        </is>
      </c>
      <c r="B786" s="1" t="n">
        <v>43629</v>
      </c>
      <c r="C786" s="1" t="n">
        <v>45761</v>
      </c>
      <c r="D786" t="inlineStr">
        <is>
          <t>SÖDERMANLANDS LÄN</t>
        </is>
      </c>
      <c r="E786" t="inlineStr">
        <is>
          <t>VINGÅKER</t>
        </is>
      </c>
      <c r="G786" t="n">
        <v>1.2</v>
      </c>
      <c r="H786" t="n">
        <v>0</v>
      </c>
      <c r="I786" t="n">
        <v>0</v>
      </c>
      <c r="J786" t="n">
        <v>0</v>
      </c>
      <c r="K786" t="n">
        <v>0</v>
      </c>
      <c r="L786" t="n">
        <v>0</v>
      </c>
      <c r="M786" t="n">
        <v>0</v>
      </c>
      <c r="N786" t="n">
        <v>0</v>
      </c>
      <c r="O786" t="n">
        <v>0</v>
      </c>
      <c r="P786" t="n">
        <v>0</v>
      </c>
      <c r="Q786" t="n">
        <v>0</v>
      </c>
      <c r="R786" s="2" t="inlineStr"/>
    </row>
    <row r="787" ht="15" customHeight="1">
      <c r="A787" t="inlineStr">
        <is>
          <t>A 29235-2019</t>
        </is>
      </c>
      <c r="B787" s="1" t="n">
        <v>43629</v>
      </c>
      <c r="C787" s="1" t="n">
        <v>45761</v>
      </c>
      <c r="D787" t="inlineStr">
        <is>
          <t>SÖDERMANLANDS LÄN</t>
        </is>
      </c>
      <c r="E787" t="inlineStr">
        <is>
          <t>ESKILSTUNA</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29977-2019</t>
        </is>
      </c>
      <c r="B788" s="1" t="n">
        <v>43630</v>
      </c>
      <c r="C788" s="1" t="n">
        <v>45761</v>
      </c>
      <c r="D788" t="inlineStr">
        <is>
          <t>SÖDERMANLANDS LÄN</t>
        </is>
      </c>
      <c r="E788" t="inlineStr">
        <is>
          <t>FLEN</t>
        </is>
      </c>
      <c r="G788" t="n">
        <v>3.4</v>
      </c>
      <c r="H788" t="n">
        <v>0</v>
      </c>
      <c r="I788" t="n">
        <v>0</v>
      </c>
      <c r="J788" t="n">
        <v>0</v>
      </c>
      <c r="K788" t="n">
        <v>0</v>
      </c>
      <c r="L788" t="n">
        <v>0</v>
      </c>
      <c r="M788" t="n">
        <v>0</v>
      </c>
      <c r="N788" t="n">
        <v>0</v>
      </c>
      <c r="O788" t="n">
        <v>0</v>
      </c>
      <c r="P788" t="n">
        <v>0</v>
      </c>
      <c r="Q788" t="n">
        <v>0</v>
      </c>
      <c r="R788" s="2" t="inlineStr"/>
    </row>
    <row r="789" ht="15" customHeight="1">
      <c r="A789" t="inlineStr">
        <is>
          <t>A 30025-2019</t>
        </is>
      </c>
      <c r="B789" s="1" t="n">
        <v>43630</v>
      </c>
      <c r="C789" s="1" t="n">
        <v>45761</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30492-2019</t>
        </is>
      </c>
      <c r="B790" s="1" t="n">
        <v>43635</v>
      </c>
      <c r="C790" s="1" t="n">
        <v>45761</v>
      </c>
      <c r="D790" t="inlineStr">
        <is>
          <t>SÖDERMANLANDS LÄN</t>
        </is>
      </c>
      <c r="E790" t="inlineStr">
        <is>
          <t>FLEN</t>
        </is>
      </c>
      <c r="G790" t="n">
        <v>2.7</v>
      </c>
      <c r="H790" t="n">
        <v>0</v>
      </c>
      <c r="I790" t="n">
        <v>0</v>
      </c>
      <c r="J790" t="n">
        <v>0</v>
      </c>
      <c r="K790" t="n">
        <v>0</v>
      </c>
      <c r="L790" t="n">
        <v>0</v>
      </c>
      <c r="M790" t="n">
        <v>0</v>
      </c>
      <c r="N790" t="n">
        <v>0</v>
      </c>
      <c r="O790" t="n">
        <v>0</v>
      </c>
      <c r="P790" t="n">
        <v>0</v>
      </c>
      <c r="Q790" t="n">
        <v>0</v>
      </c>
      <c r="R790" s="2" t="inlineStr"/>
    </row>
    <row r="791" ht="15" customHeight="1">
      <c r="A791" t="inlineStr">
        <is>
          <t>A 30604-2019</t>
        </is>
      </c>
      <c r="B791" s="1" t="n">
        <v>43635</v>
      </c>
      <c r="C791" s="1" t="n">
        <v>45761</v>
      </c>
      <c r="D791" t="inlineStr">
        <is>
          <t>SÖDERMANLANDS LÄN</t>
        </is>
      </c>
      <c r="E791" t="inlineStr">
        <is>
          <t>KATRINEHOLM</t>
        </is>
      </c>
      <c r="G791" t="n">
        <v>5.4</v>
      </c>
      <c r="H791" t="n">
        <v>0</v>
      </c>
      <c r="I791" t="n">
        <v>0</v>
      </c>
      <c r="J791" t="n">
        <v>0</v>
      </c>
      <c r="K791" t="n">
        <v>0</v>
      </c>
      <c r="L791" t="n">
        <v>0</v>
      </c>
      <c r="M791" t="n">
        <v>0</v>
      </c>
      <c r="N791" t="n">
        <v>0</v>
      </c>
      <c r="O791" t="n">
        <v>0</v>
      </c>
      <c r="P791" t="n">
        <v>0</v>
      </c>
      <c r="Q791" t="n">
        <v>0</v>
      </c>
      <c r="R791" s="2" t="inlineStr"/>
    </row>
    <row r="792" ht="15" customHeight="1">
      <c r="A792" t="inlineStr">
        <is>
          <t>A 30669-2019</t>
        </is>
      </c>
      <c r="B792" s="1" t="n">
        <v>43636</v>
      </c>
      <c r="C792" s="1" t="n">
        <v>45761</v>
      </c>
      <c r="D792" t="inlineStr">
        <is>
          <t>SÖDERMANLANDS LÄN</t>
        </is>
      </c>
      <c r="E792" t="inlineStr">
        <is>
          <t>STRÄNGNÄS</t>
        </is>
      </c>
      <c r="G792" t="n">
        <v>1.9</v>
      </c>
      <c r="H792" t="n">
        <v>0</v>
      </c>
      <c r="I792" t="n">
        <v>0</v>
      </c>
      <c r="J792" t="n">
        <v>0</v>
      </c>
      <c r="K792" t="n">
        <v>0</v>
      </c>
      <c r="L792" t="n">
        <v>0</v>
      </c>
      <c r="M792" t="n">
        <v>0</v>
      </c>
      <c r="N792" t="n">
        <v>0</v>
      </c>
      <c r="O792" t="n">
        <v>0</v>
      </c>
      <c r="P792" t="n">
        <v>0</v>
      </c>
      <c r="Q792" t="n">
        <v>0</v>
      </c>
      <c r="R792" s="2" t="inlineStr"/>
    </row>
    <row r="793" ht="15" customHeight="1">
      <c r="A793" t="inlineStr">
        <is>
          <t>A 30646-2019</t>
        </is>
      </c>
      <c r="B793" s="1" t="n">
        <v>43636</v>
      </c>
      <c r="C793" s="1" t="n">
        <v>45761</v>
      </c>
      <c r="D793" t="inlineStr">
        <is>
          <t>SÖDERMANLANDS LÄN</t>
        </is>
      </c>
      <c r="E793" t="inlineStr">
        <is>
          <t>STRÄNGNÄS</t>
        </is>
      </c>
      <c r="G793" t="n">
        <v>1.8</v>
      </c>
      <c r="H793" t="n">
        <v>0</v>
      </c>
      <c r="I793" t="n">
        <v>0</v>
      </c>
      <c r="J793" t="n">
        <v>0</v>
      </c>
      <c r="K793" t="n">
        <v>0</v>
      </c>
      <c r="L793" t="n">
        <v>0</v>
      </c>
      <c r="M793" t="n">
        <v>0</v>
      </c>
      <c r="N793" t="n">
        <v>0</v>
      </c>
      <c r="O793" t="n">
        <v>0</v>
      </c>
      <c r="P793" t="n">
        <v>0</v>
      </c>
      <c r="Q793" t="n">
        <v>0</v>
      </c>
      <c r="R793" s="2" t="inlineStr"/>
    </row>
    <row r="794" ht="15" customHeight="1">
      <c r="A794" t="inlineStr">
        <is>
          <t>A 30692-2019</t>
        </is>
      </c>
      <c r="B794" s="1" t="n">
        <v>43636</v>
      </c>
      <c r="C794" s="1" t="n">
        <v>45761</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31388-2019</t>
        </is>
      </c>
      <c r="B795" s="1" t="n">
        <v>43636</v>
      </c>
      <c r="C795" s="1" t="n">
        <v>45761</v>
      </c>
      <c r="D795" t="inlineStr">
        <is>
          <t>SÖDERMANLANDS LÄN</t>
        </is>
      </c>
      <c r="E795" t="inlineStr">
        <is>
          <t>STRÄNGNÄS</t>
        </is>
      </c>
      <c r="G795" t="n">
        <v>1</v>
      </c>
      <c r="H795" t="n">
        <v>0</v>
      </c>
      <c r="I795" t="n">
        <v>0</v>
      </c>
      <c r="J795" t="n">
        <v>0</v>
      </c>
      <c r="K795" t="n">
        <v>0</v>
      </c>
      <c r="L795" t="n">
        <v>0</v>
      </c>
      <c r="M795" t="n">
        <v>0</v>
      </c>
      <c r="N795" t="n">
        <v>0</v>
      </c>
      <c r="O795" t="n">
        <v>0</v>
      </c>
      <c r="P795" t="n">
        <v>0</v>
      </c>
      <c r="Q795" t="n">
        <v>0</v>
      </c>
      <c r="R795" s="2" t="inlineStr"/>
    </row>
    <row r="796" ht="15" customHeight="1">
      <c r="A796" t="inlineStr">
        <is>
          <t>A 30872-2019</t>
        </is>
      </c>
      <c r="B796" s="1" t="n">
        <v>43636</v>
      </c>
      <c r="C796" s="1" t="n">
        <v>45761</v>
      </c>
      <c r="D796" t="inlineStr">
        <is>
          <t>SÖDERMANLANDS LÄN</t>
        </is>
      </c>
      <c r="E796" t="inlineStr">
        <is>
          <t>FLEN</t>
        </is>
      </c>
      <c r="G796" t="n">
        <v>1.1</v>
      </c>
      <c r="H796" t="n">
        <v>0</v>
      </c>
      <c r="I796" t="n">
        <v>0</v>
      </c>
      <c r="J796" t="n">
        <v>0</v>
      </c>
      <c r="K796" t="n">
        <v>0</v>
      </c>
      <c r="L796" t="n">
        <v>0</v>
      </c>
      <c r="M796" t="n">
        <v>0</v>
      </c>
      <c r="N796" t="n">
        <v>0</v>
      </c>
      <c r="O796" t="n">
        <v>0</v>
      </c>
      <c r="P796" t="n">
        <v>0</v>
      </c>
      <c r="Q796" t="n">
        <v>0</v>
      </c>
      <c r="R796" s="2" t="inlineStr"/>
    </row>
    <row r="797" ht="15" customHeight="1">
      <c r="A797" t="inlineStr">
        <is>
          <t>A 30982-2019</t>
        </is>
      </c>
      <c r="B797" s="1" t="n">
        <v>43640</v>
      </c>
      <c r="C797" s="1" t="n">
        <v>45761</v>
      </c>
      <c r="D797" t="inlineStr">
        <is>
          <t>SÖDERMANLANDS LÄN</t>
        </is>
      </c>
      <c r="E797" t="inlineStr">
        <is>
          <t>NYKÖPING</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31832-2019</t>
        </is>
      </c>
      <c r="B798" s="1" t="n">
        <v>43640</v>
      </c>
      <c r="C798" s="1" t="n">
        <v>45761</v>
      </c>
      <c r="D798" t="inlineStr">
        <is>
          <t>SÖDERMANLANDS LÄN</t>
        </is>
      </c>
      <c r="E798" t="inlineStr">
        <is>
          <t>VINGÅKER</t>
        </is>
      </c>
      <c r="G798" t="n">
        <v>1.1</v>
      </c>
      <c r="H798" t="n">
        <v>0</v>
      </c>
      <c r="I798" t="n">
        <v>0</v>
      </c>
      <c r="J798" t="n">
        <v>0</v>
      </c>
      <c r="K798" t="n">
        <v>0</v>
      </c>
      <c r="L798" t="n">
        <v>0</v>
      </c>
      <c r="M798" t="n">
        <v>0</v>
      </c>
      <c r="N798" t="n">
        <v>0</v>
      </c>
      <c r="O798" t="n">
        <v>0</v>
      </c>
      <c r="P798" t="n">
        <v>0</v>
      </c>
      <c r="Q798" t="n">
        <v>0</v>
      </c>
      <c r="R798" s="2" t="inlineStr"/>
    </row>
    <row r="799" ht="15" customHeight="1">
      <c r="A799" t="inlineStr">
        <is>
          <t>A 31818-2019</t>
        </is>
      </c>
      <c r="B799" s="1" t="n">
        <v>43640</v>
      </c>
      <c r="C799" s="1" t="n">
        <v>45761</v>
      </c>
      <c r="D799" t="inlineStr">
        <is>
          <t>SÖDERMANLANDS LÄN</t>
        </is>
      </c>
      <c r="E799" t="inlineStr">
        <is>
          <t>VINGÅKER</t>
        </is>
      </c>
      <c r="G799" t="n">
        <v>2.1</v>
      </c>
      <c r="H799" t="n">
        <v>0</v>
      </c>
      <c r="I799" t="n">
        <v>0</v>
      </c>
      <c r="J799" t="n">
        <v>0</v>
      </c>
      <c r="K799" t="n">
        <v>0</v>
      </c>
      <c r="L799" t="n">
        <v>0</v>
      </c>
      <c r="M799" t="n">
        <v>0</v>
      </c>
      <c r="N799" t="n">
        <v>0</v>
      </c>
      <c r="O799" t="n">
        <v>0</v>
      </c>
      <c r="P799" t="n">
        <v>0</v>
      </c>
      <c r="Q799" t="n">
        <v>0</v>
      </c>
      <c r="R799" s="2" t="inlineStr"/>
    </row>
    <row r="800" ht="15" customHeight="1">
      <c r="A800" t="inlineStr">
        <is>
          <t>A 31492-2019</t>
        </is>
      </c>
      <c r="B800" s="1" t="n">
        <v>43640</v>
      </c>
      <c r="C800" s="1" t="n">
        <v>45761</v>
      </c>
      <c r="D800" t="inlineStr">
        <is>
          <t>SÖDERMANLANDS LÄN</t>
        </is>
      </c>
      <c r="E800" t="inlineStr">
        <is>
          <t>ESKILSTUNA</t>
        </is>
      </c>
      <c r="G800" t="n">
        <v>0.7</v>
      </c>
      <c r="H800" t="n">
        <v>0</v>
      </c>
      <c r="I800" t="n">
        <v>0</v>
      </c>
      <c r="J800" t="n">
        <v>0</v>
      </c>
      <c r="K800" t="n">
        <v>0</v>
      </c>
      <c r="L800" t="n">
        <v>0</v>
      </c>
      <c r="M800" t="n">
        <v>0</v>
      </c>
      <c r="N800" t="n">
        <v>0</v>
      </c>
      <c r="O800" t="n">
        <v>0</v>
      </c>
      <c r="P800" t="n">
        <v>0</v>
      </c>
      <c r="Q800" t="n">
        <v>0</v>
      </c>
      <c r="R800" s="2" t="inlineStr"/>
    </row>
    <row r="801" ht="15" customHeight="1">
      <c r="A801" t="inlineStr">
        <is>
          <t>A 31835-2019</t>
        </is>
      </c>
      <c r="B801" s="1" t="n">
        <v>43640</v>
      </c>
      <c r="C801" s="1" t="n">
        <v>45761</v>
      </c>
      <c r="D801" t="inlineStr">
        <is>
          <t>SÖDERMANLANDS LÄN</t>
        </is>
      </c>
      <c r="E801" t="inlineStr">
        <is>
          <t>VINGÅKER</t>
        </is>
      </c>
      <c r="G801" t="n">
        <v>2.7</v>
      </c>
      <c r="H801" t="n">
        <v>0</v>
      </c>
      <c r="I801" t="n">
        <v>0</v>
      </c>
      <c r="J801" t="n">
        <v>0</v>
      </c>
      <c r="K801" t="n">
        <v>0</v>
      </c>
      <c r="L801" t="n">
        <v>0</v>
      </c>
      <c r="M801" t="n">
        <v>0</v>
      </c>
      <c r="N801" t="n">
        <v>0</v>
      </c>
      <c r="O801" t="n">
        <v>0</v>
      </c>
      <c r="P801" t="n">
        <v>0</v>
      </c>
      <c r="Q801" t="n">
        <v>0</v>
      </c>
      <c r="R801" s="2" t="inlineStr"/>
    </row>
    <row r="802" ht="15" customHeight="1">
      <c r="A802" t="inlineStr">
        <is>
          <t>A 31687-2019</t>
        </is>
      </c>
      <c r="B802" s="1" t="n">
        <v>43642</v>
      </c>
      <c r="C802" s="1" t="n">
        <v>45761</v>
      </c>
      <c r="D802" t="inlineStr">
        <is>
          <t>SÖDERMANLANDS LÄN</t>
        </is>
      </c>
      <c r="E802" t="inlineStr">
        <is>
          <t>NYKÖPING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32047-2019</t>
        </is>
      </c>
      <c r="B803" s="1" t="n">
        <v>43643</v>
      </c>
      <c r="C803" s="1" t="n">
        <v>45761</v>
      </c>
      <c r="D803" t="inlineStr">
        <is>
          <t>SÖDERMANLANDS LÄN</t>
        </is>
      </c>
      <c r="E803" t="inlineStr">
        <is>
          <t>ESKILSTUNA</t>
        </is>
      </c>
      <c r="G803" t="n">
        <v>1.9</v>
      </c>
      <c r="H803" t="n">
        <v>0</v>
      </c>
      <c r="I803" t="n">
        <v>0</v>
      </c>
      <c r="J803" t="n">
        <v>0</v>
      </c>
      <c r="K803" t="n">
        <v>0</v>
      </c>
      <c r="L803" t="n">
        <v>0</v>
      </c>
      <c r="M803" t="n">
        <v>0</v>
      </c>
      <c r="N803" t="n">
        <v>0</v>
      </c>
      <c r="O803" t="n">
        <v>0</v>
      </c>
      <c r="P803" t="n">
        <v>0</v>
      </c>
      <c r="Q803" t="n">
        <v>0</v>
      </c>
      <c r="R803" s="2" t="inlineStr"/>
    </row>
    <row r="804" ht="15" customHeight="1">
      <c r="A804" t="inlineStr">
        <is>
          <t>A 32189-2019</t>
        </is>
      </c>
      <c r="B804" s="1" t="n">
        <v>43643</v>
      </c>
      <c r="C804" s="1" t="n">
        <v>45761</v>
      </c>
      <c r="D804" t="inlineStr">
        <is>
          <t>SÖDERMANLANDS LÄN</t>
        </is>
      </c>
      <c r="E804" t="inlineStr">
        <is>
          <t>TROSA</t>
        </is>
      </c>
      <c r="G804" t="n">
        <v>17.1</v>
      </c>
      <c r="H804" t="n">
        <v>0</v>
      </c>
      <c r="I804" t="n">
        <v>0</v>
      </c>
      <c r="J804" t="n">
        <v>0</v>
      </c>
      <c r="K804" t="n">
        <v>0</v>
      </c>
      <c r="L804" t="n">
        <v>0</v>
      </c>
      <c r="M804" t="n">
        <v>0</v>
      </c>
      <c r="N804" t="n">
        <v>0</v>
      </c>
      <c r="O804" t="n">
        <v>0</v>
      </c>
      <c r="P804" t="n">
        <v>0</v>
      </c>
      <c r="Q804" t="n">
        <v>0</v>
      </c>
      <c r="R804" s="2" t="inlineStr"/>
    </row>
    <row r="805" ht="15" customHeight="1">
      <c r="A805" t="inlineStr">
        <is>
          <t>A 32194-2019</t>
        </is>
      </c>
      <c r="B805" s="1" t="n">
        <v>43643</v>
      </c>
      <c r="C805" s="1" t="n">
        <v>45761</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32926-2019</t>
        </is>
      </c>
      <c r="B806" s="1" t="n">
        <v>43643</v>
      </c>
      <c r="C806" s="1" t="n">
        <v>45761</v>
      </c>
      <c r="D806" t="inlineStr">
        <is>
          <t>SÖDERMANLANDS LÄN</t>
        </is>
      </c>
      <c r="E806" t="inlineStr">
        <is>
          <t>NYKÖPING</t>
        </is>
      </c>
      <c r="G806" t="n">
        <v>3</v>
      </c>
      <c r="H806" t="n">
        <v>0</v>
      </c>
      <c r="I806" t="n">
        <v>0</v>
      </c>
      <c r="J806" t="n">
        <v>0</v>
      </c>
      <c r="K806" t="n">
        <v>0</v>
      </c>
      <c r="L806" t="n">
        <v>0</v>
      </c>
      <c r="M806" t="n">
        <v>0</v>
      </c>
      <c r="N806" t="n">
        <v>0</v>
      </c>
      <c r="O806" t="n">
        <v>0</v>
      </c>
      <c r="P806" t="n">
        <v>0</v>
      </c>
      <c r="Q806" t="n">
        <v>0</v>
      </c>
      <c r="R806" s="2" t="inlineStr"/>
    </row>
    <row r="807" ht="15" customHeight="1">
      <c r="A807" t="inlineStr">
        <is>
          <t>A 32804-2019</t>
        </is>
      </c>
      <c r="B807" s="1" t="n">
        <v>43643</v>
      </c>
      <c r="C807" s="1" t="n">
        <v>45761</v>
      </c>
      <c r="D807" t="inlineStr">
        <is>
          <t>SÖDERMANLANDS LÄN</t>
        </is>
      </c>
      <c r="E807" t="inlineStr">
        <is>
          <t>NYKÖPING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32070-2019</t>
        </is>
      </c>
      <c r="B808" s="1" t="n">
        <v>43643</v>
      </c>
      <c r="C808" s="1" t="n">
        <v>45761</v>
      </c>
      <c r="D808" t="inlineStr">
        <is>
          <t>SÖDERMANLANDS LÄN</t>
        </is>
      </c>
      <c r="E808" t="inlineStr">
        <is>
          <t>FLEN</t>
        </is>
      </c>
      <c r="G808" t="n">
        <v>9.9</v>
      </c>
      <c r="H808" t="n">
        <v>0</v>
      </c>
      <c r="I808" t="n">
        <v>0</v>
      </c>
      <c r="J808" t="n">
        <v>0</v>
      </c>
      <c r="K808" t="n">
        <v>0</v>
      </c>
      <c r="L808" t="n">
        <v>0</v>
      </c>
      <c r="M808" t="n">
        <v>0</v>
      </c>
      <c r="N808" t="n">
        <v>0</v>
      </c>
      <c r="O808" t="n">
        <v>0</v>
      </c>
      <c r="P808" t="n">
        <v>0</v>
      </c>
      <c r="Q808" t="n">
        <v>0</v>
      </c>
      <c r="R808" s="2" t="inlineStr"/>
    </row>
    <row r="809" ht="15" customHeight="1">
      <c r="A809" t="inlineStr">
        <is>
          <t>A 32196-2019</t>
        </is>
      </c>
      <c r="B809" s="1" t="n">
        <v>43643</v>
      </c>
      <c r="C809" s="1" t="n">
        <v>45761</v>
      </c>
      <c r="D809" t="inlineStr">
        <is>
          <t>SÖDERMANLANDS LÄN</t>
        </is>
      </c>
      <c r="E809" t="inlineStr">
        <is>
          <t>STRÄNGNÄS</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32931-2019</t>
        </is>
      </c>
      <c r="B810" s="1" t="n">
        <v>43643</v>
      </c>
      <c r="C810" s="1" t="n">
        <v>45761</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32353-2019</t>
        </is>
      </c>
      <c r="B811" s="1" t="n">
        <v>43644</v>
      </c>
      <c r="C811" s="1" t="n">
        <v>45761</v>
      </c>
      <c r="D811" t="inlineStr">
        <is>
          <t>SÖDERMANLANDS LÄN</t>
        </is>
      </c>
      <c r="E811" t="inlineStr">
        <is>
          <t>NYKÖPING</t>
        </is>
      </c>
      <c r="G811" t="n">
        <v>10.2</v>
      </c>
      <c r="H811" t="n">
        <v>0</v>
      </c>
      <c r="I811" t="n">
        <v>0</v>
      </c>
      <c r="J811" t="n">
        <v>0</v>
      </c>
      <c r="K811" t="n">
        <v>0</v>
      </c>
      <c r="L811" t="n">
        <v>0</v>
      </c>
      <c r="M811" t="n">
        <v>0</v>
      </c>
      <c r="N811" t="n">
        <v>0</v>
      </c>
      <c r="O811" t="n">
        <v>0</v>
      </c>
      <c r="P811" t="n">
        <v>0</v>
      </c>
      <c r="Q811" t="n">
        <v>0</v>
      </c>
      <c r="R811" s="2" t="inlineStr"/>
    </row>
    <row r="812" ht="15" customHeight="1">
      <c r="A812" t="inlineStr">
        <is>
          <t>A 34203-2019</t>
        </is>
      </c>
      <c r="B812" s="1" t="n">
        <v>43644</v>
      </c>
      <c r="C812" s="1" t="n">
        <v>45761</v>
      </c>
      <c r="D812" t="inlineStr">
        <is>
          <t>SÖDERMANLANDS LÄN</t>
        </is>
      </c>
      <c r="E812" t="inlineStr">
        <is>
          <t>STRÄNGNÄS</t>
        </is>
      </c>
      <c r="G812" t="n">
        <v>1.6</v>
      </c>
      <c r="H812" t="n">
        <v>0</v>
      </c>
      <c r="I812" t="n">
        <v>0</v>
      </c>
      <c r="J812" t="n">
        <v>0</v>
      </c>
      <c r="K812" t="n">
        <v>0</v>
      </c>
      <c r="L812" t="n">
        <v>0</v>
      </c>
      <c r="M812" t="n">
        <v>0</v>
      </c>
      <c r="N812" t="n">
        <v>0</v>
      </c>
      <c r="O812" t="n">
        <v>0</v>
      </c>
      <c r="P812" t="n">
        <v>0</v>
      </c>
      <c r="Q812" t="n">
        <v>0</v>
      </c>
      <c r="R812" s="2" t="inlineStr"/>
    </row>
    <row r="813" ht="15" customHeight="1">
      <c r="A813" t="inlineStr">
        <is>
          <t>A 34148-2019</t>
        </is>
      </c>
      <c r="B813" s="1" t="n">
        <v>43644</v>
      </c>
      <c r="C813" s="1" t="n">
        <v>45761</v>
      </c>
      <c r="D813" t="inlineStr">
        <is>
          <t>SÖDERMANLANDS LÄN</t>
        </is>
      </c>
      <c r="E813" t="inlineStr">
        <is>
          <t>STRÄNGNÄS</t>
        </is>
      </c>
      <c r="G813" t="n">
        <v>2.3</v>
      </c>
      <c r="H813" t="n">
        <v>0</v>
      </c>
      <c r="I813" t="n">
        <v>0</v>
      </c>
      <c r="J813" t="n">
        <v>0</v>
      </c>
      <c r="K813" t="n">
        <v>0</v>
      </c>
      <c r="L813" t="n">
        <v>0</v>
      </c>
      <c r="M813" t="n">
        <v>0</v>
      </c>
      <c r="N813" t="n">
        <v>0</v>
      </c>
      <c r="O813" t="n">
        <v>0</v>
      </c>
      <c r="P813" t="n">
        <v>0</v>
      </c>
      <c r="Q813" t="n">
        <v>0</v>
      </c>
      <c r="R813" s="2" t="inlineStr"/>
    </row>
    <row r="814" ht="15" customHeight="1">
      <c r="A814" t="inlineStr">
        <is>
          <t>A 34199-2019</t>
        </is>
      </c>
      <c r="B814" s="1" t="n">
        <v>43644</v>
      </c>
      <c r="C814" s="1" t="n">
        <v>45761</v>
      </c>
      <c r="D814" t="inlineStr">
        <is>
          <t>SÖDERMANLANDS LÄN</t>
        </is>
      </c>
      <c r="E814" t="inlineStr">
        <is>
          <t>STRÄNGNÄS</t>
        </is>
      </c>
      <c r="G814" t="n">
        <v>7.6</v>
      </c>
      <c r="H814" t="n">
        <v>0</v>
      </c>
      <c r="I814" t="n">
        <v>0</v>
      </c>
      <c r="J814" t="n">
        <v>0</v>
      </c>
      <c r="K814" t="n">
        <v>0</v>
      </c>
      <c r="L814" t="n">
        <v>0</v>
      </c>
      <c r="M814" t="n">
        <v>0</v>
      </c>
      <c r="N814" t="n">
        <v>0</v>
      </c>
      <c r="O814" t="n">
        <v>0</v>
      </c>
      <c r="P814" t="n">
        <v>0</v>
      </c>
      <c r="Q814" t="n">
        <v>0</v>
      </c>
      <c r="R814" s="2" t="inlineStr"/>
    </row>
    <row r="815" ht="15" customHeight="1">
      <c r="A815" t="inlineStr">
        <is>
          <t>A 32555-2019</t>
        </is>
      </c>
      <c r="B815" s="1" t="n">
        <v>43645</v>
      </c>
      <c r="C815" s="1" t="n">
        <v>45761</v>
      </c>
      <c r="D815" t="inlineStr">
        <is>
          <t>SÖDERMANLANDS LÄN</t>
        </is>
      </c>
      <c r="E815" t="inlineStr">
        <is>
          <t>KATRINEHOLM</t>
        </is>
      </c>
      <c r="G815" t="n">
        <v>0.6</v>
      </c>
      <c r="H815" t="n">
        <v>0</v>
      </c>
      <c r="I815" t="n">
        <v>0</v>
      </c>
      <c r="J815" t="n">
        <v>0</v>
      </c>
      <c r="K815" t="n">
        <v>0</v>
      </c>
      <c r="L815" t="n">
        <v>0</v>
      </c>
      <c r="M815" t="n">
        <v>0</v>
      </c>
      <c r="N815" t="n">
        <v>0</v>
      </c>
      <c r="O815" t="n">
        <v>0</v>
      </c>
      <c r="P815" t="n">
        <v>0</v>
      </c>
      <c r="Q815" t="n">
        <v>0</v>
      </c>
      <c r="R815" s="2" t="inlineStr"/>
    </row>
    <row r="816" ht="15" customHeight="1">
      <c r="A816" t="inlineStr">
        <is>
          <t>A 32870-2019</t>
        </is>
      </c>
      <c r="B816" s="1" t="n">
        <v>43648</v>
      </c>
      <c r="C816" s="1" t="n">
        <v>45761</v>
      </c>
      <c r="D816" t="inlineStr">
        <is>
          <t>SÖDERMANLANDS LÄN</t>
        </is>
      </c>
      <c r="E816" t="inlineStr">
        <is>
          <t>STRÄNGNÄS</t>
        </is>
      </c>
      <c r="F816" t="inlineStr">
        <is>
          <t>Övriga Aktiebolag</t>
        </is>
      </c>
      <c r="G816" t="n">
        <v>1.5</v>
      </c>
      <c r="H816" t="n">
        <v>0</v>
      </c>
      <c r="I816" t="n">
        <v>0</v>
      </c>
      <c r="J816" t="n">
        <v>0</v>
      </c>
      <c r="K816" t="n">
        <v>0</v>
      </c>
      <c r="L816" t="n">
        <v>0</v>
      </c>
      <c r="M816" t="n">
        <v>0</v>
      </c>
      <c r="N816" t="n">
        <v>0</v>
      </c>
      <c r="O816" t="n">
        <v>0</v>
      </c>
      <c r="P816" t="n">
        <v>0</v>
      </c>
      <c r="Q816" t="n">
        <v>0</v>
      </c>
      <c r="R816" s="2" t="inlineStr"/>
    </row>
    <row r="817" ht="15" customHeight="1">
      <c r="A817" t="inlineStr">
        <is>
          <t>A 32789-2019</t>
        </is>
      </c>
      <c r="B817" s="1" t="n">
        <v>43648</v>
      </c>
      <c r="C817" s="1" t="n">
        <v>45761</v>
      </c>
      <c r="D817" t="inlineStr">
        <is>
          <t>SÖDERMANLANDS LÄN</t>
        </is>
      </c>
      <c r="E817" t="inlineStr">
        <is>
          <t>VINGÅKER</t>
        </is>
      </c>
      <c r="G817" t="n">
        <v>2.4</v>
      </c>
      <c r="H817" t="n">
        <v>0</v>
      </c>
      <c r="I817" t="n">
        <v>0</v>
      </c>
      <c r="J817" t="n">
        <v>0</v>
      </c>
      <c r="K817" t="n">
        <v>0</v>
      </c>
      <c r="L817" t="n">
        <v>0</v>
      </c>
      <c r="M817" t="n">
        <v>0</v>
      </c>
      <c r="N817" t="n">
        <v>0</v>
      </c>
      <c r="O817" t="n">
        <v>0</v>
      </c>
      <c r="P817" t="n">
        <v>0</v>
      </c>
      <c r="Q817" t="n">
        <v>0</v>
      </c>
      <c r="R817" s="2" t="inlineStr"/>
    </row>
    <row r="818" ht="15" customHeight="1">
      <c r="A818" t="inlineStr">
        <is>
          <t>A 33074-2019</t>
        </is>
      </c>
      <c r="B818" s="1" t="n">
        <v>43649</v>
      </c>
      <c r="C818" s="1" t="n">
        <v>45761</v>
      </c>
      <c r="D818" t="inlineStr">
        <is>
          <t>SÖDERMANLANDS LÄN</t>
        </is>
      </c>
      <c r="E818" t="inlineStr">
        <is>
          <t>STRÄNGNÄS</t>
        </is>
      </c>
      <c r="G818" t="n">
        <v>4.1</v>
      </c>
      <c r="H818" t="n">
        <v>0</v>
      </c>
      <c r="I818" t="n">
        <v>0</v>
      </c>
      <c r="J818" t="n">
        <v>0</v>
      </c>
      <c r="K818" t="n">
        <v>0</v>
      </c>
      <c r="L818" t="n">
        <v>0</v>
      </c>
      <c r="M818" t="n">
        <v>0</v>
      </c>
      <c r="N818" t="n">
        <v>0</v>
      </c>
      <c r="O818" t="n">
        <v>0</v>
      </c>
      <c r="P818" t="n">
        <v>0</v>
      </c>
      <c r="Q818" t="n">
        <v>0</v>
      </c>
      <c r="R818" s="2" t="inlineStr"/>
    </row>
    <row r="819" ht="15" customHeight="1">
      <c r="A819" t="inlineStr">
        <is>
          <t>A 33113-2019</t>
        </is>
      </c>
      <c r="B819" s="1" t="n">
        <v>43649</v>
      </c>
      <c r="C819" s="1" t="n">
        <v>45761</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33000-2019</t>
        </is>
      </c>
      <c r="B820" s="1" t="n">
        <v>43649</v>
      </c>
      <c r="C820" s="1" t="n">
        <v>45761</v>
      </c>
      <c r="D820" t="inlineStr">
        <is>
          <t>SÖDERMANLANDS LÄN</t>
        </is>
      </c>
      <c r="E820" t="inlineStr">
        <is>
          <t>STRÄNGNÄS</t>
        </is>
      </c>
      <c r="F820" t="inlineStr">
        <is>
          <t>Övriga Aktiebolag</t>
        </is>
      </c>
      <c r="G820" t="n">
        <v>8.1</v>
      </c>
      <c r="H820" t="n">
        <v>0</v>
      </c>
      <c r="I820" t="n">
        <v>0</v>
      </c>
      <c r="J820" t="n">
        <v>0</v>
      </c>
      <c r="K820" t="n">
        <v>0</v>
      </c>
      <c r="L820" t="n">
        <v>0</v>
      </c>
      <c r="M820" t="n">
        <v>0</v>
      </c>
      <c r="N820" t="n">
        <v>0</v>
      </c>
      <c r="O820" t="n">
        <v>0</v>
      </c>
      <c r="P820" t="n">
        <v>0</v>
      </c>
      <c r="Q820" t="n">
        <v>0</v>
      </c>
      <c r="R820" s="2" t="inlineStr"/>
    </row>
    <row r="821" ht="15" customHeight="1">
      <c r="A821" t="inlineStr">
        <is>
          <t>A 33364-2019</t>
        </is>
      </c>
      <c r="B821" s="1" t="n">
        <v>43650</v>
      </c>
      <c r="C821" s="1" t="n">
        <v>45761</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33397-2019</t>
        </is>
      </c>
      <c r="B822" s="1" t="n">
        <v>43650</v>
      </c>
      <c r="C822" s="1" t="n">
        <v>45761</v>
      </c>
      <c r="D822" t="inlineStr">
        <is>
          <t>SÖDERMANLANDS LÄN</t>
        </is>
      </c>
      <c r="E822" t="inlineStr">
        <is>
          <t>TROSA</t>
        </is>
      </c>
      <c r="G822" t="n">
        <v>0.3</v>
      </c>
      <c r="H822" t="n">
        <v>0</v>
      </c>
      <c r="I822" t="n">
        <v>0</v>
      </c>
      <c r="J822" t="n">
        <v>0</v>
      </c>
      <c r="K822" t="n">
        <v>0</v>
      </c>
      <c r="L822" t="n">
        <v>0</v>
      </c>
      <c r="M822" t="n">
        <v>0</v>
      </c>
      <c r="N822" t="n">
        <v>0</v>
      </c>
      <c r="O822" t="n">
        <v>0</v>
      </c>
      <c r="P822" t="n">
        <v>0</v>
      </c>
      <c r="Q822" t="n">
        <v>0</v>
      </c>
      <c r="R822" s="2" t="inlineStr"/>
    </row>
    <row r="823" ht="15" customHeight="1">
      <c r="A823" t="inlineStr">
        <is>
          <t>A 34856-2019</t>
        </is>
      </c>
      <c r="B823" s="1" t="n">
        <v>43650</v>
      </c>
      <c r="C823" s="1" t="n">
        <v>45761</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33315-2019</t>
        </is>
      </c>
      <c r="B824" s="1" t="n">
        <v>43650</v>
      </c>
      <c r="C824" s="1" t="n">
        <v>45761</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33488-2019</t>
        </is>
      </c>
      <c r="B825" s="1" t="n">
        <v>43651</v>
      </c>
      <c r="C825" s="1" t="n">
        <v>45761</v>
      </c>
      <c r="D825" t="inlineStr">
        <is>
          <t>SÖDERMANLANDS LÄN</t>
        </is>
      </c>
      <c r="E825" t="inlineStr">
        <is>
          <t>STRÄNGNÄS</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33760-2019</t>
        </is>
      </c>
      <c r="B826" s="1" t="n">
        <v>43651</v>
      </c>
      <c r="C826" s="1" t="n">
        <v>45761</v>
      </c>
      <c r="D826" t="inlineStr">
        <is>
          <t>SÖDERMANLANDS LÄN</t>
        </is>
      </c>
      <c r="E826" t="inlineStr">
        <is>
          <t>STRÄNGNÄS</t>
        </is>
      </c>
      <c r="F826" t="inlineStr">
        <is>
          <t>Allmännings- och besparingsskogar</t>
        </is>
      </c>
      <c r="G826" t="n">
        <v>15.1</v>
      </c>
      <c r="H826" t="n">
        <v>0</v>
      </c>
      <c r="I826" t="n">
        <v>0</v>
      </c>
      <c r="J826" t="n">
        <v>0</v>
      </c>
      <c r="K826" t="n">
        <v>0</v>
      </c>
      <c r="L826" t="n">
        <v>0</v>
      </c>
      <c r="M826" t="n">
        <v>0</v>
      </c>
      <c r="N826" t="n">
        <v>0</v>
      </c>
      <c r="O826" t="n">
        <v>0</v>
      </c>
      <c r="P826" t="n">
        <v>0</v>
      </c>
      <c r="Q826" t="n">
        <v>0</v>
      </c>
      <c r="R826" s="2" t="inlineStr"/>
    </row>
    <row r="827" ht="15" customHeight="1">
      <c r="A827" t="inlineStr">
        <is>
          <t>A 33819-2019</t>
        </is>
      </c>
      <c r="B827" s="1" t="n">
        <v>43651</v>
      </c>
      <c r="C827" s="1" t="n">
        <v>45761</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33804-2019</t>
        </is>
      </c>
      <c r="B828" s="1" t="n">
        <v>43651</v>
      </c>
      <c r="C828" s="1" t="n">
        <v>45761</v>
      </c>
      <c r="D828" t="inlineStr">
        <is>
          <t>SÖDERMANLANDS LÄN</t>
        </is>
      </c>
      <c r="E828" t="inlineStr">
        <is>
          <t>STRÄNGNÄS</t>
        </is>
      </c>
      <c r="F828" t="inlineStr">
        <is>
          <t>Allmännings- och besparingsskogar</t>
        </is>
      </c>
      <c r="G828" t="n">
        <v>4.4</v>
      </c>
      <c r="H828" t="n">
        <v>0</v>
      </c>
      <c r="I828" t="n">
        <v>0</v>
      </c>
      <c r="J828" t="n">
        <v>0</v>
      </c>
      <c r="K828" t="n">
        <v>0</v>
      </c>
      <c r="L828" t="n">
        <v>0</v>
      </c>
      <c r="M828" t="n">
        <v>0</v>
      </c>
      <c r="N828" t="n">
        <v>0</v>
      </c>
      <c r="O828" t="n">
        <v>0</v>
      </c>
      <c r="P828" t="n">
        <v>0</v>
      </c>
      <c r="Q828" t="n">
        <v>0</v>
      </c>
      <c r="R828" s="2" t="inlineStr"/>
    </row>
    <row r="829" ht="15" customHeight="1">
      <c r="A829" t="inlineStr">
        <is>
          <t>A 35468-2019</t>
        </is>
      </c>
      <c r="B829" s="1" t="n">
        <v>43651</v>
      </c>
      <c r="C829" s="1" t="n">
        <v>45761</v>
      </c>
      <c r="D829" t="inlineStr">
        <is>
          <t>SÖDERMANLANDS LÄN</t>
        </is>
      </c>
      <c r="E829" t="inlineStr">
        <is>
          <t>NYKÖPING</t>
        </is>
      </c>
      <c r="F829" t="inlineStr">
        <is>
          <t>Kommuner</t>
        </is>
      </c>
      <c r="G829" t="n">
        <v>3.3</v>
      </c>
      <c r="H829" t="n">
        <v>0</v>
      </c>
      <c r="I829" t="n">
        <v>0</v>
      </c>
      <c r="J829" t="n">
        <v>0</v>
      </c>
      <c r="K829" t="n">
        <v>0</v>
      </c>
      <c r="L829" t="n">
        <v>0</v>
      </c>
      <c r="M829" t="n">
        <v>0</v>
      </c>
      <c r="N829" t="n">
        <v>0</v>
      </c>
      <c r="O829" t="n">
        <v>0</v>
      </c>
      <c r="P829" t="n">
        <v>0</v>
      </c>
      <c r="Q829" t="n">
        <v>0</v>
      </c>
      <c r="R829" s="2" t="inlineStr"/>
    </row>
    <row r="830" ht="15" customHeight="1">
      <c r="A830" t="inlineStr">
        <is>
          <t>A 33489-2019</t>
        </is>
      </c>
      <c r="B830" s="1" t="n">
        <v>43651</v>
      </c>
      <c r="C830" s="1" t="n">
        <v>45761</v>
      </c>
      <c r="D830" t="inlineStr">
        <is>
          <t>SÖDERMANLANDS LÄN</t>
        </is>
      </c>
      <c r="E830" t="inlineStr">
        <is>
          <t>ESKILSTUNA</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33490-2019</t>
        </is>
      </c>
      <c r="B831" s="1" t="n">
        <v>43651</v>
      </c>
      <c r="C831" s="1" t="n">
        <v>45761</v>
      </c>
      <c r="D831" t="inlineStr">
        <is>
          <t>SÖDERMANLANDS LÄN</t>
        </is>
      </c>
      <c r="E831" t="inlineStr">
        <is>
          <t>ESKILSTUNA</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33968-2019</t>
        </is>
      </c>
      <c r="B832" s="1" t="n">
        <v>43654</v>
      </c>
      <c r="C832" s="1" t="n">
        <v>45761</v>
      </c>
      <c r="D832" t="inlineStr">
        <is>
          <t>SÖDERMANLANDS LÄN</t>
        </is>
      </c>
      <c r="E832" t="inlineStr">
        <is>
          <t>NYKÖPING</t>
        </is>
      </c>
      <c r="F832" t="inlineStr">
        <is>
          <t>Kyrkan</t>
        </is>
      </c>
      <c r="G832" t="n">
        <v>3.7</v>
      </c>
      <c r="H832" t="n">
        <v>0</v>
      </c>
      <c r="I832" t="n">
        <v>0</v>
      </c>
      <c r="J832" t="n">
        <v>0</v>
      </c>
      <c r="K832" t="n">
        <v>0</v>
      </c>
      <c r="L832" t="n">
        <v>0</v>
      </c>
      <c r="M832" t="n">
        <v>0</v>
      </c>
      <c r="N832" t="n">
        <v>0</v>
      </c>
      <c r="O832" t="n">
        <v>0</v>
      </c>
      <c r="P832" t="n">
        <v>0</v>
      </c>
      <c r="Q832" t="n">
        <v>0</v>
      </c>
      <c r="R832" s="2" t="inlineStr"/>
    </row>
    <row r="833" ht="15" customHeight="1">
      <c r="A833" t="inlineStr">
        <is>
          <t>A 35428-2019</t>
        </is>
      </c>
      <c r="B833" s="1" t="n">
        <v>43654</v>
      </c>
      <c r="C833" s="1" t="n">
        <v>45761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34226-2019</t>
        </is>
      </c>
      <c r="B834" s="1" t="n">
        <v>43655</v>
      </c>
      <c r="C834" s="1" t="n">
        <v>45761</v>
      </c>
      <c r="D834" t="inlineStr">
        <is>
          <t>SÖDERMANLANDS LÄN</t>
        </is>
      </c>
      <c r="E834" t="inlineStr">
        <is>
          <t>VINGÅKER</t>
        </is>
      </c>
      <c r="G834" t="n">
        <v>2.6</v>
      </c>
      <c r="H834" t="n">
        <v>0</v>
      </c>
      <c r="I834" t="n">
        <v>0</v>
      </c>
      <c r="J834" t="n">
        <v>0</v>
      </c>
      <c r="K834" t="n">
        <v>0</v>
      </c>
      <c r="L834" t="n">
        <v>0</v>
      </c>
      <c r="M834" t="n">
        <v>0</v>
      </c>
      <c r="N834" t="n">
        <v>0</v>
      </c>
      <c r="O834" t="n">
        <v>0</v>
      </c>
      <c r="P834" t="n">
        <v>0</v>
      </c>
      <c r="Q834" t="n">
        <v>0</v>
      </c>
      <c r="R834" s="2" t="inlineStr"/>
    </row>
    <row r="835" ht="15" customHeight="1">
      <c r="A835" t="inlineStr">
        <is>
          <t>A 35583-2019</t>
        </is>
      </c>
      <c r="B835" s="1" t="n">
        <v>43655</v>
      </c>
      <c r="C835" s="1" t="n">
        <v>45761</v>
      </c>
      <c r="D835" t="inlineStr">
        <is>
          <t>SÖDERMANLANDS LÄN</t>
        </is>
      </c>
      <c r="E835" t="inlineStr">
        <is>
          <t>FLEN</t>
        </is>
      </c>
      <c r="G835" t="n">
        <v>8</v>
      </c>
      <c r="H835" t="n">
        <v>0</v>
      </c>
      <c r="I835" t="n">
        <v>0</v>
      </c>
      <c r="J835" t="n">
        <v>0</v>
      </c>
      <c r="K835" t="n">
        <v>0</v>
      </c>
      <c r="L835" t="n">
        <v>0</v>
      </c>
      <c r="M835" t="n">
        <v>0</v>
      </c>
      <c r="N835" t="n">
        <v>0</v>
      </c>
      <c r="O835" t="n">
        <v>0</v>
      </c>
      <c r="P835" t="n">
        <v>0</v>
      </c>
      <c r="Q835" t="n">
        <v>0</v>
      </c>
      <c r="R835" s="2" t="inlineStr"/>
    </row>
    <row r="836" ht="15" customHeight="1">
      <c r="A836" t="inlineStr">
        <is>
          <t>A 34459-2019</t>
        </is>
      </c>
      <c r="B836" s="1" t="n">
        <v>43656</v>
      </c>
      <c r="C836" s="1" t="n">
        <v>45761</v>
      </c>
      <c r="D836" t="inlineStr">
        <is>
          <t>SÖDERMANLANDS LÄN</t>
        </is>
      </c>
      <c r="E836" t="inlineStr">
        <is>
          <t>VINGÅKER</t>
        </is>
      </c>
      <c r="G836" t="n">
        <v>0.7</v>
      </c>
      <c r="H836" t="n">
        <v>0</v>
      </c>
      <c r="I836" t="n">
        <v>0</v>
      </c>
      <c r="J836" t="n">
        <v>0</v>
      </c>
      <c r="K836" t="n">
        <v>0</v>
      </c>
      <c r="L836" t="n">
        <v>0</v>
      </c>
      <c r="M836" t="n">
        <v>0</v>
      </c>
      <c r="N836" t="n">
        <v>0</v>
      </c>
      <c r="O836" t="n">
        <v>0</v>
      </c>
      <c r="P836" t="n">
        <v>0</v>
      </c>
      <c r="Q836" t="n">
        <v>0</v>
      </c>
      <c r="R836" s="2" t="inlineStr"/>
    </row>
    <row r="837" ht="15" customHeight="1">
      <c r="A837" t="inlineStr">
        <is>
          <t>A 34457-2019</t>
        </is>
      </c>
      <c r="B837" s="1" t="n">
        <v>43656</v>
      </c>
      <c r="C837" s="1" t="n">
        <v>45761</v>
      </c>
      <c r="D837" t="inlineStr">
        <is>
          <t>SÖDERMANLANDS LÄN</t>
        </is>
      </c>
      <c r="E837" t="inlineStr">
        <is>
          <t>VINGÅKER</t>
        </is>
      </c>
      <c r="G837" t="n">
        <v>0.8</v>
      </c>
      <c r="H837" t="n">
        <v>0</v>
      </c>
      <c r="I837" t="n">
        <v>0</v>
      </c>
      <c r="J837" t="n">
        <v>0</v>
      </c>
      <c r="K837" t="n">
        <v>0</v>
      </c>
      <c r="L837" t="n">
        <v>0</v>
      </c>
      <c r="M837" t="n">
        <v>0</v>
      </c>
      <c r="N837" t="n">
        <v>0</v>
      </c>
      <c r="O837" t="n">
        <v>0</v>
      </c>
      <c r="P837" t="n">
        <v>0</v>
      </c>
      <c r="Q837" t="n">
        <v>0</v>
      </c>
      <c r="R837" s="2" t="inlineStr"/>
    </row>
    <row r="838" ht="15" customHeight="1">
      <c r="A838" t="inlineStr">
        <is>
          <t>A 35802-2019</t>
        </is>
      </c>
      <c r="B838" s="1" t="n">
        <v>43656</v>
      </c>
      <c r="C838" s="1" t="n">
        <v>45761</v>
      </c>
      <c r="D838" t="inlineStr">
        <is>
          <t>SÖDERMANLANDS LÄN</t>
        </is>
      </c>
      <c r="E838" t="inlineStr">
        <is>
          <t>VINGÅKER</t>
        </is>
      </c>
      <c r="G838" t="n">
        <v>2</v>
      </c>
      <c r="H838" t="n">
        <v>0</v>
      </c>
      <c r="I838" t="n">
        <v>0</v>
      </c>
      <c r="J838" t="n">
        <v>0</v>
      </c>
      <c r="K838" t="n">
        <v>0</v>
      </c>
      <c r="L838" t="n">
        <v>0</v>
      </c>
      <c r="M838" t="n">
        <v>0</v>
      </c>
      <c r="N838" t="n">
        <v>0</v>
      </c>
      <c r="O838" t="n">
        <v>0</v>
      </c>
      <c r="P838" t="n">
        <v>0</v>
      </c>
      <c r="Q838" t="n">
        <v>0</v>
      </c>
      <c r="R838" s="2" t="inlineStr"/>
    </row>
    <row r="839" ht="15" customHeight="1">
      <c r="A839" t="inlineStr">
        <is>
          <t>A 35864-2019</t>
        </is>
      </c>
      <c r="B839" s="1" t="n">
        <v>43656</v>
      </c>
      <c r="C839" s="1" t="n">
        <v>45761</v>
      </c>
      <c r="D839" t="inlineStr">
        <is>
          <t>SÖDERMANLANDS LÄN</t>
        </is>
      </c>
      <c r="E839" t="inlineStr">
        <is>
          <t>ESKILSTUNA</t>
        </is>
      </c>
      <c r="G839" t="n">
        <v>5.6</v>
      </c>
      <c r="H839" t="n">
        <v>0</v>
      </c>
      <c r="I839" t="n">
        <v>0</v>
      </c>
      <c r="J839" t="n">
        <v>0</v>
      </c>
      <c r="K839" t="n">
        <v>0</v>
      </c>
      <c r="L839" t="n">
        <v>0</v>
      </c>
      <c r="M839" t="n">
        <v>0</v>
      </c>
      <c r="N839" t="n">
        <v>0</v>
      </c>
      <c r="O839" t="n">
        <v>0</v>
      </c>
      <c r="P839" t="n">
        <v>0</v>
      </c>
      <c r="Q839" t="n">
        <v>0</v>
      </c>
      <c r="R839" s="2" t="inlineStr"/>
    </row>
    <row r="840" ht="15" customHeight="1">
      <c r="A840" t="inlineStr">
        <is>
          <t>A 35796-2019</t>
        </is>
      </c>
      <c r="B840" s="1" t="n">
        <v>43656</v>
      </c>
      <c r="C840" s="1" t="n">
        <v>45761</v>
      </c>
      <c r="D840" t="inlineStr">
        <is>
          <t>SÖDERMANLANDS LÄN</t>
        </is>
      </c>
      <c r="E840" t="inlineStr">
        <is>
          <t>VINGÅKER</t>
        </is>
      </c>
      <c r="G840" t="n">
        <v>7.3</v>
      </c>
      <c r="H840" t="n">
        <v>0</v>
      </c>
      <c r="I840" t="n">
        <v>0</v>
      </c>
      <c r="J840" t="n">
        <v>0</v>
      </c>
      <c r="K840" t="n">
        <v>0</v>
      </c>
      <c r="L840" t="n">
        <v>0</v>
      </c>
      <c r="M840" t="n">
        <v>0</v>
      </c>
      <c r="N840" t="n">
        <v>0</v>
      </c>
      <c r="O840" t="n">
        <v>0</v>
      </c>
      <c r="P840" t="n">
        <v>0</v>
      </c>
      <c r="Q840" t="n">
        <v>0</v>
      </c>
      <c r="R840" s="2" t="inlineStr"/>
    </row>
    <row r="841" ht="15" customHeight="1">
      <c r="A841" t="inlineStr">
        <is>
          <t>A 34606-2019</t>
        </is>
      </c>
      <c r="B841" s="1" t="n">
        <v>43657</v>
      </c>
      <c r="C841" s="1" t="n">
        <v>45761</v>
      </c>
      <c r="D841" t="inlineStr">
        <is>
          <t>SÖDERMANLANDS LÄN</t>
        </is>
      </c>
      <c r="E841" t="inlineStr">
        <is>
          <t>NYKÖPING</t>
        </is>
      </c>
      <c r="F841" t="inlineStr">
        <is>
          <t>Kommuner</t>
        </is>
      </c>
      <c r="G841" t="n">
        <v>2.8</v>
      </c>
      <c r="H841" t="n">
        <v>0</v>
      </c>
      <c r="I841" t="n">
        <v>0</v>
      </c>
      <c r="J841" t="n">
        <v>0</v>
      </c>
      <c r="K841" t="n">
        <v>0</v>
      </c>
      <c r="L841" t="n">
        <v>0</v>
      </c>
      <c r="M841" t="n">
        <v>0</v>
      </c>
      <c r="N841" t="n">
        <v>0</v>
      </c>
      <c r="O841" t="n">
        <v>0</v>
      </c>
      <c r="P841" t="n">
        <v>0</v>
      </c>
      <c r="Q841" t="n">
        <v>0</v>
      </c>
      <c r="R841" s="2" t="inlineStr"/>
    </row>
    <row r="842" ht="15" customHeight="1">
      <c r="A842" t="inlineStr">
        <is>
          <t>A 34988-2019</t>
        </is>
      </c>
      <c r="B842" s="1" t="n">
        <v>43659</v>
      </c>
      <c r="C842" s="1" t="n">
        <v>45761</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36250-2019</t>
        </is>
      </c>
      <c r="B843" s="1" t="n">
        <v>43660</v>
      </c>
      <c r="C843" s="1" t="n">
        <v>45761</v>
      </c>
      <c r="D843" t="inlineStr">
        <is>
          <t>SÖDERMANLANDS LÄN</t>
        </is>
      </c>
      <c r="E843" t="inlineStr">
        <is>
          <t>KATRINEHOLM</t>
        </is>
      </c>
      <c r="G843" t="n">
        <v>5.4</v>
      </c>
      <c r="H843" t="n">
        <v>0</v>
      </c>
      <c r="I843" t="n">
        <v>0</v>
      </c>
      <c r="J843" t="n">
        <v>0</v>
      </c>
      <c r="K843" t="n">
        <v>0</v>
      </c>
      <c r="L843" t="n">
        <v>0</v>
      </c>
      <c r="M843" t="n">
        <v>0</v>
      </c>
      <c r="N843" t="n">
        <v>0</v>
      </c>
      <c r="O843" t="n">
        <v>0</v>
      </c>
      <c r="P843" t="n">
        <v>0</v>
      </c>
      <c r="Q843" t="n">
        <v>0</v>
      </c>
      <c r="R843" s="2" t="inlineStr"/>
    </row>
    <row r="844" ht="15" customHeight="1">
      <c r="A844" t="inlineStr">
        <is>
          <t>A 35023-2019</t>
        </is>
      </c>
      <c r="B844" s="1" t="n">
        <v>43661</v>
      </c>
      <c r="C844" s="1" t="n">
        <v>45761</v>
      </c>
      <c r="D844" t="inlineStr">
        <is>
          <t>SÖDERMANLANDS LÄN</t>
        </is>
      </c>
      <c r="E844" t="inlineStr">
        <is>
          <t>FLEN</t>
        </is>
      </c>
      <c r="F844" t="inlineStr">
        <is>
          <t>Övriga statliga verk och myndigheter</t>
        </is>
      </c>
      <c r="G844" t="n">
        <v>12.1</v>
      </c>
      <c r="H844" t="n">
        <v>0</v>
      </c>
      <c r="I844" t="n">
        <v>0</v>
      </c>
      <c r="J844" t="n">
        <v>0</v>
      </c>
      <c r="K844" t="n">
        <v>0</v>
      </c>
      <c r="L844" t="n">
        <v>0</v>
      </c>
      <c r="M844" t="n">
        <v>0</v>
      </c>
      <c r="N844" t="n">
        <v>0</v>
      </c>
      <c r="O844" t="n">
        <v>0</v>
      </c>
      <c r="P844" t="n">
        <v>0</v>
      </c>
      <c r="Q844" t="n">
        <v>0</v>
      </c>
      <c r="R844" s="2" t="inlineStr"/>
    </row>
    <row r="845" ht="15" customHeight="1">
      <c r="A845" t="inlineStr">
        <is>
          <t>A 35086-2019</t>
        </is>
      </c>
      <c r="B845" s="1" t="n">
        <v>43661</v>
      </c>
      <c r="C845" s="1" t="n">
        <v>45761</v>
      </c>
      <c r="D845" t="inlineStr">
        <is>
          <t>SÖDERMANLANDS LÄN</t>
        </is>
      </c>
      <c r="E845" t="inlineStr">
        <is>
          <t>FLEN</t>
        </is>
      </c>
      <c r="F845" t="inlineStr">
        <is>
          <t>Övriga statliga verk och myndigheter</t>
        </is>
      </c>
      <c r="G845" t="n">
        <v>1.9</v>
      </c>
      <c r="H845" t="n">
        <v>0</v>
      </c>
      <c r="I845" t="n">
        <v>0</v>
      </c>
      <c r="J845" t="n">
        <v>0</v>
      </c>
      <c r="K845" t="n">
        <v>0</v>
      </c>
      <c r="L845" t="n">
        <v>0</v>
      </c>
      <c r="M845" t="n">
        <v>0</v>
      </c>
      <c r="N845" t="n">
        <v>0</v>
      </c>
      <c r="O845" t="n">
        <v>0</v>
      </c>
      <c r="P845" t="n">
        <v>0</v>
      </c>
      <c r="Q845" t="n">
        <v>0</v>
      </c>
      <c r="R845" s="2" t="inlineStr"/>
    </row>
    <row r="846" ht="15" customHeight="1">
      <c r="A846" t="inlineStr">
        <is>
          <t>A 35052-2019</t>
        </is>
      </c>
      <c r="B846" s="1" t="n">
        <v>43661</v>
      </c>
      <c r="C846" s="1" t="n">
        <v>45761</v>
      </c>
      <c r="D846" t="inlineStr">
        <is>
          <t>SÖDERMANLANDS LÄN</t>
        </is>
      </c>
      <c r="E846" t="inlineStr">
        <is>
          <t>FLEN</t>
        </is>
      </c>
      <c r="F846" t="inlineStr">
        <is>
          <t>Övriga statliga verk och myndigheter</t>
        </is>
      </c>
      <c r="G846" t="n">
        <v>3.3</v>
      </c>
      <c r="H846" t="n">
        <v>0</v>
      </c>
      <c r="I846" t="n">
        <v>0</v>
      </c>
      <c r="J846" t="n">
        <v>0</v>
      </c>
      <c r="K846" t="n">
        <v>0</v>
      </c>
      <c r="L846" t="n">
        <v>0</v>
      </c>
      <c r="M846" t="n">
        <v>0</v>
      </c>
      <c r="N846" t="n">
        <v>0</v>
      </c>
      <c r="O846" t="n">
        <v>0</v>
      </c>
      <c r="P846" t="n">
        <v>0</v>
      </c>
      <c r="Q846" t="n">
        <v>0</v>
      </c>
      <c r="R846" s="2" t="inlineStr"/>
    </row>
    <row r="847" ht="15" customHeight="1">
      <c r="A847" t="inlineStr">
        <is>
          <t>A 35140-2019</t>
        </is>
      </c>
      <c r="B847" s="1" t="n">
        <v>43661</v>
      </c>
      <c r="C847" s="1" t="n">
        <v>45761</v>
      </c>
      <c r="D847" t="inlineStr">
        <is>
          <t>SÖDERMANLANDS LÄN</t>
        </is>
      </c>
      <c r="E847" t="inlineStr">
        <is>
          <t>NYKÖPING</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36280-2019</t>
        </is>
      </c>
      <c r="B848" s="1" t="n">
        <v>43661</v>
      </c>
      <c r="C848" s="1" t="n">
        <v>45761</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36279-2019</t>
        </is>
      </c>
      <c r="B849" s="1" t="n">
        <v>43661</v>
      </c>
      <c r="C849" s="1" t="n">
        <v>45761</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35155-2019</t>
        </is>
      </c>
      <c r="B850" s="1" t="n">
        <v>43661</v>
      </c>
      <c r="C850" s="1" t="n">
        <v>45761</v>
      </c>
      <c r="D850" t="inlineStr">
        <is>
          <t>SÖDERMANLANDS LÄN</t>
        </is>
      </c>
      <c r="E850" t="inlineStr">
        <is>
          <t>NYKÖPING</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35145-2019</t>
        </is>
      </c>
      <c r="B851" s="1" t="n">
        <v>43661</v>
      </c>
      <c r="C851" s="1" t="n">
        <v>45761</v>
      </c>
      <c r="D851" t="inlineStr">
        <is>
          <t>SÖDERMANLANDS LÄN</t>
        </is>
      </c>
      <c r="E851" t="inlineStr">
        <is>
          <t>NYKÖPING</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35061-2019</t>
        </is>
      </c>
      <c r="B852" s="1" t="n">
        <v>43661</v>
      </c>
      <c r="C852" s="1" t="n">
        <v>45761</v>
      </c>
      <c r="D852" t="inlineStr">
        <is>
          <t>SÖDERMANLANDS LÄN</t>
        </is>
      </c>
      <c r="E852" t="inlineStr">
        <is>
          <t>GNESTA</t>
        </is>
      </c>
      <c r="G852" t="n">
        <v>0.7</v>
      </c>
      <c r="H852" t="n">
        <v>0</v>
      </c>
      <c r="I852" t="n">
        <v>0</v>
      </c>
      <c r="J852" t="n">
        <v>0</v>
      </c>
      <c r="K852" t="n">
        <v>0</v>
      </c>
      <c r="L852" t="n">
        <v>0</v>
      </c>
      <c r="M852" t="n">
        <v>0</v>
      </c>
      <c r="N852" t="n">
        <v>0</v>
      </c>
      <c r="O852" t="n">
        <v>0</v>
      </c>
      <c r="P852" t="n">
        <v>0</v>
      </c>
      <c r="Q852" t="n">
        <v>0</v>
      </c>
      <c r="R852" s="2" t="inlineStr"/>
    </row>
    <row r="853" ht="15" customHeight="1">
      <c r="A853" t="inlineStr">
        <is>
          <t>A 35182-2019</t>
        </is>
      </c>
      <c r="B853" s="1" t="n">
        <v>43661</v>
      </c>
      <c r="C853" s="1" t="n">
        <v>45761</v>
      </c>
      <c r="D853" t="inlineStr">
        <is>
          <t>SÖDERMANLANDS LÄN</t>
        </is>
      </c>
      <c r="E853" t="inlineStr">
        <is>
          <t>FLEN</t>
        </is>
      </c>
      <c r="G853" t="n">
        <v>5.1</v>
      </c>
      <c r="H853" t="n">
        <v>0</v>
      </c>
      <c r="I853" t="n">
        <v>0</v>
      </c>
      <c r="J853" t="n">
        <v>0</v>
      </c>
      <c r="K853" t="n">
        <v>0</v>
      </c>
      <c r="L853" t="n">
        <v>0</v>
      </c>
      <c r="M853" t="n">
        <v>0</v>
      </c>
      <c r="N853" t="n">
        <v>0</v>
      </c>
      <c r="O853" t="n">
        <v>0</v>
      </c>
      <c r="P853" t="n">
        <v>0</v>
      </c>
      <c r="Q853" t="n">
        <v>0</v>
      </c>
      <c r="R853" s="2" t="inlineStr"/>
    </row>
    <row r="854" ht="15" customHeight="1">
      <c r="A854" t="inlineStr">
        <is>
          <t>A 35293-2019</t>
        </is>
      </c>
      <c r="B854" s="1" t="n">
        <v>43662</v>
      </c>
      <c r="C854" s="1" t="n">
        <v>45761</v>
      </c>
      <c r="D854" t="inlineStr">
        <is>
          <t>SÖDERMANLANDS LÄN</t>
        </is>
      </c>
      <c r="E854" t="inlineStr">
        <is>
          <t>ESKILSTUNA</t>
        </is>
      </c>
      <c r="G854" t="n">
        <v>4.5</v>
      </c>
      <c r="H854" t="n">
        <v>0</v>
      </c>
      <c r="I854" t="n">
        <v>0</v>
      </c>
      <c r="J854" t="n">
        <v>0</v>
      </c>
      <c r="K854" t="n">
        <v>0</v>
      </c>
      <c r="L854" t="n">
        <v>0</v>
      </c>
      <c r="M854" t="n">
        <v>0</v>
      </c>
      <c r="N854" t="n">
        <v>0</v>
      </c>
      <c r="O854" t="n">
        <v>0</v>
      </c>
      <c r="P854" t="n">
        <v>0</v>
      </c>
      <c r="Q854" t="n">
        <v>0</v>
      </c>
      <c r="R854" s="2" t="inlineStr"/>
    </row>
    <row r="855" ht="15" customHeight="1">
      <c r="A855" t="inlineStr">
        <is>
          <t>A 35432-2019</t>
        </is>
      </c>
      <c r="B855" s="1" t="n">
        <v>43663</v>
      </c>
      <c r="C855" s="1" t="n">
        <v>45761</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35591-2019</t>
        </is>
      </c>
      <c r="B856" s="1" t="n">
        <v>43664</v>
      </c>
      <c r="C856" s="1" t="n">
        <v>45761</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35702-2019</t>
        </is>
      </c>
      <c r="B857" s="1" t="n">
        <v>43664</v>
      </c>
      <c r="C857" s="1" t="n">
        <v>45761</v>
      </c>
      <c r="D857" t="inlineStr">
        <is>
          <t>SÖDERMANLANDS LÄN</t>
        </is>
      </c>
      <c r="E857" t="inlineStr">
        <is>
          <t>FLEN</t>
        </is>
      </c>
      <c r="G857" t="n">
        <v>4.9</v>
      </c>
      <c r="H857" t="n">
        <v>0</v>
      </c>
      <c r="I857" t="n">
        <v>0</v>
      </c>
      <c r="J857" t="n">
        <v>0</v>
      </c>
      <c r="K857" t="n">
        <v>0</v>
      </c>
      <c r="L857" t="n">
        <v>0</v>
      </c>
      <c r="M857" t="n">
        <v>0</v>
      </c>
      <c r="N857" t="n">
        <v>0</v>
      </c>
      <c r="O857" t="n">
        <v>0</v>
      </c>
      <c r="P857" t="n">
        <v>0</v>
      </c>
      <c r="Q857" t="n">
        <v>0</v>
      </c>
      <c r="R857" s="2" t="inlineStr"/>
    </row>
    <row r="858" ht="15" customHeight="1">
      <c r="A858" t="inlineStr">
        <is>
          <t>A 35590-2019</t>
        </is>
      </c>
      <c r="B858" s="1" t="n">
        <v>43664</v>
      </c>
      <c r="C858" s="1" t="n">
        <v>45761</v>
      </c>
      <c r="D858" t="inlineStr">
        <is>
          <t>SÖDERMANLANDS LÄN</t>
        </is>
      </c>
      <c r="E858" t="inlineStr">
        <is>
          <t>NYKÖPING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36449-2019</t>
        </is>
      </c>
      <c r="B859" s="1" t="n">
        <v>43664</v>
      </c>
      <c r="C859" s="1" t="n">
        <v>45761</v>
      </c>
      <c r="D859" t="inlineStr">
        <is>
          <t>SÖDERMANLANDS LÄN</t>
        </is>
      </c>
      <c r="E859" t="inlineStr">
        <is>
          <t>STRÄNGNÄS</t>
        </is>
      </c>
      <c r="G859" t="n">
        <v>12.2</v>
      </c>
      <c r="H859" t="n">
        <v>0</v>
      </c>
      <c r="I859" t="n">
        <v>0</v>
      </c>
      <c r="J859" t="n">
        <v>0</v>
      </c>
      <c r="K859" t="n">
        <v>0</v>
      </c>
      <c r="L859" t="n">
        <v>0</v>
      </c>
      <c r="M859" t="n">
        <v>0</v>
      </c>
      <c r="N859" t="n">
        <v>0</v>
      </c>
      <c r="O859" t="n">
        <v>0</v>
      </c>
      <c r="P859" t="n">
        <v>0</v>
      </c>
      <c r="Q859" t="n">
        <v>0</v>
      </c>
      <c r="R859" s="2" t="inlineStr"/>
    </row>
    <row r="860" ht="15" customHeight="1">
      <c r="A860" t="inlineStr">
        <is>
          <t>A 36478-2019</t>
        </is>
      </c>
      <c r="B860" s="1" t="n">
        <v>43664</v>
      </c>
      <c r="C860" s="1" t="n">
        <v>45761</v>
      </c>
      <c r="D860" t="inlineStr">
        <is>
          <t>SÖDERMANLANDS LÄN</t>
        </is>
      </c>
      <c r="E860" t="inlineStr">
        <is>
          <t>ESKILSTUNA</t>
        </is>
      </c>
      <c r="G860" t="n">
        <v>16.6</v>
      </c>
      <c r="H860" t="n">
        <v>0</v>
      </c>
      <c r="I860" t="n">
        <v>0</v>
      </c>
      <c r="J860" t="n">
        <v>0</v>
      </c>
      <c r="K860" t="n">
        <v>0</v>
      </c>
      <c r="L860" t="n">
        <v>0</v>
      </c>
      <c r="M860" t="n">
        <v>0</v>
      </c>
      <c r="N860" t="n">
        <v>0</v>
      </c>
      <c r="O860" t="n">
        <v>0</v>
      </c>
      <c r="P860" t="n">
        <v>0</v>
      </c>
      <c r="Q860" t="n">
        <v>0</v>
      </c>
      <c r="R860" s="2" t="inlineStr"/>
    </row>
    <row r="861" ht="15" customHeight="1">
      <c r="A861" t="inlineStr">
        <is>
          <t>A 35773-2019</t>
        </is>
      </c>
      <c r="B861" s="1" t="n">
        <v>43665</v>
      </c>
      <c r="C861" s="1" t="n">
        <v>45761</v>
      </c>
      <c r="D861" t="inlineStr">
        <is>
          <t>SÖDERMANLANDS LÄN</t>
        </is>
      </c>
      <c r="E861" t="inlineStr">
        <is>
          <t>VINGÅKER</t>
        </is>
      </c>
      <c r="G861" t="n">
        <v>1.4</v>
      </c>
      <c r="H861" t="n">
        <v>0</v>
      </c>
      <c r="I861" t="n">
        <v>0</v>
      </c>
      <c r="J861" t="n">
        <v>0</v>
      </c>
      <c r="K861" t="n">
        <v>0</v>
      </c>
      <c r="L861" t="n">
        <v>0</v>
      </c>
      <c r="M861" t="n">
        <v>0</v>
      </c>
      <c r="N861" t="n">
        <v>0</v>
      </c>
      <c r="O861" t="n">
        <v>0</v>
      </c>
      <c r="P861" t="n">
        <v>0</v>
      </c>
      <c r="Q861" t="n">
        <v>0</v>
      </c>
      <c r="R861" s="2" t="inlineStr"/>
    </row>
    <row r="862" ht="15" customHeight="1">
      <c r="A862" t="inlineStr">
        <is>
          <t>A 35784-2019</t>
        </is>
      </c>
      <c r="B862" s="1" t="n">
        <v>43665</v>
      </c>
      <c r="C862" s="1" t="n">
        <v>45761</v>
      </c>
      <c r="D862" t="inlineStr">
        <is>
          <t>SÖDERMANLANDS LÄN</t>
        </is>
      </c>
      <c r="E862" t="inlineStr">
        <is>
          <t>KATRINEHOLM</t>
        </is>
      </c>
      <c r="G862" t="n">
        <v>1.3</v>
      </c>
      <c r="H862" t="n">
        <v>0</v>
      </c>
      <c r="I862" t="n">
        <v>0</v>
      </c>
      <c r="J862" t="n">
        <v>0</v>
      </c>
      <c r="K862" t="n">
        <v>0</v>
      </c>
      <c r="L862" t="n">
        <v>0</v>
      </c>
      <c r="M862" t="n">
        <v>0</v>
      </c>
      <c r="N862" t="n">
        <v>0</v>
      </c>
      <c r="O862" t="n">
        <v>0</v>
      </c>
      <c r="P862" t="n">
        <v>0</v>
      </c>
      <c r="Q862" t="n">
        <v>0</v>
      </c>
      <c r="R862" s="2" t="inlineStr"/>
    </row>
    <row r="863" ht="15" customHeight="1">
      <c r="A863" t="inlineStr">
        <is>
          <t>A 35982-2019</t>
        </is>
      </c>
      <c r="B863" s="1" t="n">
        <v>43667</v>
      </c>
      <c r="C863" s="1" t="n">
        <v>45761</v>
      </c>
      <c r="D863" t="inlineStr">
        <is>
          <t>SÖDERMANLANDS LÄN</t>
        </is>
      </c>
      <c r="E863" t="inlineStr">
        <is>
          <t>ESKILSTUNA</t>
        </is>
      </c>
      <c r="G863" t="n">
        <v>6.2</v>
      </c>
      <c r="H863" t="n">
        <v>0</v>
      </c>
      <c r="I863" t="n">
        <v>0</v>
      </c>
      <c r="J863" t="n">
        <v>0</v>
      </c>
      <c r="K863" t="n">
        <v>0</v>
      </c>
      <c r="L863" t="n">
        <v>0</v>
      </c>
      <c r="M863" t="n">
        <v>0</v>
      </c>
      <c r="N863" t="n">
        <v>0</v>
      </c>
      <c r="O863" t="n">
        <v>0</v>
      </c>
      <c r="P863" t="n">
        <v>0</v>
      </c>
      <c r="Q863" t="n">
        <v>0</v>
      </c>
      <c r="R863" s="2" t="inlineStr"/>
    </row>
    <row r="864" ht="15" customHeight="1">
      <c r="A864" t="inlineStr">
        <is>
          <t>A 35985-2019</t>
        </is>
      </c>
      <c r="B864" s="1" t="n">
        <v>43667</v>
      </c>
      <c r="C864" s="1" t="n">
        <v>45761</v>
      </c>
      <c r="D864" t="inlineStr">
        <is>
          <t>SÖDERMANLANDS LÄN</t>
        </is>
      </c>
      <c r="E864" t="inlineStr">
        <is>
          <t>ESKILSTUNA</t>
        </is>
      </c>
      <c r="G864" t="n">
        <v>2.4</v>
      </c>
      <c r="H864" t="n">
        <v>0</v>
      </c>
      <c r="I864" t="n">
        <v>0</v>
      </c>
      <c r="J864" t="n">
        <v>0</v>
      </c>
      <c r="K864" t="n">
        <v>0</v>
      </c>
      <c r="L864" t="n">
        <v>0</v>
      </c>
      <c r="M864" t="n">
        <v>0</v>
      </c>
      <c r="N864" t="n">
        <v>0</v>
      </c>
      <c r="O864" t="n">
        <v>0</v>
      </c>
      <c r="P864" t="n">
        <v>0</v>
      </c>
      <c r="Q864" t="n">
        <v>0</v>
      </c>
      <c r="R864" s="2" t="inlineStr"/>
    </row>
    <row r="865" ht="15" customHeight="1">
      <c r="A865" t="inlineStr">
        <is>
          <t>A 36098-2019</t>
        </is>
      </c>
      <c r="B865" s="1" t="n">
        <v>43668</v>
      </c>
      <c r="C865" s="1" t="n">
        <v>45761</v>
      </c>
      <c r="D865" t="inlineStr">
        <is>
          <t>SÖDERMANLANDS LÄN</t>
        </is>
      </c>
      <c r="E865" t="inlineStr">
        <is>
          <t>STRÄNGNÄS</t>
        </is>
      </c>
      <c r="G865" t="n">
        <v>7.2</v>
      </c>
      <c r="H865" t="n">
        <v>0</v>
      </c>
      <c r="I865" t="n">
        <v>0</v>
      </c>
      <c r="J865" t="n">
        <v>0</v>
      </c>
      <c r="K865" t="n">
        <v>0</v>
      </c>
      <c r="L865" t="n">
        <v>0</v>
      </c>
      <c r="M865" t="n">
        <v>0</v>
      </c>
      <c r="N865" t="n">
        <v>0</v>
      </c>
      <c r="O865" t="n">
        <v>0</v>
      </c>
      <c r="P865" t="n">
        <v>0</v>
      </c>
      <c r="Q865" t="n">
        <v>0</v>
      </c>
      <c r="R865" s="2" t="inlineStr"/>
    </row>
    <row r="866" ht="15" customHeight="1">
      <c r="A866" t="inlineStr">
        <is>
          <t>A 36152-2019</t>
        </is>
      </c>
      <c r="B866" s="1" t="n">
        <v>43668</v>
      </c>
      <c r="C866" s="1" t="n">
        <v>45761</v>
      </c>
      <c r="D866" t="inlineStr">
        <is>
          <t>SÖDERMANLANDS LÄN</t>
        </is>
      </c>
      <c r="E866" t="inlineStr">
        <is>
          <t>FLEN</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36613-2019</t>
        </is>
      </c>
      <c r="B867" s="1" t="n">
        <v>43669</v>
      </c>
      <c r="C867" s="1" t="n">
        <v>45761</v>
      </c>
      <c r="D867" t="inlineStr">
        <is>
          <t>SÖDERMANLANDS LÄN</t>
        </is>
      </c>
      <c r="E867" t="inlineStr">
        <is>
          <t>KATRINEHOLM</t>
        </is>
      </c>
      <c r="G867" t="n">
        <v>3</v>
      </c>
      <c r="H867" t="n">
        <v>0</v>
      </c>
      <c r="I867" t="n">
        <v>0</v>
      </c>
      <c r="J867" t="n">
        <v>0</v>
      </c>
      <c r="K867" t="n">
        <v>0</v>
      </c>
      <c r="L867" t="n">
        <v>0</v>
      </c>
      <c r="M867" t="n">
        <v>0</v>
      </c>
      <c r="N867" t="n">
        <v>0</v>
      </c>
      <c r="O867" t="n">
        <v>0</v>
      </c>
      <c r="P867" t="n">
        <v>0</v>
      </c>
      <c r="Q867" t="n">
        <v>0</v>
      </c>
      <c r="R867" s="2" t="inlineStr"/>
    </row>
    <row r="868" ht="15" customHeight="1">
      <c r="A868" t="inlineStr">
        <is>
          <t>A 36582-2019</t>
        </is>
      </c>
      <c r="B868" s="1" t="n">
        <v>43669</v>
      </c>
      <c r="C868" s="1" t="n">
        <v>45761</v>
      </c>
      <c r="D868" t="inlineStr">
        <is>
          <t>SÖDERMANLANDS LÄN</t>
        </is>
      </c>
      <c r="E868" t="inlineStr">
        <is>
          <t>NYKÖPING</t>
        </is>
      </c>
      <c r="G868" t="n">
        <v>6.1</v>
      </c>
      <c r="H868" t="n">
        <v>0</v>
      </c>
      <c r="I868" t="n">
        <v>0</v>
      </c>
      <c r="J868" t="n">
        <v>0</v>
      </c>
      <c r="K868" t="n">
        <v>0</v>
      </c>
      <c r="L868" t="n">
        <v>0</v>
      </c>
      <c r="M868" t="n">
        <v>0</v>
      </c>
      <c r="N868" t="n">
        <v>0</v>
      </c>
      <c r="O868" t="n">
        <v>0</v>
      </c>
      <c r="P868" t="n">
        <v>0</v>
      </c>
      <c r="Q868" t="n">
        <v>0</v>
      </c>
      <c r="R868" s="2" t="inlineStr"/>
    </row>
    <row r="869" ht="15" customHeight="1">
      <c r="A869" t="inlineStr">
        <is>
          <t>A 36223-2019</t>
        </is>
      </c>
      <c r="B869" s="1" t="n">
        <v>43669</v>
      </c>
      <c r="C869" s="1" t="n">
        <v>45761</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36612-2019</t>
        </is>
      </c>
      <c r="B870" s="1" t="n">
        <v>43669</v>
      </c>
      <c r="C870" s="1" t="n">
        <v>45761</v>
      </c>
      <c r="D870" t="inlineStr">
        <is>
          <t>SÖDERMANLANDS LÄN</t>
        </is>
      </c>
      <c r="E870" t="inlineStr">
        <is>
          <t>FLEN</t>
        </is>
      </c>
      <c r="G870" t="n">
        <v>4.8</v>
      </c>
      <c r="H870" t="n">
        <v>0</v>
      </c>
      <c r="I870" t="n">
        <v>0</v>
      </c>
      <c r="J870" t="n">
        <v>0</v>
      </c>
      <c r="K870" t="n">
        <v>0</v>
      </c>
      <c r="L870" t="n">
        <v>0</v>
      </c>
      <c r="M870" t="n">
        <v>0</v>
      </c>
      <c r="N870" t="n">
        <v>0</v>
      </c>
      <c r="O870" t="n">
        <v>0</v>
      </c>
      <c r="P870" t="n">
        <v>0</v>
      </c>
      <c r="Q870" t="n">
        <v>0</v>
      </c>
      <c r="R870" s="2" t="inlineStr"/>
    </row>
    <row r="871" ht="15" customHeight="1">
      <c r="A871" t="inlineStr">
        <is>
          <t>A 36603-2019</t>
        </is>
      </c>
      <c r="B871" s="1" t="n">
        <v>43669</v>
      </c>
      <c r="C871" s="1" t="n">
        <v>45761</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36225-2019</t>
        </is>
      </c>
      <c r="B872" s="1" t="n">
        <v>43669</v>
      </c>
      <c r="C872" s="1" t="n">
        <v>45761</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36619-2019</t>
        </is>
      </c>
      <c r="B873" s="1" t="n">
        <v>43669</v>
      </c>
      <c r="C873" s="1" t="n">
        <v>45761</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36479-2019</t>
        </is>
      </c>
      <c r="B874" s="1" t="n">
        <v>43670</v>
      </c>
      <c r="C874" s="1" t="n">
        <v>45761</v>
      </c>
      <c r="D874" t="inlineStr">
        <is>
          <t>SÖDERMANLANDS LÄN</t>
        </is>
      </c>
      <c r="E874" t="inlineStr">
        <is>
          <t>VINGÅKER</t>
        </is>
      </c>
      <c r="G874" t="n">
        <v>4.5</v>
      </c>
      <c r="H874" t="n">
        <v>0</v>
      </c>
      <c r="I874" t="n">
        <v>0</v>
      </c>
      <c r="J874" t="n">
        <v>0</v>
      </c>
      <c r="K874" t="n">
        <v>0</v>
      </c>
      <c r="L874" t="n">
        <v>0</v>
      </c>
      <c r="M874" t="n">
        <v>0</v>
      </c>
      <c r="N874" t="n">
        <v>0</v>
      </c>
      <c r="O874" t="n">
        <v>0</v>
      </c>
      <c r="P874" t="n">
        <v>0</v>
      </c>
      <c r="Q874" t="n">
        <v>0</v>
      </c>
      <c r="R874" s="2" t="inlineStr"/>
    </row>
    <row r="875" ht="15" customHeight="1">
      <c r="A875" t="inlineStr">
        <is>
          <t>A 36408-2019</t>
        </is>
      </c>
      <c r="B875" s="1" t="n">
        <v>43670</v>
      </c>
      <c r="C875" s="1" t="n">
        <v>45761</v>
      </c>
      <c r="D875" t="inlineStr">
        <is>
          <t>SÖDERMANLANDS LÄN</t>
        </is>
      </c>
      <c r="E875" t="inlineStr">
        <is>
          <t>KATRINEHOLM</t>
        </is>
      </c>
      <c r="G875" t="n">
        <v>13.6</v>
      </c>
      <c r="H875" t="n">
        <v>0</v>
      </c>
      <c r="I875" t="n">
        <v>0</v>
      </c>
      <c r="J875" t="n">
        <v>0</v>
      </c>
      <c r="K875" t="n">
        <v>0</v>
      </c>
      <c r="L875" t="n">
        <v>0</v>
      </c>
      <c r="M875" t="n">
        <v>0</v>
      </c>
      <c r="N875" t="n">
        <v>0</v>
      </c>
      <c r="O875" t="n">
        <v>0</v>
      </c>
      <c r="P875" t="n">
        <v>0</v>
      </c>
      <c r="Q875" t="n">
        <v>0</v>
      </c>
      <c r="R875" s="2" t="inlineStr"/>
    </row>
    <row r="876" ht="15" customHeight="1">
      <c r="A876" t="inlineStr">
        <is>
          <t>A 36780-2019</t>
        </is>
      </c>
      <c r="B876" s="1" t="n">
        <v>43672</v>
      </c>
      <c r="C876" s="1" t="n">
        <v>45761</v>
      </c>
      <c r="D876" t="inlineStr">
        <is>
          <t>SÖDERMANLANDS LÄN</t>
        </is>
      </c>
      <c r="E876" t="inlineStr">
        <is>
          <t>KATRINEHOLM</t>
        </is>
      </c>
      <c r="G876" t="n">
        <v>0.4</v>
      </c>
      <c r="H876" t="n">
        <v>0</v>
      </c>
      <c r="I876" t="n">
        <v>0</v>
      </c>
      <c r="J876" t="n">
        <v>0</v>
      </c>
      <c r="K876" t="n">
        <v>0</v>
      </c>
      <c r="L876" t="n">
        <v>0</v>
      </c>
      <c r="M876" t="n">
        <v>0</v>
      </c>
      <c r="N876" t="n">
        <v>0</v>
      </c>
      <c r="O876" t="n">
        <v>0</v>
      </c>
      <c r="P876" t="n">
        <v>0</v>
      </c>
      <c r="Q876" t="n">
        <v>0</v>
      </c>
      <c r="R876" s="2" t="inlineStr"/>
    </row>
    <row r="877" ht="15" customHeight="1">
      <c r="A877" t="inlineStr">
        <is>
          <t>A 36901-2019</t>
        </is>
      </c>
      <c r="B877" s="1" t="n">
        <v>43675</v>
      </c>
      <c r="C877" s="1" t="n">
        <v>45761</v>
      </c>
      <c r="D877" t="inlineStr">
        <is>
          <t>SÖDERMANLANDS LÄN</t>
        </is>
      </c>
      <c r="E877" t="inlineStr">
        <is>
          <t>FLEN</t>
        </is>
      </c>
      <c r="G877" t="n">
        <v>1</v>
      </c>
      <c r="H877" t="n">
        <v>0</v>
      </c>
      <c r="I877" t="n">
        <v>0</v>
      </c>
      <c r="J877" t="n">
        <v>0</v>
      </c>
      <c r="K877" t="n">
        <v>0</v>
      </c>
      <c r="L877" t="n">
        <v>0</v>
      </c>
      <c r="M877" t="n">
        <v>0</v>
      </c>
      <c r="N877" t="n">
        <v>0</v>
      </c>
      <c r="O877" t="n">
        <v>0</v>
      </c>
      <c r="P877" t="n">
        <v>0</v>
      </c>
      <c r="Q877" t="n">
        <v>0</v>
      </c>
      <c r="R877" s="2" t="inlineStr"/>
    </row>
    <row r="878" ht="15" customHeight="1">
      <c r="A878" t="inlineStr">
        <is>
          <t>A 36978-2019</t>
        </is>
      </c>
      <c r="B878" s="1" t="n">
        <v>43676</v>
      </c>
      <c r="C878" s="1" t="n">
        <v>45761</v>
      </c>
      <c r="D878" t="inlineStr">
        <is>
          <t>SÖDERMANLANDS LÄN</t>
        </is>
      </c>
      <c r="E878" t="inlineStr">
        <is>
          <t>FLEN</t>
        </is>
      </c>
      <c r="G878" t="n">
        <v>1.7</v>
      </c>
      <c r="H878" t="n">
        <v>0</v>
      </c>
      <c r="I878" t="n">
        <v>0</v>
      </c>
      <c r="J878" t="n">
        <v>0</v>
      </c>
      <c r="K878" t="n">
        <v>0</v>
      </c>
      <c r="L878" t="n">
        <v>0</v>
      </c>
      <c r="M878" t="n">
        <v>0</v>
      </c>
      <c r="N878" t="n">
        <v>0</v>
      </c>
      <c r="O878" t="n">
        <v>0</v>
      </c>
      <c r="P878" t="n">
        <v>0</v>
      </c>
      <c r="Q878" t="n">
        <v>0</v>
      </c>
      <c r="R878" s="2" t="inlineStr"/>
    </row>
    <row r="879" ht="15" customHeight="1">
      <c r="A879" t="inlineStr">
        <is>
          <t>A 37062-2019</t>
        </is>
      </c>
      <c r="B879" s="1" t="n">
        <v>43676</v>
      </c>
      <c r="C879" s="1" t="n">
        <v>45761</v>
      </c>
      <c r="D879" t="inlineStr">
        <is>
          <t>SÖDERMANLANDS LÄN</t>
        </is>
      </c>
      <c r="E879" t="inlineStr">
        <is>
          <t>VINGÅKER</t>
        </is>
      </c>
      <c r="G879" t="n">
        <v>6.7</v>
      </c>
      <c r="H879" t="n">
        <v>0</v>
      </c>
      <c r="I879" t="n">
        <v>0</v>
      </c>
      <c r="J879" t="n">
        <v>0</v>
      </c>
      <c r="K879" t="n">
        <v>0</v>
      </c>
      <c r="L879" t="n">
        <v>0</v>
      </c>
      <c r="M879" t="n">
        <v>0</v>
      </c>
      <c r="N879" t="n">
        <v>0</v>
      </c>
      <c r="O879" t="n">
        <v>0</v>
      </c>
      <c r="P879" t="n">
        <v>0</v>
      </c>
      <c r="Q879" t="n">
        <v>0</v>
      </c>
      <c r="R879" s="2" t="inlineStr"/>
    </row>
    <row r="880" ht="15" customHeight="1">
      <c r="A880" t="inlineStr">
        <is>
          <t>A 36994-2019</t>
        </is>
      </c>
      <c r="B880" s="1" t="n">
        <v>43676</v>
      </c>
      <c r="C880" s="1" t="n">
        <v>45761</v>
      </c>
      <c r="D880" t="inlineStr">
        <is>
          <t>SÖDERMANLANDS LÄN</t>
        </is>
      </c>
      <c r="E880" t="inlineStr">
        <is>
          <t>FLEN</t>
        </is>
      </c>
      <c r="G880" t="n">
        <v>1.3</v>
      </c>
      <c r="H880" t="n">
        <v>0</v>
      </c>
      <c r="I880" t="n">
        <v>0</v>
      </c>
      <c r="J880" t="n">
        <v>0</v>
      </c>
      <c r="K880" t="n">
        <v>0</v>
      </c>
      <c r="L880" t="n">
        <v>0</v>
      </c>
      <c r="M880" t="n">
        <v>0</v>
      </c>
      <c r="N880" t="n">
        <v>0</v>
      </c>
      <c r="O880" t="n">
        <v>0</v>
      </c>
      <c r="P880" t="n">
        <v>0</v>
      </c>
      <c r="Q880" t="n">
        <v>0</v>
      </c>
      <c r="R880" s="2" t="inlineStr"/>
    </row>
    <row r="881" ht="15" customHeight="1">
      <c r="A881" t="inlineStr">
        <is>
          <t>A 37255-2019</t>
        </is>
      </c>
      <c r="B881" s="1" t="n">
        <v>43677</v>
      </c>
      <c r="C881" s="1" t="n">
        <v>45761</v>
      </c>
      <c r="D881" t="inlineStr">
        <is>
          <t>SÖDERMANLANDS LÄN</t>
        </is>
      </c>
      <c r="E881" t="inlineStr">
        <is>
          <t>ESKILSTUNA</t>
        </is>
      </c>
      <c r="G881" t="n">
        <v>4.2</v>
      </c>
      <c r="H881" t="n">
        <v>0</v>
      </c>
      <c r="I881" t="n">
        <v>0</v>
      </c>
      <c r="J881" t="n">
        <v>0</v>
      </c>
      <c r="K881" t="n">
        <v>0</v>
      </c>
      <c r="L881" t="n">
        <v>0</v>
      </c>
      <c r="M881" t="n">
        <v>0</v>
      </c>
      <c r="N881" t="n">
        <v>0</v>
      </c>
      <c r="O881" t="n">
        <v>0</v>
      </c>
      <c r="P881" t="n">
        <v>0</v>
      </c>
      <c r="Q881" t="n">
        <v>0</v>
      </c>
      <c r="R881" s="2" t="inlineStr"/>
    </row>
    <row r="882" ht="15" customHeight="1">
      <c r="A882" t="inlineStr">
        <is>
          <t>A 37504-2019</t>
        </is>
      </c>
      <c r="B882" s="1" t="n">
        <v>43678</v>
      </c>
      <c r="C882" s="1" t="n">
        <v>45761</v>
      </c>
      <c r="D882" t="inlineStr">
        <is>
          <t>SÖDERMANLANDS LÄN</t>
        </is>
      </c>
      <c r="E882" t="inlineStr">
        <is>
          <t>ESKILSTUNA</t>
        </is>
      </c>
      <c r="G882" t="n">
        <v>6.1</v>
      </c>
      <c r="H882" t="n">
        <v>0</v>
      </c>
      <c r="I882" t="n">
        <v>0</v>
      </c>
      <c r="J882" t="n">
        <v>0</v>
      </c>
      <c r="K882" t="n">
        <v>0</v>
      </c>
      <c r="L882" t="n">
        <v>0</v>
      </c>
      <c r="M882" t="n">
        <v>0</v>
      </c>
      <c r="N882" t="n">
        <v>0</v>
      </c>
      <c r="O882" t="n">
        <v>0</v>
      </c>
      <c r="P882" t="n">
        <v>0</v>
      </c>
      <c r="Q882" t="n">
        <v>0</v>
      </c>
      <c r="R882" s="2" t="inlineStr"/>
    </row>
    <row r="883" ht="15" customHeight="1">
      <c r="A883" t="inlineStr">
        <is>
          <t>A 37416-2019</t>
        </is>
      </c>
      <c r="B883" s="1" t="n">
        <v>43678</v>
      </c>
      <c r="C883" s="1" t="n">
        <v>45761</v>
      </c>
      <c r="D883" t="inlineStr">
        <is>
          <t>SÖDERMANLANDS LÄN</t>
        </is>
      </c>
      <c r="E883" t="inlineStr">
        <is>
          <t>NYKÖPING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37321-2019</t>
        </is>
      </c>
      <c r="B884" s="1" t="n">
        <v>43678</v>
      </c>
      <c r="C884" s="1" t="n">
        <v>45761</v>
      </c>
      <c r="D884" t="inlineStr">
        <is>
          <t>SÖDERMANLANDS LÄN</t>
        </is>
      </c>
      <c r="E884" t="inlineStr">
        <is>
          <t>KATRINEHOLM</t>
        </is>
      </c>
      <c r="G884" t="n">
        <v>5.5</v>
      </c>
      <c r="H884" t="n">
        <v>0</v>
      </c>
      <c r="I884" t="n">
        <v>0</v>
      </c>
      <c r="J884" t="n">
        <v>0</v>
      </c>
      <c r="K884" t="n">
        <v>0</v>
      </c>
      <c r="L884" t="n">
        <v>0</v>
      </c>
      <c r="M884" t="n">
        <v>0</v>
      </c>
      <c r="N884" t="n">
        <v>0</v>
      </c>
      <c r="O884" t="n">
        <v>0</v>
      </c>
      <c r="P884" t="n">
        <v>0</v>
      </c>
      <c r="Q884" t="n">
        <v>0</v>
      </c>
      <c r="R884" s="2" t="inlineStr"/>
    </row>
    <row r="885" ht="15" customHeight="1">
      <c r="A885" t="inlineStr">
        <is>
          <t>A 37462-2019</t>
        </is>
      </c>
      <c r="B885" s="1" t="n">
        <v>43678</v>
      </c>
      <c r="C885" s="1" t="n">
        <v>45761</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37337-2019</t>
        </is>
      </c>
      <c r="B886" s="1" t="n">
        <v>43678</v>
      </c>
      <c r="C886" s="1" t="n">
        <v>45761</v>
      </c>
      <c r="D886" t="inlineStr">
        <is>
          <t>SÖDERMANLANDS LÄN</t>
        </is>
      </c>
      <c r="E886" t="inlineStr">
        <is>
          <t>FLEN</t>
        </is>
      </c>
      <c r="G886" t="n">
        <v>4.5</v>
      </c>
      <c r="H886" t="n">
        <v>0</v>
      </c>
      <c r="I886" t="n">
        <v>0</v>
      </c>
      <c r="J886" t="n">
        <v>0</v>
      </c>
      <c r="K886" t="n">
        <v>0</v>
      </c>
      <c r="L886" t="n">
        <v>0</v>
      </c>
      <c r="M886" t="n">
        <v>0</v>
      </c>
      <c r="N886" t="n">
        <v>0</v>
      </c>
      <c r="O886" t="n">
        <v>0</v>
      </c>
      <c r="P886" t="n">
        <v>0</v>
      </c>
      <c r="Q886" t="n">
        <v>0</v>
      </c>
      <c r="R886" s="2" t="inlineStr"/>
    </row>
    <row r="887" ht="15" customHeight="1">
      <c r="A887" t="inlineStr">
        <is>
          <t>A 37344-2019</t>
        </is>
      </c>
      <c r="B887" s="1" t="n">
        <v>43678</v>
      </c>
      <c r="C887" s="1" t="n">
        <v>45761</v>
      </c>
      <c r="D887" t="inlineStr">
        <is>
          <t>SÖDERMANLANDS LÄN</t>
        </is>
      </c>
      <c r="E887" t="inlineStr">
        <is>
          <t>NYKÖPING</t>
        </is>
      </c>
      <c r="G887" t="n">
        <v>2</v>
      </c>
      <c r="H887" t="n">
        <v>0</v>
      </c>
      <c r="I887" t="n">
        <v>0</v>
      </c>
      <c r="J887" t="n">
        <v>0</v>
      </c>
      <c r="K887" t="n">
        <v>0</v>
      </c>
      <c r="L887" t="n">
        <v>0</v>
      </c>
      <c r="M887" t="n">
        <v>0</v>
      </c>
      <c r="N887" t="n">
        <v>0</v>
      </c>
      <c r="O887" t="n">
        <v>0</v>
      </c>
      <c r="P887" t="n">
        <v>0</v>
      </c>
      <c r="Q887" t="n">
        <v>0</v>
      </c>
      <c r="R887" s="2" t="inlineStr"/>
    </row>
    <row r="888" ht="15" customHeight="1">
      <c r="A888" t="inlineStr">
        <is>
          <t>A 37420-2019</t>
        </is>
      </c>
      <c r="B888" s="1" t="n">
        <v>43678</v>
      </c>
      <c r="C888" s="1" t="n">
        <v>45761</v>
      </c>
      <c r="D888" t="inlineStr">
        <is>
          <t>SÖDERMANLANDS LÄN</t>
        </is>
      </c>
      <c r="E888" t="inlineStr">
        <is>
          <t>KATRINEHOLM</t>
        </is>
      </c>
      <c r="G888" t="n">
        <v>1.6</v>
      </c>
      <c r="H888" t="n">
        <v>0</v>
      </c>
      <c r="I888" t="n">
        <v>0</v>
      </c>
      <c r="J888" t="n">
        <v>0</v>
      </c>
      <c r="K888" t="n">
        <v>0</v>
      </c>
      <c r="L888" t="n">
        <v>0</v>
      </c>
      <c r="M888" t="n">
        <v>0</v>
      </c>
      <c r="N888" t="n">
        <v>0</v>
      </c>
      <c r="O888" t="n">
        <v>0</v>
      </c>
      <c r="P888" t="n">
        <v>0</v>
      </c>
      <c r="Q888" t="n">
        <v>0</v>
      </c>
      <c r="R888" s="2" t="inlineStr"/>
    </row>
    <row r="889" ht="15" customHeight="1">
      <c r="A889" t="inlineStr">
        <is>
          <t>A 37574-2019</t>
        </is>
      </c>
      <c r="B889" s="1" t="n">
        <v>43679</v>
      </c>
      <c r="C889" s="1" t="n">
        <v>45761</v>
      </c>
      <c r="D889" t="inlineStr">
        <is>
          <t>SÖDERMANLANDS LÄN</t>
        </is>
      </c>
      <c r="E889" t="inlineStr">
        <is>
          <t>FLEN</t>
        </is>
      </c>
      <c r="F889" t="inlineStr">
        <is>
          <t>Övriga statliga verk och myndigheter</t>
        </is>
      </c>
      <c r="G889" t="n">
        <v>0.7</v>
      </c>
      <c r="H889" t="n">
        <v>0</v>
      </c>
      <c r="I889" t="n">
        <v>0</v>
      </c>
      <c r="J889" t="n">
        <v>0</v>
      </c>
      <c r="K889" t="n">
        <v>0</v>
      </c>
      <c r="L889" t="n">
        <v>0</v>
      </c>
      <c r="M889" t="n">
        <v>0</v>
      </c>
      <c r="N889" t="n">
        <v>0</v>
      </c>
      <c r="O889" t="n">
        <v>0</v>
      </c>
      <c r="P889" t="n">
        <v>0</v>
      </c>
      <c r="Q889" t="n">
        <v>0</v>
      </c>
      <c r="R889" s="2" t="inlineStr"/>
    </row>
    <row r="890" ht="15" customHeight="1">
      <c r="A890" t="inlineStr">
        <is>
          <t>A 37560-2019</t>
        </is>
      </c>
      <c r="B890" s="1" t="n">
        <v>43679</v>
      </c>
      <c r="C890" s="1" t="n">
        <v>45761</v>
      </c>
      <c r="D890" t="inlineStr">
        <is>
          <t>SÖDERMANLANDS LÄN</t>
        </is>
      </c>
      <c r="E890" t="inlineStr">
        <is>
          <t>FLEN</t>
        </is>
      </c>
      <c r="F890" t="inlineStr">
        <is>
          <t>Övriga statliga verk och myndigheter</t>
        </is>
      </c>
      <c r="G890" t="n">
        <v>4.2</v>
      </c>
      <c r="H890" t="n">
        <v>0</v>
      </c>
      <c r="I890" t="n">
        <v>0</v>
      </c>
      <c r="J890" t="n">
        <v>0</v>
      </c>
      <c r="K890" t="n">
        <v>0</v>
      </c>
      <c r="L890" t="n">
        <v>0</v>
      </c>
      <c r="M890" t="n">
        <v>0</v>
      </c>
      <c r="N890" t="n">
        <v>0</v>
      </c>
      <c r="O890" t="n">
        <v>0</v>
      </c>
      <c r="P890" t="n">
        <v>0</v>
      </c>
      <c r="Q890" t="n">
        <v>0</v>
      </c>
      <c r="R890" s="2" t="inlineStr"/>
    </row>
    <row r="891" ht="15" customHeight="1">
      <c r="A891" t="inlineStr">
        <is>
          <t>A 37571-2019</t>
        </is>
      </c>
      <c r="B891" s="1" t="n">
        <v>43679</v>
      </c>
      <c r="C891" s="1" t="n">
        <v>45761</v>
      </c>
      <c r="D891" t="inlineStr">
        <is>
          <t>SÖDERMANLANDS LÄN</t>
        </is>
      </c>
      <c r="E891" t="inlineStr">
        <is>
          <t>FLEN</t>
        </is>
      </c>
      <c r="F891" t="inlineStr">
        <is>
          <t>Övriga statliga verk och myndigheter</t>
        </is>
      </c>
      <c r="G891" t="n">
        <v>1.8</v>
      </c>
      <c r="H891" t="n">
        <v>0</v>
      </c>
      <c r="I891" t="n">
        <v>0</v>
      </c>
      <c r="J891" t="n">
        <v>0</v>
      </c>
      <c r="K891" t="n">
        <v>0</v>
      </c>
      <c r="L891" t="n">
        <v>0</v>
      </c>
      <c r="M891" t="n">
        <v>0</v>
      </c>
      <c r="N891" t="n">
        <v>0</v>
      </c>
      <c r="O891" t="n">
        <v>0</v>
      </c>
      <c r="P891" t="n">
        <v>0</v>
      </c>
      <c r="Q891" t="n">
        <v>0</v>
      </c>
      <c r="R891" s="2" t="inlineStr"/>
    </row>
    <row r="892" ht="15" customHeight="1">
      <c r="A892" t="inlineStr">
        <is>
          <t>A 37627-2019</t>
        </is>
      </c>
      <c r="B892" s="1" t="n">
        <v>43679</v>
      </c>
      <c r="C892" s="1" t="n">
        <v>45761</v>
      </c>
      <c r="D892" t="inlineStr">
        <is>
          <t>SÖDERMANLANDS LÄN</t>
        </is>
      </c>
      <c r="E892" t="inlineStr">
        <is>
          <t>ESKILSTUNA</t>
        </is>
      </c>
      <c r="G892" t="n">
        <v>2.5</v>
      </c>
      <c r="H892" t="n">
        <v>0</v>
      </c>
      <c r="I892" t="n">
        <v>0</v>
      </c>
      <c r="J892" t="n">
        <v>0</v>
      </c>
      <c r="K892" t="n">
        <v>0</v>
      </c>
      <c r="L892" t="n">
        <v>0</v>
      </c>
      <c r="M892" t="n">
        <v>0</v>
      </c>
      <c r="N892" t="n">
        <v>0</v>
      </c>
      <c r="O892" t="n">
        <v>0</v>
      </c>
      <c r="P892" t="n">
        <v>0</v>
      </c>
      <c r="Q892" t="n">
        <v>0</v>
      </c>
      <c r="R892" s="2" t="inlineStr"/>
    </row>
    <row r="893" ht="15" customHeight="1">
      <c r="A893" t="inlineStr">
        <is>
          <t>A 37562-2019</t>
        </is>
      </c>
      <c r="B893" s="1" t="n">
        <v>43679</v>
      </c>
      <c r="C893" s="1" t="n">
        <v>45761</v>
      </c>
      <c r="D893" t="inlineStr">
        <is>
          <t>SÖDERMANLANDS LÄN</t>
        </is>
      </c>
      <c r="E893" t="inlineStr">
        <is>
          <t>STRÄNGNÄS</t>
        </is>
      </c>
      <c r="G893" t="n">
        <v>1.4</v>
      </c>
      <c r="H893" t="n">
        <v>0</v>
      </c>
      <c r="I893" t="n">
        <v>0</v>
      </c>
      <c r="J893" t="n">
        <v>0</v>
      </c>
      <c r="K893" t="n">
        <v>0</v>
      </c>
      <c r="L893" t="n">
        <v>0</v>
      </c>
      <c r="M893" t="n">
        <v>0</v>
      </c>
      <c r="N893" t="n">
        <v>0</v>
      </c>
      <c r="O893" t="n">
        <v>0</v>
      </c>
      <c r="P893" t="n">
        <v>0</v>
      </c>
      <c r="Q893" t="n">
        <v>0</v>
      </c>
      <c r="R893" s="2" t="inlineStr"/>
    </row>
    <row r="894" ht="15" customHeight="1">
      <c r="A894" t="inlineStr">
        <is>
          <t>A 37572-2019</t>
        </is>
      </c>
      <c r="B894" s="1" t="n">
        <v>43679</v>
      </c>
      <c r="C894" s="1" t="n">
        <v>45761</v>
      </c>
      <c r="D894" t="inlineStr">
        <is>
          <t>SÖDERMANLANDS LÄN</t>
        </is>
      </c>
      <c r="E894" t="inlineStr">
        <is>
          <t>FLEN</t>
        </is>
      </c>
      <c r="F894" t="inlineStr">
        <is>
          <t>Övriga statliga verk och myndigheter</t>
        </is>
      </c>
      <c r="G894" t="n">
        <v>1</v>
      </c>
      <c r="H894" t="n">
        <v>0</v>
      </c>
      <c r="I894" t="n">
        <v>0</v>
      </c>
      <c r="J894" t="n">
        <v>0</v>
      </c>
      <c r="K894" t="n">
        <v>0</v>
      </c>
      <c r="L894" t="n">
        <v>0</v>
      </c>
      <c r="M894" t="n">
        <v>0</v>
      </c>
      <c r="N894" t="n">
        <v>0</v>
      </c>
      <c r="O894" t="n">
        <v>0</v>
      </c>
      <c r="P894" t="n">
        <v>0</v>
      </c>
      <c r="Q894" t="n">
        <v>0</v>
      </c>
      <c r="R894" s="2" t="inlineStr"/>
    </row>
    <row r="895" ht="15" customHeight="1">
      <c r="A895" t="inlineStr">
        <is>
          <t>A 37742-2019</t>
        </is>
      </c>
      <c r="B895" s="1" t="n">
        <v>43679</v>
      </c>
      <c r="C895" s="1" t="n">
        <v>45761</v>
      </c>
      <c r="D895" t="inlineStr">
        <is>
          <t>SÖDERMANLANDS LÄN</t>
        </is>
      </c>
      <c r="E895" t="inlineStr">
        <is>
          <t>VINGÅKER</t>
        </is>
      </c>
      <c r="G895" t="n">
        <v>3.6</v>
      </c>
      <c r="H895" t="n">
        <v>0</v>
      </c>
      <c r="I895" t="n">
        <v>0</v>
      </c>
      <c r="J895" t="n">
        <v>0</v>
      </c>
      <c r="K895" t="n">
        <v>0</v>
      </c>
      <c r="L895" t="n">
        <v>0</v>
      </c>
      <c r="M895" t="n">
        <v>0</v>
      </c>
      <c r="N895" t="n">
        <v>0</v>
      </c>
      <c r="O895" t="n">
        <v>0</v>
      </c>
      <c r="P895" t="n">
        <v>0</v>
      </c>
      <c r="Q895" t="n">
        <v>0</v>
      </c>
      <c r="R895" s="2" t="inlineStr"/>
    </row>
    <row r="896" ht="15" customHeight="1">
      <c r="A896" t="inlineStr">
        <is>
          <t>A 37744-2019</t>
        </is>
      </c>
      <c r="B896" s="1" t="n">
        <v>43682</v>
      </c>
      <c r="C896" s="1" t="n">
        <v>45761</v>
      </c>
      <c r="D896" t="inlineStr">
        <is>
          <t>SÖDERMANLANDS LÄN</t>
        </is>
      </c>
      <c r="E896" t="inlineStr">
        <is>
          <t>NYKÖPING</t>
        </is>
      </c>
      <c r="G896" t="n">
        <v>3.6</v>
      </c>
      <c r="H896" t="n">
        <v>0</v>
      </c>
      <c r="I896" t="n">
        <v>0</v>
      </c>
      <c r="J896" t="n">
        <v>0</v>
      </c>
      <c r="K896" t="n">
        <v>0</v>
      </c>
      <c r="L896" t="n">
        <v>0</v>
      </c>
      <c r="M896" t="n">
        <v>0</v>
      </c>
      <c r="N896" t="n">
        <v>0</v>
      </c>
      <c r="O896" t="n">
        <v>0</v>
      </c>
      <c r="P896" t="n">
        <v>0</v>
      </c>
      <c r="Q896" t="n">
        <v>0</v>
      </c>
      <c r="R896" s="2" t="inlineStr"/>
    </row>
    <row r="897" ht="15" customHeight="1">
      <c r="A897" t="inlineStr">
        <is>
          <t>A 37715-2019</t>
        </is>
      </c>
      <c r="B897" s="1" t="n">
        <v>43682</v>
      </c>
      <c r="C897" s="1" t="n">
        <v>45761</v>
      </c>
      <c r="D897" t="inlineStr">
        <is>
          <t>SÖDERMANLANDS LÄN</t>
        </is>
      </c>
      <c r="E897" t="inlineStr">
        <is>
          <t>GNESTA</t>
        </is>
      </c>
      <c r="G897" t="n">
        <v>4.5</v>
      </c>
      <c r="H897" t="n">
        <v>0</v>
      </c>
      <c r="I897" t="n">
        <v>0</v>
      </c>
      <c r="J897" t="n">
        <v>0</v>
      </c>
      <c r="K897" t="n">
        <v>0</v>
      </c>
      <c r="L897" t="n">
        <v>0</v>
      </c>
      <c r="M897" t="n">
        <v>0</v>
      </c>
      <c r="N897" t="n">
        <v>0</v>
      </c>
      <c r="O897" t="n">
        <v>0</v>
      </c>
      <c r="P897" t="n">
        <v>0</v>
      </c>
      <c r="Q897" t="n">
        <v>0</v>
      </c>
      <c r="R897" s="2" t="inlineStr"/>
    </row>
    <row r="898" ht="15" customHeight="1">
      <c r="A898" t="inlineStr">
        <is>
          <t>A 37712-2019</t>
        </is>
      </c>
      <c r="B898" s="1" t="n">
        <v>43682</v>
      </c>
      <c r="C898" s="1" t="n">
        <v>45761</v>
      </c>
      <c r="D898" t="inlineStr">
        <is>
          <t>SÖDERMANLANDS LÄN</t>
        </is>
      </c>
      <c r="E898" t="inlineStr">
        <is>
          <t>GNESTA</t>
        </is>
      </c>
      <c r="G898" t="n">
        <v>3.2</v>
      </c>
      <c r="H898" t="n">
        <v>0</v>
      </c>
      <c r="I898" t="n">
        <v>0</v>
      </c>
      <c r="J898" t="n">
        <v>0</v>
      </c>
      <c r="K898" t="n">
        <v>0</v>
      </c>
      <c r="L898" t="n">
        <v>0</v>
      </c>
      <c r="M898" t="n">
        <v>0</v>
      </c>
      <c r="N898" t="n">
        <v>0</v>
      </c>
      <c r="O898" t="n">
        <v>0</v>
      </c>
      <c r="P898" t="n">
        <v>0</v>
      </c>
      <c r="Q898" t="n">
        <v>0</v>
      </c>
      <c r="R898" s="2" t="inlineStr"/>
    </row>
    <row r="899" ht="15" customHeight="1">
      <c r="A899" t="inlineStr">
        <is>
          <t>A 37769-2019</t>
        </is>
      </c>
      <c r="B899" s="1" t="n">
        <v>43682</v>
      </c>
      <c r="C899" s="1" t="n">
        <v>45761</v>
      </c>
      <c r="D899" t="inlineStr">
        <is>
          <t>SÖDERMANLANDS LÄN</t>
        </is>
      </c>
      <c r="E899" t="inlineStr">
        <is>
          <t>FLEN</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38107-2019</t>
        </is>
      </c>
      <c r="B900" s="1" t="n">
        <v>43683</v>
      </c>
      <c r="C900" s="1" t="n">
        <v>45761</v>
      </c>
      <c r="D900" t="inlineStr">
        <is>
          <t>SÖDERMANLANDS LÄN</t>
        </is>
      </c>
      <c r="E900" t="inlineStr">
        <is>
          <t>ESKILSTUNA</t>
        </is>
      </c>
      <c r="G900" t="n">
        <v>1.2</v>
      </c>
      <c r="H900" t="n">
        <v>0</v>
      </c>
      <c r="I900" t="n">
        <v>0</v>
      </c>
      <c r="J900" t="n">
        <v>0</v>
      </c>
      <c r="K900" t="n">
        <v>0</v>
      </c>
      <c r="L900" t="n">
        <v>0</v>
      </c>
      <c r="M900" t="n">
        <v>0</v>
      </c>
      <c r="N900" t="n">
        <v>0</v>
      </c>
      <c r="O900" t="n">
        <v>0</v>
      </c>
      <c r="P900" t="n">
        <v>0</v>
      </c>
      <c r="Q900" t="n">
        <v>0</v>
      </c>
      <c r="R900" s="2" t="inlineStr"/>
    </row>
    <row r="901" ht="15" customHeight="1">
      <c r="A901" t="inlineStr">
        <is>
          <t>A 38177-2019</t>
        </is>
      </c>
      <c r="B901" s="1" t="n">
        <v>43683</v>
      </c>
      <c r="C901" s="1" t="n">
        <v>45761</v>
      </c>
      <c r="D901" t="inlineStr">
        <is>
          <t>SÖDERMANLANDS LÄN</t>
        </is>
      </c>
      <c r="E901" t="inlineStr">
        <is>
          <t>ESKILSTUNA</t>
        </is>
      </c>
      <c r="G901" t="n">
        <v>2.9</v>
      </c>
      <c r="H901" t="n">
        <v>0</v>
      </c>
      <c r="I901" t="n">
        <v>0</v>
      </c>
      <c r="J901" t="n">
        <v>0</v>
      </c>
      <c r="K901" t="n">
        <v>0</v>
      </c>
      <c r="L901" t="n">
        <v>0</v>
      </c>
      <c r="M901" t="n">
        <v>0</v>
      </c>
      <c r="N901" t="n">
        <v>0</v>
      </c>
      <c r="O901" t="n">
        <v>0</v>
      </c>
      <c r="P901" t="n">
        <v>0</v>
      </c>
      <c r="Q901" t="n">
        <v>0</v>
      </c>
      <c r="R901" s="2" t="inlineStr"/>
    </row>
    <row r="902" ht="15" customHeight="1">
      <c r="A902" t="inlineStr">
        <is>
          <t>A 38409-2019</t>
        </is>
      </c>
      <c r="B902" s="1" t="n">
        <v>43683</v>
      </c>
      <c r="C902" s="1" t="n">
        <v>45761</v>
      </c>
      <c r="D902" t="inlineStr">
        <is>
          <t>SÖDERMANLANDS LÄN</t>
        </is>
      </c>
      <c r="E902" t="inlineStr">
        <is>
          <t>STRÄNGNÄS</t>
        </is>
      </c>
      <c r="G902" t="n">
        <v>2.5</v>
      </c>
      <c r="H902" t="n">
        <v>0</v>
      </c>
      <c r="I902" t="n">
        <v>0</v>
      </c>
      <c r="J902" t="n">
        <v>0</v>
      </c>
      <c r="K902" t="n">
        <v>0</v>
      </c>
      <c r="L902" t="n">
        <v>0</v>
      </c>
      <c r="M902" t="n">
        <v>0</v>
      </c>
      <c r="N902" t="n">
        <v>0</v>
      </c>
      <c r="O902" t="n">
        <v>0</v>
      </c>
      <c r="P902" t="n">
        <v>0</v>
      </c>
      <c r="Q902" t="n">
        <v>0</v>
      </c>
      <c r="R902" s="2" t="inlineStr"/>
    </row>
    <row r="903" ht="15" customHeight="1">
      <c r="A903" t="inlineStr">
        <is>
          <t>A 38046-2019</t>
        </is>
      </c>
      <c r="B903" s="1" t="n">
        <v>43683</v>
      </c>
      <c r="C903" s="1" t="n">
        <v>45761</v>
      </c>
      <c r="D903" t="inlineStr">
        <is>
          <t>SÖDERMANLANDS LÄN</t>
        </is>
      </c>
      <c r="E903" t="inlineStr">
        <is>
          <t>NYKÖPING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38008-2019</t>
        </is>
      </c>
      <c r="B904" s="1" t="n">
        <v>43683</v>
      </c>
      <c r="C904" s="1" t="n">
        <v>45761</v>
      </c>
      <c r="D904" t="inlineStr">
        <is>
          <t>SÖDERMANLANDS LÄN</t>
        </is>
      </c>
      <c r="E904" t="inlineStr">
        <is>
          <t>ESKILSTUNA</t>
        </is>
      </c>
      <c r="G904" t="n">
        <v>2.1</v>
      </c>
      <c r="H904" t="n">
        <v>0</v>
      </c>
      <c r="I904" t="n">
        <v>0</v>
      </c>
      <c r="J904" t="n">
        <v>0</v>
      </c>
      <c r="K904" t="n">
        <v>0</v>
      </c>
      <c r="L904" t="n">
        <v>0</v>
      </c>
      <c r="M904" t="n">
        <v>0</v>
      </c>
      <c r="N904" t="n">
        <v>0</v>
      </c>
      <c r="O904" t="n">
        <v>0</v>
      </c>
      <c r="P904" t="n">
        <v>0</v>
      </c>
      <c r="Q904" t="n">
        <v>0</v>
      </c>
      <c r="R904" s="2" t="inlineStr"/>
    </row>
    <row r="905" ht="15" customHeight="1">
      <c r="A905" t="inlineStr">
        <is>
          <t>A 37940-2019</t>
        </is>
      </c>
      <c r="B905" s="1" t="n">
        <v>43683</v>
      </c>
      <c r="C905" s="1" t="n">
        <v>45761</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38213-2019</t>
        </is>
      </c>
      <c r="B906" s="1" t="n">
        <v>43684</v>
      </c>
      <c r="C906" s="1" t="n">
        <v>45761</v>
      </c>
      <c r="D906" t="inlineStr">
        <is>
          <t>SÖDERMANLANDS LÄN</t>
        </is>
      </c>
      <c r="E906" t="inlineStr">
        <is>
          <t>ESKILSTUNA</t>
        </is>
      </c>
      <c r="G906" t="n">
        <v>2.7</v>
      </c>
      <c r="H906" t="n">
        <v>0</v>
      </c>
      <c r="I906" t="n">
        <v>0</v>
      </c>
      <c r="J906" t="n">
        <v>0</v>
      </c>
      <c r="K906" t="n">
        <v>0</v>
      </c>
      <c r="L906" t="n">
        <v>0</v>
      </c>
      <c r="M906" t="n">
        <v>0</v>
      </c>
      <c r="N906" t="n">
        <v>0</v>
      </c>
      <c r="O906" t="n">
        <v>0</v>
      </c>
      <c r="P906" t="n">
        <v>0</v>
      </c>
      <c r="Q906" t="n">
        <v>0</v>
      </c>
      <c r="R906" s="2" t="inlineStr"/>
    </row>
    <row r="907" ht="15" customHeight="1">
      <c r="A907" t="inlineStr">
        <is>
          <t>A 38217-2019</t>
        </is>
      </c>
      <c r="B907" s="1" t="n">
        <v>43684</v>
      </c>
      <c r="C907" s="1" t="n">
        <v>45761</v>
      </c>
      <c r="D907" t="inlineStr">
        <is>
          <t>SÖDERMANLANDS LÄN</t>
        </is>
      </c>
      <c r="E907" t="inlineStr">
        <is>
          <t>ESKILSTUNA</t>
        </is>
      </c>
      <c r="G907" t="n">
        <v>2.2</v>
      </c>
      <c r="H907" t="n">
        <v>0</v>
      </c>
      <c r="I907" t="n">
        <v>0</v>
      </c>
      <c r="J907" t="n">
        <v>0</v>
      </c>
      <c r="K907" t="n">
        <v>0</v>
      </c>
      <c r="L907" t="n">
        <v>0</v>
      </c>
      <c r="M907" t="n">
        <v>0</v>
      </c>
      <c r="N907" t="n">
        <v>0</v>
      </c>
      <c r="O907" t="n">
        <v>0</v>
      </c>
      <c r="P907" t="n">
        <v>0</v>
      </c>
      <c r="Q907" t="n">
        <v>0</v>
      </c>
      <c r="R907" s="2" t="inlineStr"/>
    </row>
    <row r="908" ht="15" customHeight="1">
      <c r="A908" t="inlineStr">
        <is>
          <t>A 38241-2019</t>
        </is>
      </c>
      <c r="B908" s="1" t="n">
        <v>43684</v>
      </c>
      <c r="C908" s="1" t="n">
        <v>45761</v>
      </c>
      <c r="D908" t="inlineStr">
        <is>
          <t>SÖDERMANLANDS LÄN</t>
        </is>
      </c>
      <c r="E908" t="inlineStr">
        <is>
          <t>FLEN</t>
        </is>
      </c>
      <c r="G908" t="n">
        <v>1.6</v>
      </c>
      <c r="H908" t="n">
        <v>0</v>
      </c>
      <c r="I908" t="n">
        <v>0</v>
      </c>
      <c r="J908" t="n">
        <v>0</v>
      </c>
      <c r="K908" t="n">
        <v>0</v>
      </c>
      <c r="L908" t="n">
        <v>0</v>
      </c>
      <c r="M908" t="n">
        <v>0</v>
      </c>
      <c r="N908" t="n">
        <v>0</v>
      </c>
      <c r="O908" t="n">
        <v>0</v>
      </c>
      <c r="P908" t="n">
        <v>0</v>
      </c>
      <c r="Q908" t="n">
        <v>0</v>
      </c>
      <c r="R908" s="2" t="inlineStr"/>
    </row>
    <row r="909" ht="15" customHeight="1">
      <c r="A909" t="inlineStr">
        <is>
          <t>A 38288-2019</t>
        </is>
      </c>
      <c r="B909" s="1" t="n">
        <v>43684</v>
      </c>
      <c r="C909" s="1" t="n">
        <v>45761</v>
      </c>
      <c r="D909" t="inlineStr">
        <is>
          <t>SÖDERMANLANDS LÄN</t>
        </is>
      </c>
      <c r="E909" t="inlineStr">
        <is>
          <t>TROSA</t>
        </is>
      </c>
      <c r="G909" t="n">
        <v>2.1</v>
      </c>
      <c r="H909" t="n">
        <v>0</v>
      </c>
      <c r="I909" t="n">
        <v>0</v>
      </c>
      <c r="J909" t="n">
        <v>0</v>
      </c>
      <c r="K909" t="n">
        <v>0</v>
      </c>
      <c r="L909" t="n">
        <v>0</v>
      </c>
      <c r="M909" t="n">
        <v>0</v>
      </c>
      <c r="N909" t="n">
        <v>0</v>
      </c>
      <c r="O909" t="n">
        <v>0</v>
      </c>
      <c r="P909" t="n">
        <v>0</v>
      </c>
      <c r="Q909" t="n">
        <v>0</v>
      </c>
      <c r="R909" s="2" t="inlineStr"/>
    </row>
    <row r="910" ht="15" customHeight="1">
      <c r="A910" t="inlineStr">
        <is>
          <t>A 38303-2019</t>
        </is>
      </c>
      <c r="B910" s="1" t="n">
        <v>43684</v>
      </c>
      <c r="C910" s="1" t="n">
        <v>45761</v>
      </c>
      <c r="D910" t="inlineStr">
        <is>
          <t>SÖDERMANLANDS LÄN</t>
        </is>
      </c>
      <c r="E910" t="inlineStr">
        <is>
          <t>ESKILSTUNA</t>
        </is>
      </c>
      <c r="G910" t="n">
        <v>0.6</v>
      </c>
      <c r="H910" t="n">
        <v>0</v>
      </c>
      <c r="I910" t="n">
        <v>0</v>
      </c>
      <c r="J910" t="n">
        <v>0</v>
      </c>
      <c r="K910" t="n">
        <v>0</v>
      </c>
      <c r="L910" t="n">
        <v>0</v>
      </c>
      <c r="M910" t="n">
        <v>0</v>
      </c>
      <c r="N910" t="n">
        <v>0</v>
      </c>
      <c r="O910" t="n">
        <v>0</v>
      </c>
      <c r="P910" t="n">
        <v>0</v>
      </c>
      <c r="Q910" t="n">
        <v>0</v>
      </c>
      <c r="R910" s="2" t="inlineStr"/>
    </row>
    <row r="911" ht="15" customHeight="1">
      <c r="A911" t="inlineStr">
        <is>
          <t>A 38589-2019</t>
        </is>
      </c>
      <c r="B911" s="1" t="n">
        <v>43684</v>
      </c>
      <c r="C911" s="1" t="n">
        <v>45761</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38436-2019</t>
        </is>
      </c>
      <c r="B912" s="1" t="n">
        <v>43685</v>
      </c>
      <c r="C912" s="1" t="n">
        <v>45761</v>
      </c>
      <c r="D912" t="inlineStr">
        <is>
          <t>SÖDERMANLANDS LÄN</t>
        </is>
      </c>
      <c r="E912" t="inlineStr">
        <is>
          <t>ESKILSTUNA</t>
        </is>
      </c>
      <c r="G912" t="n">
        <v>1.6</v>
      </c>
      <c r="H912" t="n">
        <v>0</v>
      </c>
      <c r="I912" t="n">
        <v>0</v>
      </c>
      <c r="J912" t="n">
        <v>0</v>
      </c>
      <c r="K912" t="n">
        <v>0</v>
      </c>
      <c r="L912" t="n">
        <v>0</v>
      </c>
      <c r="M912" t="n">
        <v>0</v>
      </c>
      <c r="N912" t="n">
        <v>0</v>
      </c>
      <c r="O912" t="n">
        <v>0</v>
      </c>
      <c r="P912" t="n">
        <v>0</v>
      </c>
      <c r="Q912" t="n">
        <v>0</v>
      </c>
      <c r="R912" s="2" t="inlineStr"/>
    </row>
    <row r="913" ht="15" customHeight="1">
      <c r="A913" t="inlineStr">
        <is>
          <t>A 38593-2019</t>
        </is>
      </c>
      <c r="B913" s="1" t="n">
        <v>43686</v>
      </c>
      <c r="C913" s="1" t="n">
        <v>45761</v>
      </c>
      <c r="D913" t="inlineStr">
        <is>
          <t>SÖDERMANLANDS LÄN</t>
        </is>
      </c>
      <c r="E913" t="inlineStr">
        <is>
          <t>NYKÖPING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38736-2019</t>
        </is>
      </c>
      <c r="B914" s="1" t="n">
        <v>43686</v>
      </c>
      <c r="C914" s="1" t="n">
        <v>45761</v>
      </c>
      <c r="D914" t="inlineStr">
        <is>
          <t>SÖDERMANLANDS LÄN</t>
        </is>
      </c>
      <c r="E914" t="inlineStr">
        <is>
          <t>NYKÖPING</t>
        </is>
      </c>
      <c r="G914" t="n">
        <v>2.7</v>
      </c>
      <c r="H914" t="n">
        <v>0</v>
      </c>
      <c r="I914" t="n">
        <v>0</v>
      </c>
      <c r="J914" t="n">
        <v>0</v>
      </c>
      <c r="K914" t="n">
        <v>0</v>
      </c>
      <c r="L914" t="n">
        <v>0</v>
      </c>
      <c r="M914" t="n">
        <v>0</v>
      </c>
      <c r="N914" t="n">
        <v>0</v>
      </c>
      <c r="O914" t="n">
        <v>0</v>
      </c>
      <c r="P914" t="n">
        <v>0</v>
      </c>
      <c r="Q914" t="n">
        <v>0</v>
      </c>
      <c r="R914" s="2" t="inlineStr"/>
    </row>
    <row r="915" ht="15" customHeight="1">
      <c r="A915" t="inlineStr">
        <is>
          <t>A 38795-2019</t>
        </is>
      </c>
      <c r="B915" s="1" t="n">
        <v>43688</v>
      </c>
      <c r="C915" s="1" t="n">
        <v>45761</v>
      </c>
      <c r="D915" t="inlineStr">
        <is>
          <t>SÖDERMANLANDS LÄN</t>
        </is>
      </c>
      <c r="E915" t="inlineStr">
        <is>
          <t>FLEN</t>
        </is>
      </c>
      <c r="G915" t="n">
        <v>1.1</v>
      </c>
      <c r="H915" t="n">
        <v>0</v>
      </c>
      <c r="I915" t="n">
        <v>0</v>
      </c>
      <c r="J915" t="n">
        <v>0</v>
      </c>
      <c r="K915" t="n">
        <v>0</v>
      </c>
      <c r="L915" t="n">
        <v>0</v>
      </c>
      <c r="M915" t="n">
        <v>0</v>
      </c>
      <c r="N915" t="n">
        <v>0</v>
      </c>
      <c r="O915" t="n">
        <v>0</v>
      </c>
      <c r="P915" t="n">
        <v>0</v>
      </c>
      <c r="Q915" t="n">
        <v>0</v>
      </c>
      <c r="R915" s="2" t="inlineStr"/>
    </row>
    <row r="916" ht="15" customHeight="1">
      <c r="A916" t="inlineStr">
        <is>
          <t>A 38796-2019</t>
        </is>
      </c>
      <c r="B916" s="1" t="n">
        <v>43688</v>
      </c>
      <c r="C916" s="1" t="n">
        <v>45761</v>
      </c>
      <c r="D916" t="inlineStr">
        <is>
          <t>SÖDERMANLANDS LÄN</t>
        </is>
      </c>
      <c r="E916" t="inlineStr">
        <is>
          <t>FLEN</t>
        </is>
      </c>
      <c r="G916" t="n">
        <v>1.5</v>
      </c>
      <c r="H916" t="n">
        <v>0</v>
      </c>
      <c r="I916" t="n">
        <v>0</v>
      </c>
      <c r="J916" t="n">
        <v>0</v>
      </c>
      <c r="K916" t="n">
        <v>0</v>
      </c>
      <c r="L916" t="n">
        <v>0</v>
      </c>
      <c r="M916" t="n">
        <v>0</v>
      </c>
      <c r="N916" t="n">
        <v>0</v>
      </c>
      <c r="O916" t="n">
        <v>0</v>
      </c>
      <c r="P916" t="n">
        <v>0</v>
      </c>
      <c r="Q916" t="n">
        <v>0</v>
      </c>
      <c r="R916" s="2" t="inlineStr"/>
    </row>
    <row r="917" ht="15" customHeight="1">
      <c r="A917" t="inlineStr">
        <is>
          <t>A 38812-2019</t>
        </is>
      </c>
      <c r="B917" s="1" t="n">
        <v>43689</v>
      </c>
      <c r="C917" s="1" t="n">
        <v>45761</v>
      </c>
      <c r="D917" t="inlineStr">
        <is>
          <t>SÖDERMANLANDS LÄN</t>
        </is>
      </c>
      <c r="E917" t="inlineStr">
        <is>
          <t>GNESTA</t>
        </is>
      </c>
      <c r="G917" t="n">
        <v>4.7</v>
      </c>
      <c r="H917" t="n">
        <v>0</v>
      </c>
      <c r="I917" t="n">
        <v>0</v>
      </c>
      <c r="J917" t="n">
        <v>0</v>
      </c>
      <c r="K917" t="n">
        <v>0</v>
      </c>
      <c r="L917" t="n">
        <v>0</v>
      </c>
      <c r="M917" t="n">
        <v>0</v>
      </c>
      <c r="N917" t="n">
        <v>0</v>
      </c>
      <c r="O917" t="n">
        <v>0</v>
      </c>
      <c r="P917" t="n">
        <v>0</v>
      </c>
      <c r="Q917" t="n">
        <v>0</v>
      </c>
      <c r="R917" s="2" t="inlineStr"/>
    </row>
    <row r="918" ht="15" customHeight="1">
      <c r="A918" t="inlineStr">
        <is>
          <t>A 38875-2019</t>
        </is>
      </c>
      <c r="B918" s="1" t="n">
        <v>43689</v>
      </c>
      <c r="C918" s="1" t="n">
        <v>45761</v>
      </c>
      <c r="D918" t="inlineStr">
        <is>
          <t>SÖDERMANLANDS LÄN</t>
        </is>
      </c>
      <c r="E918" t="inlineStr">
        <is>
          <t>VINGÅKER</t>
        </is>
      </c>
      <c r="F918" t="inlineStr">
        <is>
          <t>Kommuner</t>
        </is>
      </c>
      <c r="G918" t="n">
        <v>4.5</v>
      </c>
      <c r="H918" t="n">
        <v>0</v>
      </c>
      <c r="I918" t="n">
        <v>0</v>
      </c>
      <c r="J918" t="n">
        <v>0</v>
      </c>
      <c r="K918" t="n">
        <v>0</v>
      </c>
      <c r="L918" t="n">
        <v>0</v>
      </c>
      <c r="M918" t="n">
        <v>0</v>
      </c>
      <c r="N918" t="n">
        <v>0</v>
      </c>
      <c r="O918" t="n">
        <v>0</v>
      </c>
      <c r="P918" t="n">
        <v>0</v>
      </c>
      <c r="Q918" t="n">
        <v>0</v>
      </c>
      <c r="R918" s="2" t="inlineStr"/>
    </row>
    <row r="919" ht="15" customHeight="1">
      <c r="A919" t="inlineStr">
        <is>
          <t>A 38977-2019</t>
        </is>
      </c>
      <c r="B919" s="1" t="n">
        <v>43689</v>
      </c>
      <c r="C919" s="1" t="n">
        <v>45761</v>
      </c>
      <c r="D919" t="inlineStr">
        <is>
          <t>SÖDERMANLANDS LÄN</t>
        </is>
      </c>
      <c r="E919" t="inlineStr">
        <is>
          <t>GNESTA</t>
        </is>
      </c>
      <c r="G919" t="n">
        <v>2.7</v>
      </c>
      <c r="H919" t="n">
        <v>0</v>
      </c>
      <c r="I919" t="n">
        <v>0</v>
      </c>
      <c r="J919" t="n">
        <v>0</v>
      </c>
      <c r="K919" t="n">
        <v>0</v>
      </c>
      <c r="L919" t="n">
        <v>0</v>
      </c>
      <c r="M919" t="n">
        <v>0</v>
      </c>
      <c r="N919" t="n">
        <v>0</v>
      </c>
      <c r="O919" t="n">
        <v>0</v>
      </c>
      <c r="P919" t="n">
        <v>0</v>
      </c>
      <c r="Q919" t="n">
        <v>0</v>
      </c>
      <c r="R919" s="2" t="inlineStr"/>
    </row>
    <row r="920" ht="15" customHeight="1">
      <c r="A920" t="inlineStr">
        <is>
          <t>A 39247-2019</t>
        </is>
      </c>
      <c r="B920" s="1" t="n">
        <v>43690</v>
      </c>
      <c r="C920" s="1" t="n">
        <v>45761</v>
      </c>
      <c r="D920" t="inlineStr">
        <is>
          <t>SÖDERMANLANDS LÄN</t>
        </is>
      </c>
      <c r="E920" t="inlineStr">
        <is>
          <t>NYKÖPING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39328-2019</t>
        </is>
      </c>
      <c r="B921" s="1" t="n">
        <v>43690</v>
      </c>
      <c r="C921" s="1" t="n">
        <v>45761</v>
      </c>
      <c r="D921" t="inlineStr">
        <is>
          <t>SÖDERMANLANDS LÄN</t>
        </is>
      </c>
      <c r="E921" t="inlineStr">
        <is>
          <t>STRÄNGNÄS</t>
        </is>
      </c>
      <c r="G921" t="n">
        <v>3.1</v>
      </c>
      <c r="H921" t="n">
        <v>0</v>
      </c>
      <c r="I921" t="n">
        <v>0</v>
      </c>
      <c r="J921" t="n">
        <v>0</v>
      </c>
      <c r="K921" t="n">
        <v>0</v>
      </c>
      <c r="L921" t="n">
        <v>0</v>
      </c>
      <c r="M921" t="n">
        <v>0</v>
      </c>
      <c r="N921" t="n">
        <v>0</v>
      </c>
      <c r="O921" t="n">
        <v>0</v>
      </c>
      <c r="P921" t="n">
        <v>0</v>
      </c>
      <c r="Q921" t="n">
        <v>0</v>
      </c>
      <c r="R921" s="2" t="inlineStr"/>
    </row>
    <row r="922" ht="15" customHeight="1">
      <c r="A922" t="inlineStr">
        <is>
          <t>A 39335-2019</t>
        </is>
      </c>
      <c r="B922" s="1" t="n">
        <v>43690</v>
      </c>
      <c r="C922" s="1" t="n">
        <v>45761</v>
      </c>
      <c r="D922" t="inlineStr">
        <is>
          <t>SÖDERMANLANDS LÄN</t>
        </is>
      </c>
      <c r="E922" t="inlineStr">
        <is>
          <t>NYKÖPING</t>
        </is>
      </c>
      <c r="G922" t="n">
        <v>2.2</v>
      </c>
      <c r="H922" t="n">
        <v>0</v>
      </c>
      <c r="I922" t="n">
        <v>0</v>
      </c>
      <c r="J922" t="n">
        <v>0</v>
      </c>
      <c r="K922" t="n">
        <v>0</v>
      </c>
      <c r="L922" t="n">
        <v>0</v>
      </c>
      <c r="M922" t="n">
        <v>0</v>
      </c>
      <c r="N922" t="n">
        <v>0</v>
      </c>
      <c r="O922" t="n">
        <v>0</v>
      </c>
      <c r="P922" t="n">
        <v>0</v>
      </c>
      <c r="Q922" t="n">
        <v>0</v>
      </c>
      <c r="R922" s="2" t="inlineStr"/>
    </row>
    <row r="923" ht="15" customHeight="1">
      <c r="A923" t="inlineStr">
        <is>
          <t>A 39334-2019</t>
        </is>
      </c>
      <c r="B923" s="1" t="n">
        <v>43690</v>
      </c>
      <c r="C923" s="1" t="n">
        <v>45761</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39219-2019</t>
        </is>
      </c>
      <c r="B924" s="1" t="n">
        <v>43690</v>
      </c>
      <c r="C924" s="1" t="n">
        <v>45761</v>
      </c>
      <c r="D924" t="inlineStr">
        <is>
          <t>SÖDERMANLANDS LÄN</t>
        </is>
      </c>
      <c r="E924" t="inlineStr">
        <is>
          <t>ESKILSTUNA</t>
        </is>
      </c>
      <c r="G924" t="n">
        <v>6.2</v>
      </c>
      <c r="H924" t="n">
        <v>0</v>
      </c>
      <c r="I924" t="n">
        <v>0</v>
      </c>
      <c r="J924" t="n">
        <v>0</v>
      </c>
      <c r="K924" t="n">
        <v>0</v>
      </c>
      <c r="L924" t="n">
        <v>0</v>
      </c>
      <c r="M924" t="n">
        <v>0</v>
      </c>
      <c r="N924" t="n">
        <v>0</v>
      </c>
      <c r="O924" t="n">
        <v>0</v>
      </c>
      <c r="P924" t="n">
        <v>0</v>
      </c>
      <c r="Q924" t="n">
        <v>0</v>
      </c>
      <c r="R924" s="2" t="inlineStr"/>
    </row>
    <row r="925" ht="15" customHeight="1">
      <c r="A925" t="inlineStr">
        <is>
          <t>A 39228-2019</t>
        </is>
      </c>
      <c r="B925" s="1" t="n">
        <v>43690</v>
      </c>
      <c r="C925" s="1" t="n">
        <v>45761</v>
      </c>
      <c r="D925" t="inlineStr">
        <is>
          <t>SÖDERMANLANDS LÄN</t>
        </is>
      </c>
      <c r="E925" t="inlineStr">
        <is>
          <t>NYKÖPING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39245-2019</t>
        </is>
      </c>
      <c r="B926" s="1" t="n">
        <v>43690</v>
      </c>
      <c r="C926" s="1" t="n">
        <v>45761</v>
      </c>
      <c r="D926" t="inlineStr">
        <is>
          <t>SÖDERMANLANDS LÄN</t>
        </is>
      </c>
      <c r="E926" t="inlineStr">
        <is>
          <t>NYKÖPING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39942-2019</t>
        </is>
      </c>
      <c r="B927" s="1" t="n">
        <v>43690</v>
      </c>
      <c r="C927" s="1" t="n">
        <v>45761</v>
      </c>
      <c r="D927" t="inlineStr">
        <is>
          <t>SÖDERMANLANDS LÄN</t>
        </is>
      </c>
      <c r="E927" t="inlineStr">
        <is>
          <t>ESKILSTUNA</t>
        </is>
      </c>
      <c r="G927" t="n">
        <v>6.2</v>
      </c>
      <c r="H927" t="n">
        <v>0</v>
      </c>
      <c r="I927" t="n">
        <v>0</v>
      </c>
      <c r="J927" t="n">
        <v>0</v>
      </c>
      <c r="K927" t="n">
        <v>0</v>
      </c>
      <c r="L927" t="n">
        <v>0</v>
      </c>
      <c r="M927" t="n">
        <v>0</v>
      </c>
      <c r="N927" t="n">
        <v>0</v>
      </c>
      <c r="O927" t="n">
        <v>0</v>
      </c>
      <c r="P927" t="n">
        <v>0</v>
      </c>
      <c r="Q927" t="n">
        <v>0</v>
      </c>
      <c r="R927" s="2" t="inlineStr"/>
    </row>
    <row r="928" ht="15" customHeight="1">
      <c r="A928" t="inlineStr">
        <is>
          <t>A 39166-2019</t>
        </is>
      </c>
      <c r="B928" s="1" t="n">
        <v>43690</v>
      </c>
      <c r="C928" s="1" t="n">
        <v>45761</v>
      </c>
      <c r="D928" t="inlineStr">
        <is>
          <t>SÖDERMANLANDS LÄN</t>
        </is>
      </c>
      <c r="E928" t="inlineStr">
        <is>
          <t>NYKÖPING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39424-2019</t>
        </is>
      </c>
      <c r="B929" s="1" t="n">
        <v>43690</v>
      </c>
      <c r="C929" s="1" t="n">
        <v>45761</v>
      </c>
      <c r="D929" t="inlineStr">
        <is>
          <t>SÖDERMANLANDS LÄN</t>
        </is>
      </c>
      <c r="E929" t="inlineStr">
        <is>
          <t>KATRINEHOLM</t>
        </is>
      </c>
      <c r="G929" t="n">
        <v>25.1</v>
      </c>
      <c r="H929" t="n">
        <v>0</v>
      </c>
      <c r="I929" t="n">
        <v>0</v>
      </c>
      <c r="J929" t="n">
        <v>0</v>
      </c>
      <c r="K929" t="n">
        <v>0</v>
      </c>
      <c r="L929" t="n">
        <v>0</v>
      </c>
      <c r="M929" t="n">
        <v>0</v>
      </c>
      <c r="N929" t="n">
        <v>0</v>
      </c>
      <c r="O929" t="n">
        <v>0</v>
      </c>
      <c r="P929" t="n">
        <v>0</v>
      </c>
      <c r="Q929" t="n">
        <v>0</v>
      </c>
      <c r="R929" s="2" t="inlineStr"/>
    </row>
    <row r="930" ht="15" customHeight="1">
      <c r="A930" t="inlineStr">
        <is>
          <t>A 39441-2019</t>
        </is>
      </c>
      <c r="B930" s="1" t="n">
        <v>43691</v>
      </c>
      <c r="C930" s="1" t="n">
        <v>45761</v>
      </c>
      <c r="D930" t="inlineStr">
        <is>
          <t>SÖDERMANLANDS LÄN</t>
        </is>
      </c>
      <c r="E930" t="inlineStr">
        <is>
          <t>FLEN</t>
        </is>
      </c>
      <c r="G930" t="n">
        <v>0.7</v>
      </c>
      <c r="H930" t="n">
        <v>0</v>
      </c>
      <c r="I930" t="n">
        <v>0</v>
      </c>
      <c r="J930" t="n">
        <v>0</v>
      </c>
      <c r="K930" t="n">
        <v>0</v>
      </c>
      <c r="L930" t="n">
        <v>0</v>
      </c>
      <c r="M930" t="n">
        <v>0</v>
      </c>
      <c r="N930" t="n">
        <v>0</v>
      </c>
      <c r="O930" t="n">
        <v>0</v>
      </c>
      <c r="P930" t="n">
        <v>0</v>
      </c>
      <c r="Q930" t="n">
        <v>0</v>
      </c>
      <c r="R930" s="2" t="inlineStr"/>
    </row>
    <row r="931" ht="15" customHeight="1">
      <c r="A931" t="inlineStr">
        <is>
          <t>A 39691-2019</t>
        </is>
      </c>
      <c r="B931" s="1" t="n">
        <v>43691</v>
      </c>
      <c r="C931" s="1" t="n">
        <v>45761</v>
      </c>
      <c r="D931" t="inlineStr">
        <is>
          <t>SÖDERMANLANDS LÄN</t>
        </is>
      </c>
      <c r="E931" t="inlineStr">
        <is>
          <t>STRÄNGNÄS</t>
        </is>
      </c>
      <c r="G931" t="n">
        <v>0.8</v>
      </c>
      <c r="H931" t="n">
        <v>0</v>
      </c>
      <c r="I931" t="n">
        <v>0</v>
      </c>
      <c r="J931" t="n">
        <v>0</v>
      </c>
      <c r="K931" t="n">
        <v>0</v>
      </c>
      <c r="L931" t="n">
        <v>0</v>
      </c>
      <c r="M931" t="n">
        <v>0</v>
      </c>
      <c r="N931" t="n">
        <v>0</v>
      </c>
      <c r="O931" t="n">
        <v>0</v>
      </c>
      <c r="P931" t="n">
        <v>0</v>
      </c>
      <c r="Q931" t="n">
        <v>0</v>
      </c>
      <c r="R931" s="2" t="inlineStr"/>
    </row>
    <row r="932" ht="15" customHeight="1">
      <c r="A932" t="inlineStr">
        <is>
          <t>A 41126-2019</t>
        </is>
      </c>
      <c r="B932" s="1" t="n">
        <v>43691</v>
      </c>
      <c r="C932" s="1" t="n">
        <v>45761</v>
      </c>
      <c r="D932" t="inlineStr">
        <is>
          <t>SÖDERMANLANDS LÄN</t>
        </is>
      </c>
      <c r="E932" t="inlineStr">
        <is>
          <t>KATRINEHOLM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39731-2019</t>
        </is>
      </c>
      <c r="B933" s="1" t="n">
        <v>43691</v>
      </c>
      <c r="C933" s="1" t="n">
        <v>45761</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41114-2019</t>
        </is>
      </c>
      <c r="B934" s="1" t="n">
        <v>43691</v>
      </c>
      <c r="C934" s="1" t="n">
        <v>45761</v>
      </c>
      <c r="D934" t="inlineStr">
        <is>
          <t>SÖDERMANLANDS LÄN</t>
        </is>
      </c>
      <c r="E934" t="inlineStr">
        <is>
          <t>FLEN</t>
        </is>
      </c>
      <c r="G934" t="n">
        <v>0.9</v>
      </c>
      <c r="H934" t="n">
        <v>0</v>
      </c>
      <c r="I934" t="n">
        <v>0</v>
      </c>
      <c r="J934" t="n">
        <v>0</v>
      </c>
      <c r="K934" t="n">
        <v>0</v>
      </c>
      <c r="L934" t="n">
        <v>0</v>
      </c>
      <c r="M934" t="n">
        <v>0</v>
      </c>
      <c r="N934" t="n">
        <v>0</v>
      </c>
      <c r="O934" t="n">
        <v>0</v>
      </c>
      <c r="P934" t="n">
        <v>0</v>
      </c>
      <c r="Q934" t="n">
        <v>0</v>
      </c>
      <c r="R934" s="2" t="inlineStr"/>
    </row>
    <row r="935" ht="15" customHeight="1">
      <c r="A935" t="inlineStr">
        <is>
          <t>A 39736-2019</t>
        </is>
      </c>
      <c r="B935" s="1" t="n">
        <v>43691</v>
      </c>
      <c r="C935" s="1" t="n">
        <v>45761</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40620-2019</t>
        </is>
      </c>
      <c r="B936" s="1" t="n">
        <v>43691</v>
      </c>
      <c r="C936" s="1" t="n">
        <v>45761</v>
      </c>
      <c r="D936" t="inlineStr">
        <is>
          <t>SÖDERMANLANDS LÄN</t>
        </is>
      </c>
      <c r="E936" t="inlineStr">
        <is>
          <t>NYKÖPING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39982-2019</t>
        </is>
      </c>
      <c r="B937" s="1" t="n">
        <v>43692</v>
      </c>
      <c r="C937" s="1" t="n">
        <v>45761</v>
      </c>
      <c r="D937" t="inlineStr">
        <is>
          <t>SÖDERMANLANDS LÄN</t>
        </is>
      </c>
      <c r="E937" t="inlineStr">
        <is>
          <t>GNESTA</t>
        </is>
      </c>
      <c r="F937" t="inlineStr">
        <is>
          <t>Kommuner</t>
        </is>
      </c>
      <c r="G937" t="n">
        <v>2</v>
      </c>
      <c r="H937" t="n">
        <v>0</v>
      </c>
      <c r="I937" t="n">
        <v>0</v>
      </c>
      <c r="J937" t="n">
        <v>0</v>
      </c>
      <c r="K937" t="n">
        <v>0</v>
      </c>
      <c r="L937" t="n">
        <v>0</v>
      </c>
      <c r="M937" t="n">
        <v>0</v>
      </c>
      <c r="N937" t="n">
        <v>0</v>
      </c>
      <c r="O937" t="n">
        <v>0</v>
      </c>
      <c r="P937" t="n">
        <v>0</v>
      </c>
      <c r="Q937" t="n">
        <v>0</v>
      </c>
      <c r="R937" s="2" t="inlineStr"/>
    </row>
    <row r="938" ht="15" customHeight="1">
      <c r="A938" t="inlineStr">
        <is>
          <t>A 39771-2019</t>
        </is>
      </c>
      <c r="B938" s="1" t="n">
        <v>43692</v>
      </c>
      <c r="C938" s="1" t="n">
        <v>45761</v>
      </c>
      <c r="D938" t="inlineStr">
        <is>
          <t>SÖDERMANLANDS LÄN</t>
        </is>
      </c>
      <c r="E938" t="inlineStr">
        <is>
          <t>VINGÅKER</t>
        </is>
      </c>
      <c r="F938" t="inlineStr">
        <is>
          <t>Kyrkan</t>
        </is>
      </c>
      <c r="G938" t="n">
        <v>12.2</v>
      </c>
      <c r="H938" t="n">
        <v>0</v>
      </c>
      <c r="I938" t="n">
        <v>0</v>
      </c>
      <c r="J938" t="n">
        <v>0</v>
      </c>
      <c r="K938" t="n">
        <v>0</v>
      </c>
      <c r="L938" t="n">
        <v>0</v>
      </c>
      <c r="M938" t="n">
        <v>0</v>
      </c>
      <c r="N938" t="n">
        <v>0</v>
      </c>
      <c r="O938" t="n">
        <v>0</v>
      </c>
      <c r="P938" t="n">
        <v>0</v>
      </c>
      <c r="Q938" t="n">
        <v>0</v>
      </c>
      <c r="R938" s="2" t="inlineStr"/>
    </row>
    <row r="939" ht="15" customHeight="1">
      <c r="A939" t="inlineStr">
        <is>
          <t>A 40020-2019</t>
        </is>
      </c>
      <c r="B939" s="1" t="n">
        <v>43693</v>
      </c>
      <c r="C939" s="1" t="n">
        <v>45761</v>
      </c>
      <c r="D939" t="inlineStr">
        <is>
          <t>SÖDERMANLANDS LÄN</t>
        </is>
      </c>
      <c r="E939" t="inlineStr">
        <is>
          <t>ESKILSTUNA</t>
        </is>
      </c>
      <c r="G939" t="n">
        <v>0.9</v>
      </c>
      <c r="H939" t="n">
        <v>0</v>
      </c>
      <c r="I939" t="n">
        <v>0</v>
      </c>
      <c r="J939" t="n">
        <v>0</v>
      </c>
      <c r="K939" t="n">
        <v>0</v>
      </c>
      <c r="L939" t="n">
        <v>0</v>
      </c>
      <c r="M939" t="n">
        <v>0</v>
      </c>
      <c r="N939" t="n">
        <v>0</v>
      </c>
      <c r="O939" t="n">
        <v>0</v>
      </c>
      <c r="P939" t="n">
        <v>0</v>
      </c>
      <c r="Q939" t="n">
        <v>0</v>
      </c>
      <c r="R939" s="2" t="inlineStr"/>
    </row>
    <row r="940" ht="15" customHeight="1">
      <c r="A940" t="inlineStr">
        <is>
          <t>A 40017-2019</t>
        </is>
      </c>
      <c r="B940" s="1" t="n">
        <v>43693</v>
      </c>
      <c r="C940" s="1" t="n">
        <v>45761</v>
      </c>
      <c r="D940" t="inlineStr">
        <is>
          <t>SÖDERMANLANDS LÄN</t>
        </is>
      </c>
      <c r="E940" t="inlineStr">
        <is>
          <t>ESKILSTUNA</t>
        </is>
      </c>
      <c r="G940" t="n">
        <v>6.9</v>
      </c>
      <c r="H940" t="n">
        <v>0</v>
      </c>
      <c r="I940" t="n">
        <v>0</v>
      </c>
      <c r="J940" t="n">
        <v>0</v>
      </c>
      <c r="K940" t="n">
        <v>0</v>
      </c>
      <c r="L940" t="n">
        <v>0</v>
      </c>
      <c r="M940" t="n">
        <v>0</v>
      </c>
      <c r="N940" t="n">
        <v>0</v>
      </c>
      <c r="O940" t="n">
        <v>0</v>
      </c>
      <c r="P940" t="n">
        <v>0</v>
      </c>
      <c r="Q940" t="n">
        <v>0</v>
      </c>
      <c r="R940" s="2" t="inlineStr"/>
    </row>
    <row r="941" ht="15" customHeight="1">
      <c r="A941" t="inlineStr">
        <is>
          <t>A 40552-2019</t>
        </is>
      </c>
      <c r="B941" s="1" t="n">
        <v>43696</v>
      </c>
      <c r="C941" s="1" t="n">
        <v>45761</v>
      </c>
      <c r="D941" t="inlineStr">
        <is>
          <t>SÖDERMANLANDS LÄN</t>
        </is>
      </c>
      <c r="E941" t="inlineStr">
        <is>
          <t>ESKILSTUNA</t>
        </is>
      </c>
      <c r="G941" t="n">
        <v>6.8</v>
      </c>
      <c r="H941" t="n">
        <v>0</v>
      </c>
      <c r="I941" t="n">
        <v>0</v>
      </c>
      <c r="J941" t="n">
        <v>0</v>
      </c>
      <c r="K941" t="n">
        <v>0</v>
      </c>
      <c r="L941" t="n">
        <v>0</v>
      </c>
      <c r="M941" t="n">
        <v>0</v>
      </c>
      <c r="N941" t="n">
        <v>0</v>
      </c>
      <c r="O941" t="n">
        <v>0</v>
      </c>
      <c r="P941" t="n">
        <v>0</v>
      </c>
      <c r="Q941" t="n">
        <v>0</v>
      </c>
      <c r="R941" s="2" t="inlineStr"/>
    </row>
    <row r="942" ht="15" customHeight="1">
      <c r="A942" t="inlineStr">
        <is>
          <t>A 40314-2019</t>
        </is>
      </c>
      <c r="B942" s="1" t="n">
        <v>43696</v>
      </c>
      <c r="C942" s="1" t="n">
        <v>45761</v>
      </c>
      <c r="D942" t="inlineStr">
        <is>
          <t>SÖDERMANLANDS LÄN</t>
        </is>
      </c>
      <c r="E942" t="inlineStr">
        <is>
          <t>FLEN</t>
        </is>
      </c>
      <c r="G942" t="n">
        <v>10.3</v>
      </c>
      <c r="H942" t="n">
        <v>0</v>
      </c>
      <c r="I942" t="n">
        <v>0</v>
      </c>
      <c r="J942" t="n">
        <v>0</v>
      </c>
      <c r="K942" t="n">
        <v>0</v>
      </c>
      <c r="L942" t="n">
        <v>0</v>
      </c>
      <c r="M942" t="n">
        <v>0</v>
      </c>
      <c r="N942" t="n">
        <v>0</v>
      </c>
      <c r="O942" t="n">
        <v>0</v>
      </c>
      <c r="P942" t="n">
        <v>0</v>
      </c>
      <c r="Q942" t="n">
        <v>0</v>
      </c>
      <c r="R942" s="2" t="inlineStr"/>
    </row>
    <row r="943" ht="15" customHeight="1">
      <c r="A943" t="inlineStr">
        <is>
          <t>A 40455-2019</t>
        </is>
      </c>
      <c r="B943" s="1" t="n">
        <v>43696</v>
      </c>
      <c r="C943" s="1" t="n">
        <v>45761</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41476-2019</t>
        </is>
      </c>
      <c r="B944" s="1" t="n">
        <v>43696</v>
      </c>
      <c r="C944" s="1" t="n">
        <v>45761</v>
      </c>
      <c r="D944" t="inlineStr">
        <is>
          <t>SÖDERMANLANDS LÄN</t>
        </is>
      </c>
      <c r="E944" t="inlineStr">
        <is>
          <t>ESKILSTUNA</t>
        </is>
      </c>
      <c r="G944" t="n">
        <v>1.2</v>
      </c>
      <c r="H944" t="n">
        <v>0</v>
      </c>
      <c r="I944" t="n">
        <v>0</v>
      </c>
      <c r="J944" t="n">
        <v>0</v>
      </c>
      <c r="K944" t="n">
        <v>0</v>
      </c>
      <c r="L944" t="n">
        <v>0</v>
      </c>
      <c r="M944" t="n">
        <v>0</v>
      </c>
      <c r="N944" t="n">
        <v>0</v>
      </c>
      <c r="O944" t="n">
        <v>0</v>
      </c>
      <c r="P944" t="n">
        <v>0</v>
      </c>
      <c r="Q944" t="n">
        <v>0</v>
      </c>
      <c r="R944" s="2" t="inlineStr"/>
    </row>
    <row r="945" ht="15" customHeight="1">
      <c r="A945" t="inlineStr">
        <is>
          <t>A 41481-2019</t>
        </is>
      </c>
      <c r="B945" s="1" t="n">
        <v>43696</v>
      </c>
      <c r="C945" s="1" t="n">
        <v>45761</v>
      </c>
      <c r="D945" t="inlineStr">
        <is>
          <t>SÖDERMANLANDS LÄN</t>
        </is>
      </c>
      <c r="E945" t="inlineStr">
        <is>
          <t>ESKILSTUNA</t>
        </is>
      </c>
      <c r="G945" t="n">
        <v>3.1</v>
      </c>
      <c r="H945" t="n">
        <v>0</v>
      </c>
      <c r="I945" t="n">
        <v>0</v>
      </c>
      <c r="J945" t="n">
        <v>0</v>
      </c>
      <c r="K945" t="n">
        <v>0</v>
      </c>
      <c r="L945" t="n">
        <v>0</v>
      </c>
      <c r="M945" t="n">
        <v>0</v>
      </c>
      <c r="N945" t="n">
        <v>0</v>
      </c>
      <c r="O945" t="n">
        <v>0</v>
      </c>
      <c r="P945" t="n">
        <v>0</v>
      </c>
      <c r="Q945" t="n">
        <v>0</v>
      </c>
      <c r="R945" s="2" t="inlineStr"/>
    </row>
    <row r="946" ht="15" customHeight="1">
      <c r="A946" t="inlineStr">
        <is>
          <t>A 40781-2019</t>
        </is>
      </c>
      <c r="B946" s="1" t="n">
        <v>43697</v>
      </c>
      <c r="C946" s="1" t="n">
        <v>45761</v>
      </c>
      <c r="D946" t="inlineStr">
        <is>
          <t>SÖDERMANLANDS LÄN</t>
        </is>
      </c>
      <c r="E946" t="inlineStr">
        <is>
          <t>GNESTA</t>
        </is>
      </c>
      <c r="G946" t="n">
        <v>6.1</v>
      </c>
      <c r="H946" t="n">
        <v>0</v>
      </c>
      <c r="I946" t="n">
        <v>0</v>
      </c>
      <c r="J946" t="n">
        <v>0</v>
      </c>
      <c r="K946" t="n">
        <v>0</v>
      </c>
      <c r="L946" t="n">
        <v>0</v>
      </c>
      <c r="M946" t="n">
        <v>0</v>
      </c>
      <c r="N946" t="n">
        <v>0</v>
      </c>
      <c r="O946" t="n">
        <v>0</v>
      </c>
      <c r="P946" t="n">
        <v>0</v>
      </c>
      <c r="Q946" t="n">
        <v>0</v>
      </c>
      <c r="R946" s="2" t="inlineStr"/>
    </row>
    <row r="947" ht="15" customHeight="1">
      <c r="A947" t="inlineStr">
        <is>
          <t>A 40800-2019</t>
        </is>
      </c>
      <c r="B947" s="1" t="n">
        <v>43697</v>
      </c>
      <c r="C947" s="1" t="n">
        <v>45761</v>
      </c>
      <c r="D947" t="inlineStr">
        <is>
          <t>SÖDERMANLANDS LÄN</t>
        </is>
      </c>
      <c r="E947" t="inlineStr">
        <is>
          <t>KATRINEHOLM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40778-2019</t>
        </is>
      </c>
      <c r="B948" s="1" t="n">
        <v>43697</v>
      </c>
      <c r="C948" s="1" t="n">
        <v>45761</v>
      </c>
      <c r="D948" t="inlineStr">
        <is>
          <t>SÖDERMANLANDS LÄN</t>
        </is>
      </c>
      <c r="E948" t="inlineStr">
        <is>
          <t>KATRINEHOLM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40798-2019</t>
        </is>
      </c>
      <c r="B949" s="1" t="n">
        <v>43697</v>
      </c>
      <c r="C949" s="1" t="n">
        <v>45761</v>
      </c>
      <c r="D949" t="inlineStr">
        <is>
          <t>SÖDERMANLANDS LÄN</t>
        </is>
      </c>
      <c r="E949" t="inlineStr">
        <is>
          <t>KATRINEHOLM</t>
        </is>
      </c>
      <c r="G949" t="n">
        <v>4.8</v>
      </c>
      <c r="H949" t="n">
        <v>0</v>
      </c>
      <c r="I949" t="n">
        <v>0</v>
      </c>
      <c r="J949" t="n">
        <v>0</v>
      </c>
      <c r="K949" t="n">
        <v>0</v>
      </c>
      <c r="L949" t="n">
        <v>0</v>
      </c>
      <c r="M949" t="n">
        <v>0</v>
      </c>
      <c r="N949" t="n">
        <v>0</v>
      </c>
      <c r="O949" t="n">
        <v>0</v>
      </c>
      <c r="P949" t="n">
        <v>0</v>
      </c>
      <c r="Q949" t="n">
        <v>0</v>
      </c>
      <c r="R949" s="2" t="inlineStr"/>
    </row>
    <row r="950" ht="15" customHeight="1">
      <c r="A950" t="inlineStr">
        <is>
          <t>A 40812-2019</t>
        </is>
      </c>
      <c r="B950" s="1" t="n">
        <v>43697</v>
      </c>
      <c r="C950" s="1" t="n">
        <v>45761</v>
      </c>
      <c r="D950" t="inlineStr">
        <is>
          <t>SÖDERMANLANDS LÄN</t>
        </is>
      </c>
      <c r="E950" t="inlineStr">
        <is>
          <t>KATRINEHOLM</t>
        </is>
      </c>
      <c r="G950" t="n">
        <v>1.1</v>
      </c>
      <c r="H950" t="n">
        <v>0</v>
      </c>
      <c r="I950" t="n">
        <v>0</v>
      </c>
      <c r="J950" t="n">
        <v>0</v>
      </c>
      <c r="K950" t="n">
        <v>0</v>
      </c>
      <c r="L950" t="n">
        <v>0</v>
      </c>
      <c r="M950" t="n">
        <v>0</v>
      </c>
      <c r="N950" t="n">
        <v>0</v>
      </c>
      <c r="O950" t="n">
        <v>0</v>
      </c>
      <c r="P950" t="n">
        <v>0</v>
      </c>
      <c r="Q950" t="n">
        <v>0</v>
      </c>
      <c r="R950" s="2" t="inlineStr"/>
    </row>
    <row r="951" ht="15" customHeight="1">
      <c r="A951" t="inlineStr">
        <is>
          <t>A 40773-2019</t>
        </is>
      </c>
      <c r="B951" s="1" t="n">
        <v>43697</v>
      </c>
      <c r="C951" s="1" t="n">
        <v>45761</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41847-2019</t>
        </is>
      </c>
      <c r="B952" s="1" t="n">
        <v>43697</v>
      </c>
      <c r="C952" s="1" t="n">
        <v>45761</v>
      </c>
      <c r="D952" t="inlineStr">
        <is>
          <t>SÖDERMANLANDS LÄN</t>
        </is>
      </c>
      <c r="E952" t="inlineStr">
        <is>
          <t>FLEN</t>
        </is>
      </c>
      <c r="G952" t="n">
        <v>1.6</v>
      </c>
      <c r="H952" t="n">
        <v>0</v>
      </c>
      <c r="I952" t="n">
        <v>0</v>
      </c>
      <c r="J952" t="n">
        <v>0</v>
      </c>
      <c r="K952" t="n">
        <v>0</v>
      </c>
      <c r="L952" t="n">
        <v>0</v>
      </c>
      <c r="M952" t="n">
        <v>0</v>
      </c>
      <c r="N952" t="n">
        <v>0</v>
      </c>
      <c r="O952" t="n">
        <v>0</v>
      </c>
      <c r="P952" t="n">
        <v>0</v>
      </c>
      <c r="Q952" t="n">
        <v>0</v>
      </c>
      <c r="R952" s="2" t="inlineStr"/>
    </row>
    <row r="953" ht="15" customHeight="1">
      <c r="A953" t="inlineStr">
        <is>
          <t>A 40775-2019</t>
        </is>
      </c>
      <c r="B953" s="1" t="n">
        <v>43697</v>
      </c>
      <c r="C953" s="1" t="n">
        <v>45761</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40891-2019</t>
        </is>
      </c>
      <c r="B954" s="1" t="n">
        <v>43697</v>
      </c>
      <c r="C954" s="1" t="n">
        <v>45761</v>
      </c>
      <c r="D954" t="inlineStr">
        <is>
          <t>SÖDERMANLANDS LÄN</t>
        </is>
      </c>
      <c r="E954" t="inlineStr">
        <is>
          <t>KATRINEHOLM</t>
        </is>
      </c>
      <c r="G954" t="n">
        <v>10.5</v>
      </c>
      <c r="H954" t="n">
        <v>0</v>
      </c>
      <c r="I954" t="n">
        <v>0</v>
      </c>
      <c r="J954" t="n">
        <v>0</v>
      </c>
      <c r="K954" t="n">
        <v>0</v>
      </c>
      <c r="L954" t="n">
        <v>0</v>
      </c>
      <c r="M954" t="n">
        <v>0</v>
      </c>
      <c r="N954" t="n">
        <v>0</v>
      </c>
      <c r="O954" t="n">
        <v>0</v>
      </c>
      <c r="P954" t="n">
        <v>0</v>
      </c>
      <c r="Q954" t="n">
        <v>0</v>
      </c>
      <c r="R954" s="2" t="inlineStr"/>
    </row>
    <row r="955" ht="15" customHeight="1">
      <c r="A955" t="inlineStr">
        <is>
          <t>A 40820-2019</t>
        </is>
      </c>
      <c r="B955" s="1" t="n">
        <v>43697</v>
      </c>
      <c r="C955" s="1" t="n">
        <v>45761</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41149-2019</t>
        </is>
      </c>
      <c r="B956" s="1" t="n">
        <v>43698</v>
      </c>
      <c r="C956" s="1" t="n">
        <v>45761</v>
      </c>
      <c r="D956" t="inlineStr">
        <is>
          <t>SÖDERMANLANDS LÄN</t>
        </is>
      </c>
      <c r="E956" t="inlineStr">
        <is>
          <t>NYKÖPING</t>
        </is>
      </c>
      <c r="G956" t="n">
        <v>8.1</v>
      </c>
      <c r="H956" t="n">
        <v>0</v>
      </c>
      <c r="I956" t="n">
        <v>0</v>
      </c>
      <c r="J956" t="n">
        <v>0</v>
      </c>
      <c r="K956" t="n">
        <v>0</v>
      </c>
      <c r="L956" t="n">
        <v>0</v>
      </c>
      <c r="M956" t="n">
        <v>0</v>
      </c>
      <c r="N956" t="n">
        <v>0</v>
      </c>
      <c r="O956" t="n">
        <v>0</v>
      </c>
      <c r="P956" t="n">
        <v>0</v>
      </c>
      <c r="Q956" t="n">
        <v>0</v>
      </c>
      <c r="R956" s="2" t="inlineStr"/>
    </row>
    <row r="957" ht="15" customHeight="1">
      <c r="A957" t="inlineStr">
        <is>
          <t>A 41154-2019</t>
        </is>
      </c>
      <c r="B957" s="1" t="n">
        <v>43698</v>
      </c>
      <c r="C957" s="1" t="n">
        <v>45761</v>
      </c>
      <c r="D957" t="inlineStr">
        <is>
          <t>SÖDERMANLANDS LÄN</t>
        </is>
      </c>
      <c r="E957" t="inlineStr">
        <is>
          <t>NYKÖPING</t>
        </is>
      </c>
      <c r="G957" t="n">
        <v>4</v>
      </c>
      <c r="H957" t="n">
        <v>0</v>
      </c>
      <c r="I957" t="n">
        <v>0</v>
      </c>
      <c r="J957" t="n">
        <v>0</v>
      </c>
      <c r="K957" t="n">
        <v>0</v>
      </c>
      <c r="L957" t="n">
        <v>0</v>
      </c>
      <c r="M957" t="n">
        <v>0</v>
      </c>
      <c r="N957" t="n">
        <v>0</v>
      </c>
      <c r="O957" t="n">
        <v>0</v>
      </c>
      <c r="P957" t="n">
        <v>0</v>
      </c>
      <c r="Q957" t="n">
        <v>0</v>
      </c>
      <c r="R957" s="2" t="inlineStr"/>
    </row>
    <row r="958" ht="15" customHeight="1">
      <c r="A958" t="inlineStr">
        <is>
          <t>A 41293-2019</t>
        </is>
      </c>
      <c r="B958" s="1" t="n">
        <v>43698</v>
      </c>
      <c r="C958" s="1" t="n">
        <v>45761</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41442-2019</t>
        </is>
      </c>
      <c r="B959" s="1" t="n">
        <v>43698</v>
      </c>
      <c r="C959" s="1" t="n">
        <v>45761</v>
      </c>
      <c r="D959" t="inlineStr">
        <is>
          <t>SÖDERMANLANDS LÄN</t>
        </is>
      </c>
      <c r="E959" t="inlineStr">
        <is>
          <t>ESKILSTUNA</t>
        </is>
      </c>
      <c r="G959" t="n">
        <v>2.4</v>
      </c>
      <c r="H959" t="n">
        <v>0</v>
      </c>
      <c r="I959" t="n">
        <v>0</v>
      </c>
      <c r="J959" t="n">
        <v>0</v>
      </c>
      <c r="K959" t="n">
        <v>0</v>
      </c>
      <c r="L959" t="n">
        <v>0</v>
      </c>
      <c r="M959" t="n">
        <v>0</v>
      </c>
      <c r="N959" t="n">
        <v>0</v>
      </c>
      <c r="O959" t="n">
        <v>0</v>
      </c>
      <c r="P959" t="n">
        <v>0</v>
      </c>
      <c r="Q959" t="n">
        <v>0</v>
      </c>
      <c r="R959" s="2" t="inlineStr"/>
    </row>
    <row r="960" ht="15" customHeight="1">
      <c r="A960" t="inlineStr">
        <is>
          <t>A 41244-2019</t>
        </is>
      </c>
      <c r="B960" s="1" t="n">
        <v>43698</v>
      </c>
      <c r="C960" s="1" t="n">
        <v>45761</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41167-2019</t>
        </is>
      </c>
      <c r="B961" s="1" t="n">
        <v>43698</v>
      </c>
      <c r="C961" s="1" t="n">
        <v>45761</v>
      </c>
      <c r="D961" t="inlineStr">
        <is>
          <t>SÖDERMANLANDS LÄN</t>
        </is>
      </c>
      <c r="E961" t="inlineStr">
        <is>
          <t>NYKÖPING</t>
        </is>
      </c>
      <c r="G961" t="n">
        <v>6.7</v>
      </c>
      <c r="H961" t="n">
        <v>0</v>
      </c>
      <c r="I961" t="n">
        <v>0</v>
      </c>
      <c r="J961" t="n">
        <v>0</v>
      </c>
      <c r="K961" t="n">
        <v>0</v>
      </c>
      <c r="L961" t="n">
        <v>0</v>
      </c>
      <c r="M961" t="n">
        <v>0</v>
      </c>
      <c r="N961" t="n">
        <v>0</v>
      </c>
      <c r="O961" t="n">
        <v>0</v>
      </c>
      <c r="P961" t="n">
        <v>0</v>
      </c>
      <c r="Q961" t="n">
        <v>0</v>
      </c>
      <c r="R961" s="2" t="inlineStr"/>
    </row>
    <row r="962" ht="15" customHeight="1">
      <c r="A962" t="inlineStr">
        <is>
          <t>A 41718-2019</t>
        </is>
      </c>
      <c r="B962" s="1" t="n">
        <v>43699</v>
      </c>
      <c r="C962" s="1" t="n">
        <v>45761</v>
      </c>
      <c r="D962" t="inlineStr">
        <is>
          <t>SÖDERMANLANDS LÄN</t>
        </is>
      </c>
      <c r="E962" t="inlineStr">
        <is>
          <t>STRÄNGNÄS</t>
        </is>
      </c>
      <c r="G962" t="n">
        <v>4.8</v>
      </c>
      <c r="H962" t="n">
        <v>0</v>
      </c>
      <c r="I962" t="n">
        <v>0</v>
      </c>
      <c r="J962" t="n">
        <v>0</v>
      </c>
      <c r="K962" t="n">
        <v>0</v>
      </c>
      <c r="L962" t="n">
        <v>0</v>
      </c>
      <c r="M962" t="n">
        <v>0</v>
      </c>
      <c r="N962" t="n">
        <v>0</v>
      </c>
      <c r="O962" t="n">
        <v>0</v>
      </c>
      <c r="P962" t="n">
        <v>0</v>
      </c>
      <c r="Q962" t="n">
        <v>0</v>
      </c>
      <c r="R962" s="2" t="inlineStr"/>
    </row>
    <row r="963" ht="15" customHeight="1">
      <c r="A963" t="inlineStr">
        <is>
          <t>A 42618-2019</t>
        </is>
      </c>
      <c r="B963" s="1" t="n">
        <v>43699</v>
      </c>
      <c r="C963" s="1" t="n">
        <v>45761</v>
      </c>
      <c r="D963" t="inlineStr">
        <is>
          <t>SÖDERMANLANDS LÄN</t>
        </is>
      </c>
      <c r="E963" t="inlineStr">
        <is>
          <t>KATRINEHOLM</t>
        </is>
      </c>
      <c r="G963" t="n">
        <v>24.1</v>
      </c>
      <c r="H963" t="n">
        <v>0</v>
      </c>
      <c r="I963" t="n">
        <v>0</v>
      </c>
      <c r="J963" t="n">
        <v>0</v>
      </c>
      <c r="K963" t="n">
        <v>0</v>
      </c>
      <c r="L963" t="n">
        <v>0</v>
      </c>
      <c r="M963" t="n">
        <v>0</v>
      </c>
      <c r="N963" t="n">
        <v>0</v>
      </c>
      <c r="O963" t="n">
        <v>0</v>
      </c>
      <c r="P963" t="n">
        <v>0</v>
      </c>
      <c r="Q963" t="n">
        <v>0</v>
      </c>
      <c r="R963" s="2" t="inlineStr"/>
    </row>
    <row r="964" ht="15" customHeight="1">
      <c r="A964" t="inlineStr">
        <is>
          <t>A 41877-2019</t>
        </is>
      </c>
      <c r="B964" s="1" t="n">
        <v>43700</v>
      </c>
      <c r="C964" s="1" t="n">
        <v>45761</v>
      </c>
      <c r="D964" t="inlineStr">
        <is>
          <t>SÖDERMANLANDS LÄN</t>
        </is>
      </c>
      <c r="E964" t="inlineStr">
        <is>
          <t>TROSA</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41893-2019</t>
        </is>
      </c>
      <c r="B965" s="1" t="n">
        <v>43700</v>
      </c>
      <c r="C965" s="1" t="n">
        <v>45761</v>
      </c>
      <c r="D965" t="inlineStr">
        <is>
          <t>SÖDERMANLANDS LÄN</t>
        </is>
      </c>
      <c r="E965" t="inlineStr">
        <is>
          <t>TROSA</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41830-2019</t>
        </is>
      </c>
      <c r="B966" s="1" t="n">
        <v>43700</v>
      </c>
      <c r="C966" s="1" t="n">
        <v>45761</v>
      </c>
      <c r="D966" t="inlineStr">
        <is>
          <t>SÖDERMANLANDS LÄN</t>
        </is>
      </c>
      <c r="E966" t="inlineStr">
        <is>
          <t>TROSA</t>
        </is>
      </c>
      <c r="G966" t="n">
        <v>4</v>
      </c>
      <c r="H966" t="n">
        <v>0</v>
      </c>
      <c r="I966" t="n">
        <v>0</v>
      </c>
      <c r="J966" t="n">
        <v>0</v>
      </c>
      <c r="K966" t="n">
        <v>0</v>
      </c>
      <c r="L966" t="n">
        <v>0</v>
      </c>
      <c r="M966" t="n">
        <v>0</v>
      </c>
      <c r="N966" t="n">
        <v>0</v>
      </c>
      <c r="O966" t="n">
        <v>0</v>
      </c>
      <c r="P966" t="n">
        <v>0</v>
      </c>
      <c r="Q966" t="n">
        <v>0</v>
      </c>
      <c r="R966" s="2" t="inlineStr"/>
    </row>
    <row r="967" ht="15" customHeight="1">
      <c r="A967" t="inlineStr">
        <is>
          <t>A 41869-2019</t>
        </is>
      </c>
      <c r="B967" s="1" t="n">
        <v>43700</v>
      </c>
      <c r="C967" s="1" t="n">
        <v>45761</v>
      </c>
      <c r="D967" t="inlineStr">
        <is>
          <t>SÖDERMANLANDS LÄN</t>
        </is>
      </c>
      <c r="E967" t="inlineStr">
        <is>
          <t>TROSA</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41902-2019</t>
        </is>
      </c>
      <c r="B968" s="1" t="n">
        <v>43700</v>
      </c>
      <c r="C968" s="1" t="n">
        <v>45761</v>
      </c>
      <c r="D968" t="inlineStr">
        <is>
          <t>SÖDERMANLANDS LÄN</t>
        </is>
      </c>
      <c r="E968" t="inlineStr">
        <is>
          <t>TROSA</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42056-2019</t>
        </is>
      </c>
      <c r="B969" s="1" t="n">
        <v>43700</v>
      </c>
      <c r="C969" s="1" t="n">
        <v>45761</v>
      </c>
      <c r="D969" t="inlineStr">
        <is>
          <t>SÖDERMANLANDS LÄN</t>
        </is>
      </c>
      <c r="E969" t="inlineStr">
        <is>
          <t>ESKILSTUNA</t>
        </is>
      </c>
      <c r="G969" t="n">
        <v>7.4</v>
      </c>
      <c r="H969" t="n">
        <v>0</v>
      </c>
      <c r="I969" t="n">
        <v>0</v>
      </c>
      <c r="J969" t="n">
        <v>0</v>
      </c>
      <c r="K969" t="n">
        <v>0</v>
      </c>
      <c r="L969" t="n">
        <v>0</v>
      </c>
      <c r="M969" t="n">
        <v>0</v>
      </c>
      <c r="N969" t="n">
        <v>0</v>
      </c>
      <c r="O969" t="n">
        <v>0</v>
      </c>
      <c r="P969" t="n">
        <v>0</v>
      </c>
      <c r="Q969" t="n">
        <v>0</v>
      </c>
      <c r="R969" s="2" t="inlineStr"/>
    </row>
    <row r="970" ht="15" customHeight="1">
      <c r="A970" t="inlineStr">
        <is>
          <t>A 41934-2019</t>
        </is>
      </c>
      <c r="B970" s="1" t="n">
        <v>43700</v>
      </c>
      <c r="C970" s="1" t="n">
        <v>45761</v>
      </c>
      <c r="D970" t="inlineStr">
        <is>
          <t>SÖDERMANLANDS LÄN</t>
        </is>
      </c>
      <c r="E970" t="inlineStr">
        <is>
          <t>VINGÅKER</t>
        </is>
      </c>
      <c r="G970" t="n">
        <v>0.8</v>
      </c>
      <c r="H970" t="n">
        <v>0</v>
      </c>
      <c r="I970" t="n">
        <v>0</v>
      </c>
      <c r="J970" t="n">
        <v>0</v>
      </c>
      <c r="K970" t="n">
        <v>0</v>
      </c>
      <c r="L970" t="n">
        <v>0</v>
      </c>
      <c r="M970" t="n">
        <v>0</v>
      </c>
      <c r="N970" t="n">
        <v>0</v>
      </c>
      <c r="O970" t="n">
        <v>0</v>
      </c>
      <c r="P970" t="n">
        <v>0</v>
      </c>
      <c r="Q970" t="n">
        <v>0</v>
      </c>
      <c r="R970" s="2" t="inlineStr"/>
    </row>
    <row r="971" ht="15" customHeight="1">
      <c r="A971" t="inlineStr">
        <is>
          <t>A 41975-2019</t>
        </is>
      </c>
      <c r="B971" s="1" t="n">
        <v>43700</v>
      </c>
      <c r="C971" s="1" t="n">
        <v>45761</v>
      </c>
      <c r="D971" t="inlineStr">
        <is>
          <t>SÖDERMANLANDS LÄN</t>
        </is>
      </c>
      <c r="E971" t="inlineStr">
        <is>
          <t>STRÄNGNÄS</t>
        </is>
      </c>
      <c r="F971" t="inlineStr">
        <is>
          <t>Övriga Aktiebolag</t>
        </is>
      </c>
      <c r="G971" t="n">
        <v>6.8</v>
      </c>
      <c r="H971" t="n">
        <v>0</v>
      </c>
      <c r="I971" t="n">
        <v>0</v>
      </c>
      <c r="J971" t="n">
        <v>0</v>
      </c>
      <c r="K971" t="n">
        <v>0</v>
      </c>
      <c r="L971" t="n">
        <v>0</v>
      </c>
      <c r="M971" t="n">
        <v>0</v>
      </c>
      <c r="N971" t="n">
        <v>0</v>
      </c>
      <c r="O971" t="n">
        <v>0</v>
      </c>
      <c r="P971" t="n">
        <v>0</v>
      </c>
      <c r="Q971" t="n">
        <v>0</v>
      </c>
      <c r="R971" s="2" t="inlineStr"/>
    </row>
    <row r="972" ht="15" customHeight="1">
      <c r="A972" t="inlineStr">
        <is>
          <t>A 42234-2019</t>
        </is>
      </c>
      <c r="B972" s="1" t="n">
        <v>43703</v>
      </c>
      <c r="C972" s="1" t="n">
        <v>45761</v>
      </c>
      <c r="D972" t="inlineStr">
        <is>
          <t>SÖDERMANLANDS LÄN</t>
        </is>
      </c>
      <c r="E972" t="inlineStr">
        <is>
          <t>NYKÖPING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42397-2019</t>
        </is>
      </c>
      <c r="B973" s="1" t="n">
        <v>43703</v>
      </c>
      <c r="C973" s="1" t="n">
        <v>45761</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42324-2019</t>
        </is>
      </c>
      <c r="B974" s="1" t="n">
        <v>43703</v>
      </c>
      <c r="C974" s="1" t="n">
        <v>45761</v>
      </c>
      <c r="D974" t="inlineStr">
        <is>
          <t>SÖDERMANLANDS LÄN</t>
        </is>
      </c>
      <c r="E974" t="inlineStr">
        <is>
          <t>NYKÖPING</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42336-2019</t>
        </is>
      </c>
      <c r="B975" s="1" t="n">
        <v>43703</v>
      </c>
      <c r="C975" s="1" t="n">
        <v>45761</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42343-2019</t>
        </is>
      </c>
      <c r="B976" s="1" t="n">
        <v>43703</v>
      </c>
      <c r="C976" s="1" t="n">
        <v>45761</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42392-2019</t>
        </is>
      </c>
      <c r="B977" s="1" t="n">
        <v>43703</v>
      </c>
      <c r="C977" s="1" t="n">
        <v>45761</v>
      </c>
      <c r="D977" t="inlineStr">
        <is>
          <t>SÖDERMANLANDS LÄN</t>
        </is>
      </c>
      <c r="E977" t="inlineStr">
        <is>
          <t>KATRINEHOLM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42394-2019</t>
        </is>
      </c>
      <c r="B978" s="1" t="n">
        <v>43703</v>
      </c>
      <c r="C978" s="1" t="n">
        <v>45761</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42338-2019</t>
        </is>
      </c>
      <c r="B979" s="1" t="n">
        <v>43703</v>
      </c>
      <c r="C979" s="1" t="n">
        <v>45761</v>
      </c>
      <c r="D979" t="inlineStr">
        <is>
          <t>SÖDERMANLANDS LÄN</t>
        </is>
      </c>
      <c r="E979" t="inlineStr">
        <is>
          <t>NYKÖPING</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42328-2019</t>
        </is>
      </c>
      <c r="B980" s="1" t="n">
        <v>43703</v>
      </c>
      <c r="C980" s="1" t="n">
        <v>45761</v>
      </c>
      <c r="D980" t="inlineStr">
        <is>
          <t>SÖDERMANLANDS LÄN</t>
        </is>
      </c>
      <c r="E980" t="inlineStr">
        <is>
          <t>NYKÖPING</t>
        </is>
      </c>
      <c r="F980" t="inlineStr">
        <is>
          <t>Kommuner</t>
        </is>
      </c>
      <c r="G980" t="n">
        <v>0.5</v>
      </c>
      <c r="H980" t="n">
        <v>0</v>
      </c>
      <c r="I980" t="n">
        <v>0</v>
      </c>
      <c r="J980" t="n">
        <v>0</v>
      </c>
      <c r="K980" t="n">
        <v>0</v>
      </c>
      <c r="L980" t="n">
        <v>0</v>
      </c>
      <c r="M980" t="n">
        <v>0</v>
      </c>
      <c r="N980" t="n">
        <v>0</v>
      </c>
      <c r="O980" t="n">
        <v>0</v>
      </c>
      <c r="P980" t="n">
        <v>0</v>
      </c>
      <c r="Q980" t="n">
        <v>0</v>
      </c>
      <c r="R980" s="2" t="inlineStr"/>
    </row>
    <row r="981" ht="15" customHeight="1">
      <c r="A981" t="inlineStr">
        <is>
          <t>A 42244-2019</t>
        </is>
      </c>
      <c r="B981" s="1" t="n">
        <v>43703</v>
      </c>
      <c r="C981" s="1" t="n">
        <v>45761</v>
      </c>
      <c r="D981" t="inlineStr">
        <is>
          <t>SÖDERMANLANDS LÄN</t>
        </is>
      </c>
      <c r="E981" t="inlineStr">
        <is>
          <t>KATRINEHOLM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42488-2019</t>
        </is>
      </c>
      <c r="B982" s="1" t="n">
        <v>43704</v>
      </c>
      <c r="C982" s="1" t="n">
        <v>45761</v>
      </c>
      <c r="D982" t="inlineStr">
        <is>
          <t>SÖDERMANLANDS LÄN</t>
        </is>
      </c>
      <c r="E982" t="inlineStr">
        <is>
          <t>NYKÖPING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42496-2019</t>
        </is>
      </c>
      <c r="B983" s="1" t="n">
        <v>43704</v>
      </c>
      <c r="C983" s="1" t="n">
        <v>45761</v>
      </c>
      <c r="D983" t="inlineStr">
        <is>
          <t>SÖDERMANLANDS LÄN</t>
        </is>
      </c>
      <c r="E983" t="inlineStr">
        <is>
          <t>NYKÖPING</t>
        </is>
      </c>
      <c r="G983" t="n">
        <v>8</v>
      </c>
      <c r="H983" t="n">
        <v>0</v>
      </c>
      <c r="I983" t="n">
        <v>0</v>
      </c>
      <c r="J983" t="n">
        <v>0</v>
      </c>
      <c r="K983" t="n">
        <v>0</v>
      </c>
      <c r="L983" t="n">
        <v>0</v>
      </c>
      <c r="M983" t="n">
        <v>0</v>
      </c>
      <c r="N983" t="n">
        <v>0</v>
      </c>
      <c r="O983" t="n">
        <v>0</v>
      </c>
      <c r="P983" t="n">
        <v>0</v>
      </c>
      <c r="Q983" t="n">
        <v>0</v>
      </c>
      <c r="R983" s="2" t="inlineStr"/>
    </row>
    <row r="984" ht="15" customHeight="1">
      <c r="A984" t="inlineStr">
        <is>
          <t>A 42675-2019</t>
        </is>
      </c>
      <c r="B984" s="1" t="n">
        <v>43704</v>
      </c>
      <c r="C984" s="1" t="n">
        <v>45761</v>
      </c>
      <c r="D984" t="inlineStr">
        <is>
          <t>SÖDERMANLANDS LÄN</t>
        </is>
      </c>
      <c r="E984" t="inlineStr">
        <is>
          <t>VINGÅKER</t>
        </is>
      </c>
      <c r="G984" t="n">
        <v>5</v>
      </c>
      <c r="H984" t="n">
        <v>0</v>
      </c>
      <c r="I984" t="n">
        <v>0</v>
      </c>
      <c r="J984" t="n">
        <v>0</v>
      </c>
      <c r="K984" t="n">
        <v>0</v>
      </c>
      <c r="L984" t="n">
        <v>0</v>
      </c>
      <c r="M984" t="n">
        <v>0</v>
      </c>
      <c r="N984" t="n">
        <v>0</v>
      </c>
      <c r="O984" t="n">
        <v>0</v>
      </c>
      <c r="P984" t="n">
        <v>0</v>
      </c>
      <c r="Q984" t="n">
        <v>0</v>
      </c>
      <c r="R984" s="2" t="inlineStr"/>
    </row>
    <row r="985" ht="15" customHeight="1">
      <c r="A985" t="inlineStr">
        <is>
          <t>A 42491-2019</t>
        </is>
      </c>
      <c r="B985" s="1" t="n">
        <v>43704</v>
      </c>
      <c r="C985" s="1" t="n">
        <v>45761</v>
      </c>
      <c r="D985" t="inlineStr">
        <is>
          <t>SÖDERMANLANDS LÄN</t>
        </is>
      </c>
      <c r="E985" t="inlineStr">
        <is>
          <t>NYKÖPING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42516-2019</t>
        </is>
      </c>
      <c r="B986" s="1" t="n">
        <v>43704</v>
      </c>
      <c r="C986" s="1" t="n">
        <v>45761</v>
      </c>
      <c r="D986" t="inlineStr">
        <is>
          <t>SÖDERMANLANDS LÄN</t>
        </is>
      </c>
      <c r="E986" t="inlineStr">
        <is>
          <t>TROSA</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42897-2019</t>
        </is>
      </c>
      <c r="B987" s="1" t="n">
        <v>43705</v>
      </c>
      <c r="C987" s="1" t="n">
        <v>45761</v>
      </c>
      <c r="D987" t="inlineStr">
        <is>
          <t>SÖDERMANLANDS LÄN</t>
        </is>
      </c>
      <c r="E987" t="inlineStr">
        <is>
          <t>KATRINEHOLM</t>
        </is>
      </c>
      <c r="G987" t="n">
        <v>6</v>
      </c>
      <c r="H987" t="n">
        <v>0</v>
      </c>
      <c r="I987" t="n">
        <v>0</v>
      </c>
      <c r="J987" t="n">
        <v>0</v>
      </c>
      <c r="K987" t="n">
        <v>0</v>
      </c>
      <c r="L987" t="n">
        <v>0</v>
      </c>
      <c r="M987" t="n">
        <v>0</v>
      </c>
      <c r="N987" t="n">
        <v>0</v>
      </c>
      <c r="O987" t="n">
        <v>0</v>
      </c>
      <c r="P987" t="n">
        <v>0</v>
      </c>
      <c r="Q987" t="n">
        <v>0</v>
      </c>
      <c r="R987" s="2" t="inlineStr"/>
    </row>
    <row r="988" ht="15" customHeight="1">
      <c r="A988" t="inlineStr">
        <is>
          <t>A 43110-2019</t>
        </is>
      </c>
      <c r="B988" s="1" t="n">
        <v>43705</v>
      </c>
      <c r="C988" s="1" t="n">
        <v>45761</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44364-2019</t>
        </is>
      </c>
      <c r="B989" s="1" t="n">
        <v>43705</v>
      </c>
      <c r="C989" s="1" t="n">
        <v>45761</v>
      </c>
      <c r="D989" t="inlineStr">
        <is>
          <t>SÖDERMANLANDS LÄN</t>
        </is>
      </c>
      <c r="E989" t="inlineStr">
        <is>
          <t>ESKILSTUNA</t>
        </is>
      </c>
      <c r="G989" t="n">
        <v>5.8</v>
      </c>
      <c r="H989" t="n">
        <v>0</v>
      </c>
      <c r="I989" t="n">
        <v>0</v>
      </c>
      <c r="J989" t="n">
        <v>0</v>
      </c>
      <c r="K989" t="n">
        <v>0</v>
      </c>
      <c r="L989" t="n">
        <v>0</v>
      </c>
      <c r="M989" t="n">
        <v>0</v>
      </c>
      <c r="N989" t="n">
        <v>0</v>
      </c>
      <c r="O989" t="n">
        <v>0</v>
      </c>
      <c r="P989" t="n">
        <v>0</v>
      </c>
      <c r="Q989" t="n">
        <v>0</v>
      </c>
      <c r="R989" s="2" t="inlineStr"/>
    </row>
    <row r="990" ht="15" customHeight="1">
      <c r="A990" t="inlineStr">
        <is>
          <t>A 44403-2019</t>
        </is>
      </c>
      <c r="B990" s="1" t="n">
        <v>43705</v>
      </c>
      <c r="C990" s="1" t="n">
        <v>45761</v>
      </c>
      <c r="D990" t="inlineStr">
        <is>
          <t>SÖDERMANLANDS LÄN</t>
        </is>
      </c>
      <c r="E990" t="inlineStr">
        <is>
          <t>KATRINEHOLM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42946-2019</t>
        </is>
      </c>
      <c r="B991" s="1" t="n">
        <v>43705</v>
      </c>
      <c r="C991" s="1" t="n">
        <v>45761</v>
      </c>
      <c r="D991" t="inlineStr">
        <is>
          <t>SÖDERMANLANDS LÄN</t>
        </is>
      </c>
      <c r="E991" t="inlineStr">
        <is>
          <t>GNESTA</t>
        </is>
      </c>
      <c r="G991" t="n">
        <v>2.5</v>
      </c>
      <c r="H991" t="n">
        <v>0</v>
      </c>
      <c r="I991" t="n">
        <v>0</v>
      </c>
      <c r="J991" t="n">
        <v>0</v>
      </c>
      <c r="K991" t="n">
        <v>0</v>
      </c>
      <c r="L991" t="n">
        <v>0</v>
      </c>
      <c r="M991" t="n">
        <v>0</v>
      </c>
      <c r="N991" t="n">
        <v>0</v>
      </c>
      <c r="O991" t="n">
        <v>0</v>
      </c>
      <c r="P991" t="n">
        <v>0</v>
      </c>
      <c r="Q991" t="n">
        <v>0</v>
      </c>
      <c r="R991" s="2" t="inlineStr"/>
    </row>
    <row r="992" ht="15" customHeight="1">
      <c r="A992" t="inlineStr">
        <is>
          <t>A 43312-2019</t>
        </is>
      </c>
      <c r="B992" s="1" t="n">
        <v>43706</v>
      </c>
      <c r="C992" s="1" t="n">
        <v>45761</v>
      </c>
      <c r="D992" t="inlineStr">
        <is>
          <t>SÖDERMANLANDS LÄN</t>
        </is>
      </c>
      <c r="E992" t="inlineStr">
        <is>
          <t>ESKILSTUNA</t>
        </is>
      </c>
      <c r="G992" t="n">
        <v>0.7</v>
      </c>
      <c r="H992" t="n">
        <v>0</v>
      </c>
      <c r="I992" t="n">
        <v>0</v>
      </c>
      <c r="J992" t="n">
        <v>0</v>
      </c>
      <c r="K992" t="n">
        <v>0</v>
      </c>
      <c r="L992" t="n">
        <v>0</v>
      </c>
      <c r="M992" t="n">
        <v>0</v>
      </c>
      <c r="N992" t="n">
        <v>0</v>
      </c>
      <c r="O992" t="n">
        <v>0</v>
      </c>
      <c r="P992" t="n">
        <v>0</v>
      </c>
      <c r="Q992" t="n">
        <v>0</v>
      </c>
      <c r="R992" s="2" t="inlineStr"/>
    </row>
    <row r="993" ht="15" customHeight="1">
      <c r="A993" t="inlineStr">
        <is>
          <t>A 43301-2019</t>
        </is>
      </c>
      <c r="B993" s="1" t="n">
        <v>43706</v>
      </c>
      <c r="C993" s="1" t="n">
        <v>45761</v>
      </c>
      <c r="D993" t="inlineStr">
        <is>
          <t>SÖDERMANLANDS LÄN</t>
        </is>
      </c>
      <c r="E993" t="inlineStr">
        <is>
          <t>ESKILSTUNA</t>
        </is>
      </c>
      <c r="G993" t="n">
        <v>1.7</v>
      </c>
      <c r="H993" t="n">
        <v>0</v>
      </c>
      <c r="I993" t="n">
        <v>0</v>
      </c>
      <c r="J993" t="n">
        <v>0</v>
      </c>
      <c r="K993" t="n">
        <v>0</v>
      </c>
      <c r="L993" t="n">
        <v>0</v>
      </c>
      <c r="M993" t="n">
        <v>0</v>
      </c>
      <c r="N993" t="n">
        <v>0</v>
      </c>
      <c r="O993" t="n">
        <v>0</v>
      </c>
      <c r="P993" t="n">
        <v>0</v>
      </c>
      <c r="Q993" t="n">
        <v>0</v>
      </c>
      <c r="R993" s="2" t="inlineStr"/>
    </row>
    <row r="994" ht="15" customHeight="1">
      <c r="A994" t="inlineStr">
        <is>
          <t>A 43579-2019</t>
        </is>
      </c>
      <c r="B994" s="1" t="n">
        <v>43706</v>
      </c>
      <c r="C994" s="1" t="n">
        <v>45761</v>
      </c>
      <c r="D994" t="inlineStr">
        <is>
          <t>SÖDERMANLANDS LÄN</t>
        </is>
      </c>
      <c r="E994" t="inlineStr">
        <is>
          <t>KATRINEHOLM</t>
        </is>
      </c>
      <c r="G994" t="n">
        <v>1.4</v>
      </c>
      <c r="H994" t="n">
        <v>0</v>
      </c>
      <c r="I994" t="n">
        <v>0</v>
      </c>
      <c r="J994" t="n">
        <v>0</v>
      </c>
      <c r="K994" t="n">
        <v>0</v>
      </c>
      <c r="L994" t="n">
        <v>0</v>
      </c>
      <c r="M994" t="n">
        <v>0</v>
      </c>
      <c r="N994" t="n">
        <v>0</v>
      </c>
      <c r="O994" t="n">
        <v>0</v>
      </c>
      <c r="P994" t="n">
        <v>0</v>
      </c>
      <c r="Q994" t="n">
        <v>0</v>
      </c>
      <c r="R994" s="2" t="inlineStr"/>
    </row>
    <row r="995" ht="15" customHeight="1">
      <c r="A995" t="inlineStr">
        <is>
          <t>A 43571-2019</t>
        </is>
      </c>
      <c r="B995" s="1" t="n">
        <v>43706</v>
      </c>
      <c r="C995" s="1" t="n">
        <v>45761</v>
      </c>
      <c r="D995" t="inlineStr">
        <is>
          <t>SÖDERMANLANDS LÄN</t>
        </is>
      </c>
      <c r="E995" t="inlineStr">
        <is>
          <t>STRÄNGNÄS</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43580-2019</t>
        </is>
      </c>
      <c r="B996" s="1" t="n">
        <v>43706</v>
      </c>
      <c r="C996" s="1" t="n">
        <v>45761</v>
      </c>
      <c r="D996" t="inlineStr">
        <is>
          <t>SÖDERMANLANDS LÄN</t>
        </is>
      </c>
      <c r="E996" t="inlineStr">
        <is>
          <t>KATRINEHOLM</t>
        </is>
      </c>
      <c r="G996" t="n">
        <v>3.6</v>
      </c>
      <c r="H996" t="n">
        <v>0</v>
      </c>
      <c r="I996" t="n">
        <v>0</v>
      </c>
      <c r="J996" t="n">
        <v>0</v>
      </c>
      <c r="K996" t="n">
        <v>0</v>
      </c>
      <c r="L996" t="n">
        <v>0</v>
      </c>
      <c r="M996" t="n">
        <v>0</v>
      </c>
      <c r="N996" t="n">
        <v>0</v>
      </c>
      <c r="O996" t="n">
        <v>0</v>
      </c>
      <c r="P996" t="n">
        <v>0</v>
      </c>
      <c r="Q996" t="n">
        <v>0</v>
      </c>
      <c r="R996" s="2" t="inlineStr"/>
    </row>
    <row r="997" ht="15" customHeight="1">
      <c r="A997" t="inlineStr">
        <is>
          <t>A 43575-2019</t>
        </is>
      </c>
      <c r="B997" s="1" t="n">
        <v>43706</v>
      </c>
      <c r="C997" s="1" t="n">
        <v>45761</v>
      </c>
      <c r="D997" t="inlineStr">
        <is>
          <t>SÖDERMANLANDS LÄN</t>
        </is>
      </c>
      <c r="E997" t="inlineStr">
        <is>
          <t>KATRINEHOLM</t>
        </is>
      </c>
      <c r="G997" t="n">
        <v>2.9</v>
      </c>
      <c r="H997" t="n">
        <v>0</v>
      </c>
      <c r="I997" t="n">
        <v>0</v>
      </c>
      <c r="J997" t="n">
        <v>0</v>
      </c>
      <c r="K997" t="n">
        <v>0</v>
      </c>
      <c r="L997" t="n">
        <v>0</v>
      </c>
      <c r="M997" t="n">
        <v>0</v>
      </c>
      <c r="N997" t="n">
        <v>0</v>
      </c>
      <c r="O997" t="n">
        <v>0</v>
      </c>
      <c r="P997" t="n">
        <v>0</v>
      </c>
      <c r="Q997" t="n">
        <v>0</v>
      </c>
      <c r="R997" s="2" t="inlineStr"/>
    </row>
    <row r="998" ht="15" customHeight="1">
      <c r="A998" t="inlineStr">
        <is>
          <t>A 43577-2019</t>
        </is>
      </c>
      <c r="B998" s="1" t="n">
        <v>43706</v>
      </c>
      <c r="C998" s="1" t="n">
        <v>45761</v>
      </c>
      <c r="D998" t="inlineStr">
        <is>
          <t>SÖDERMANLANDS LÄN</t>
        </is>
      </c>
      <c r="E998" t="inlineStr">
        <is>
          <t>KATRINEHOLM</t>
        </is>
      </c>
      <c r="G998" t="n">
        <v>1.8</v>
      </c>
      <c r="H998" t="n">
        <v>0</v>
      </c>
      <c r="I998" t="n">
        <v>0</v>
      </c>
      <c r="J998" t="n">
        <v>0</v>
      </c>
      <c r="K998" t="n">
        <v>0</v>
      </c>
      <c r="L998" t="n">
        <v>0</v>
      </c>
      <c r="M998" t="n">
        <v>0</v>
      </c>
      <c r="N998" t="n">
        <v>0</v>
      </c>
      <c r="O998" t="n">
        <v>0</v>
      </c>
      <c r="P998" t="n">
        <v>0</v>
      </c>
      <c r="Q998" t="n">
        <v>0</v>
      </c>
      <c r="R998" s="2" t="inlineStr"/>
    </row>
    <row r="999" ht="15" customHeight="1">
      <c r="A999" t="inlineStr">
        <is>
          <t>A 43679-2019</t>
        </is>
      </c>
      <c r="B999" s="1" t="n">
        <v>43707</v>
      </c>
      <c r="C999" s="1" t="n">
        <v>45761</v>
      </c>
      <c r="D999" t="inlineStr">
        <is>
          <t>SÖDERMANLANDS LÄN</t>
        </is>
      </c>
      <c r="E999" t="inlineStr">
        <is>
          <t>NYKÖPING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45332-2019</t>
        </is>
      </c>
      <c r="B1000" s="1" t="n">
        <v>43709</v>
      </c>
      <c r="C1000" s="1" t="n">
        <v>45761</v>
      </c>
      <c r="D1000" t="inlineStr">
        <is>
          <t>SÖDERMANLANDS LÄN</t>
        </is>
      </c>
      <c r="E1000" t="inlineStr">
        <is>
          <t>KATRINEHOLM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45326-2019</t>
        </is>
      </c>
      <c r="B1001" s="1" t="n">
        <v>43709</v>
      </c>
      <c r="C1001" s="1" t="n">
        <v>45761</v>
      </c>
      <c r="D1001" t="inlineStr">
        <is>
          <t>SÖDERMANLANDS LÄN</t>
        </is>
      </c>
      <c r="E1001" t="inlineStr">
        <is>
          <t>KATRINEHOLM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44215-2019</t>
        </is>
      </c>
      <c r="B1002" s="1" t="n">
        <v>43710</v>
      </c>
      <c r="C1002" s="1" t="n">
        <v>45761</v>
      </c>
      <c r="D1002" t="inlineStr">
        <is>
          <t>SÖDERMANLANDS LÄN</t>
        </is>
      </c>
      <c r="E1002" t="inlineStr">
        <is>
          <t>KATRINEHOLM</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44276-2019</t>
        </is>
      </c>
      <c r="B1003" s="1" t="n">
        <v>43710</v>
      </c>
      <c r="C1003" s="1" t="n">
        <v>45761</v>
      </c>
      <c r="D1003" t="inlineStr">
        <is>
          <t>SÖDERMANLANDS LÄN</t>
        </is>
      </c>
      <c r="E1003" t="inlineStr">
        <is>
          <t>KATRINEHOLM</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44283-2019</t>
        </is>
      </c>
      <c r="B1004" s="1" t="n">
        <v>43710</v>
      </c>
      <c r="C1004" s="1" t="n">
        <v>45761</v>
      </c>
      <c r="D1004" t="inlineStr">
        <is>
          <t>SÖDERMANLANDS LÄN</t>
        </is>
      </c>
      <c r="E1004" t="inlineStr">
        <is>
          <t>KATRINEHOLM</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44184-2019</t>
        </is>
      </c>
      <c r="B1005" s="1" t="n">
        <v>43710</v>
      </c>
      <c r="C1005" s="1" t="n">
        <v>45761</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44286-2019</t>
        </is>
      </c>
      <c r="B1006" s="1" t="n">
        <v>43710</v>
      </c>
      <c r="C1006" s="1" t="n">
        <v>45761</v>
      </c>
      <c r="D1006" t="inlineStr">
        <is>
          <t>SÖDERMANLANDS LÄN</t>
        </is>
      </c>
      <c r="E1006" t="inlineStr">
        <is>
          <t>KATRINEHOLM</t>
        </is>
      </c>
      <c r="G1006" t="n">
        <v>18.9</v>
      </c>
      <c r="H1006" t="n">
        <v>0</v>
      </c>
      <c r="I1006" t="n">
        <v>0</v>
      </c>
      <c r="J1006" t="n">
        <v>0</v>
      </c>
      <c r="K1006" t="n">
        <v>0</v>
      </c>
      <c r="L1006" t="n">
        <v>0</v>
      </c>
      <c r="M1006" t="n">
        <v>0</v>
      </c>
      <c r="N1006" t="n">
        <v>0</v>
      </c>
      <c r="O1006" t="n">
        <v>0</v>
      </c>
      <c r="P1006" t="n">
        <v>0</v>
      </c>
      <c r="Q1006" t="n">
        <v>0</v>
      </c>
      <c r="R1006" s="2" t="inlineStr"/>
    </row>
    <row r="1007" ht="15" customHeight="1">
      <c r="A1007" t="inlineStr">
        <is>
          <t>A 44309-2019</t>
        </is>
      </c>
      <c r="B1007" s="1" t="n">
        <v>43710</v>
      </c>
      <c r="C1007" s="1" t="n">
        <v>45761</v>
      </c>
      <c r="D1007" t="inlineStr">
        <is>
          <t>SÖDERMANLANDS LÄN</t>
        </is>
      </c>
      <c r="E1007" t="inlineStr">
        <is>
          <t>NYKÖPING</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45318-2019</t>
        </is>
      </c>
      <c r="B1008" s="1" t="n">
        <v>43710</v>
      </c>
      <c r="C1008" s="1" t="n">
        <v>45761</v>
      </c>
      <c r="D1008" t="inlineStr">
        <is>
          <t>SÖDERMANLANDS LÄN</t>
        </is>
      </c>
      <c r="E1008" t="inlineStr">
        <is>
          <t>KATRINEHOLM</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45642-2019</t>
        </is>
      </c>
      <c r="B1009" s="1" t="n">
        <v>43711</v>
      </c>
      <c r="C1009" s="1" t="n">
        <v>45761</v>
      </c>
      <c r="D1009" t="inlineStr">
        <is>
          <t>SÖDERMANLANDS LÄN</t>
        </is>
      </c>
      <c r="E1009" t="inlineStr">
        <is>
          <t>KATRINEHOLM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45780-2019</t>
        </is>
      </c>
      <c r="B1010" s="1" t="n">
        <v>43711</v>
      </c>
      <c r="C1010" s="1" t="n">
        <v>45761</v>
      </c>
      <c r="D1010" t="inlineStr">
        <is>
          <t>SÖDERMANLANDS LÄN</t>
        </is>
      </c>
      <c r="E1010" t="inlineStr">
        <is>
          <t>KATRINEHOLM</t>
        </is>
      </c>
      <c r="F1010" t="inlineStr">
        <is>
          <t>Övriga Aktiebolag</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44504-2019</t>
        </is>
      </c>
      <c r="B1011" s="1" t="n">
        <v>43711</v>
      </c>
      <c r="C1011" s="1" t="n">
        <v>45761</v>
      </c>
      <c r="D1011" t="inlineStr">
        <is>
          <t>SÖDERMANLANDS LÄN</t>
        </is>
      </c>
      <c r="E1011" t="inlineStr">
        <is>
          <t>GNESTA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44742-2019</t>
        </is>
      </c>
      <c r="B1012" s="1" t="n">
        <v>43712</v>
      </c>
      <c r="C1012" s="1" t="n">
        <v>45761</v>
      </c>
      <c r="D1012" t="inlineStr">
        <is>
          <t>SÖDERMANLANDS LÄN</t>
        </is>
      </c>
      <c r="E1012" t="inlineStr">
        <is>
          <t>ESKILSTUNA</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44698-2019</t>
        </is>
      </c>
      <c r="B1013" s="1" t="n">
        <v>43712</v>
      </c>
      <c r="C1013" s="1" t="n">
        <v>45761</v>
      </c>
      <c r="D1013" t="inlineStr">
        <is>
          <t>SÖDERMANLANDS LÄN</t>
        </is>
      </c>
      <c r="E1013" t="inlineStr">
        <is>
          <t>ESKILSTUNA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44764-2019</t>
        </is>
      </c>
      <c r="B1014" s="1" t="n">
        <v>43712</v>
      </c>
      <c r="C1014" s="1" t="n">
        <v>45761</v>
      </c>
      <c r="D1014" t="inlineStr">
        <is>
          <t>SÖDERMANLANDS LÄN</t>
        </is>
      </c>
      <c r="E1014" t="inlineStr">
        <is>
          <t>VINGÅKER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44862-2019</t>
        </is>
      </c>
      <c r="B1015" s="1" t="n">
        <v>43712</v>
      </c>
      <c r="C1015" s="1" t="n">
        <v>45761</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44859-2019</t>
        </is>
      </c>
      <c r="B1016" s="1" t="n">
        <v>43712</v>
      </c>
      <c r="C1016" s="1" t="n">
        <v>45761</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45181-2019</t>
        </is>
      </c>
      <c r="B1017" s="1" t="n">
        <v>43713</v>
      </c>
      <c r="C1017" s="1" t="n">
        <v>45761</v>
      </c>
      <c r="D1017" t="inlineStr">
        <is>
          <t>SÖDERMANLANDS LÄN</t>
        </is>
      </c>
      <c r="E1017" t="inlineStr">
        <is>
          <t>ESKILSTUNA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45246-2019</t>
        </is>
      </c>
      <c r="B1018" s="1" t="n">
        <v>43713</v>
      </c>
      <c r="C1018" s="1" t="n">
        <v>45761</v>
      </c>
      <c r="D1018" t="inlineStr">
        <is>
          <t>SÖDERMANLANDS LÄN</t>
        </is>
      </c>
      <c r="E1018" t="inlineStr">
        <is>
          <t>KATRINEHOLM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45248-2019</t>
        </is>
      </c>
      <c r="B1019" s="1" t="n">
        <v>43713</v>
      </c>
      <c r="C1019" s="1" t="n">
        <v>45761</v>
      </c>
      <c r="D1019" t="inlineStr">
        <is>
          <t>SÖDERMANLANDS LÄN</t>
        </is>
      </c>
      <c r="E1019" t="inlineStr">
        <is>
          <t>KATRINEHOLM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46419-2019</t>
        </is>
      </c>
      <c r="B1020" s="1" t="n">
        <v>43716</v>
      </c>
      <c r="C1020" s="1" t="n">
        <v>45761</v>
      </c>
      <c r="D1020" t="inlineStr">
        <is>
          <t>SÖDERMANLANDS LÄN</t>
        </is>
      </c>
      <c r="E1020" t="inlineStr">
        <is>
          <t>VINGÅKER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46504-2019</t>
        </is>
      </c>
      <c r="B1021" s="1" t="n">
        <v>43717</v>
      </c>
      <c r="C1021" s="1" t="n">
        <v>45761</v>
      </c>
      <c r="D1021" t="inlineStr">
        <is>
          <t>SÖDERMANLANDS LÄN</t>
        </is>
      </c>
      <c r="E1021" t="inlineStr">
        <is>
          <t>NYKÖPING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46634-2019</t>
        </is>
      </c>
      <c r="B1022" s="1" t="n">
        <v>43717</v>
      </c>
      <c r="C1022" s="1" t="n">
        <v>45761</v>
      </c>
      <c r="D1022" t="inlineStr">
        <is>
          <t>SÖDERMANLANDS LÄN</t>
        </is>
      </c>
      <c r="E1022" t="inlineStr">
        <is>
          <t>GNESTA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46628-2019</t>
        </is>
      </c>
      <c r="B1023" s="1" t="n">
        <v>43717</v>
      </c>
      <c r="C1023" s="1" t="n">
        <v>45761</v>
      </c>
      <c r="D1023" t="inlineStr">
        <is>
          <t>SÖDERMANLANDS LÄN</t>
        </is>
      </c>
      <c r="E1023" t="inlineStr">
        <is>
          <t>FLEN</t>
        </is>
      </c>
      <c r="G1023" t="n">
        <v>16.2</v>
      </c>
      <c r="H1023" t="n">
        <v>0</v>
      </c>
      <c r="I1023" t="n">
        <v>0</v>
      </c>
      <c r="J1023" t="n">
        <v>0</v>
      </c>
      <c r="K1023" t="n">
        <v>0</v>
      </c>
      <c r="L1023" t="n">
        <v>0</v>
      </c>
      <c r="M1023" t="n">
        <v>0</v>
      </c>
      <c r="N1023" t="n">
        <v>0</v>
      </c>
      <c r="O1023" t="n">
        <v>0</v>
      </c>
      <c r="P1023" t="n">
        <v>0</v>
      </c>
      <c r="Q1023" t="n">
        <v>0</v>
      </c>
      <c r="R1023" s="2" t="inlineStr"/>
    </row>
    <row r="1024" ht="15" customHeight="1">
      <c r="A1024" t="inlineStr">
        <is>
          <t>A 46078-2019</t>
        </is>
      </c>
      <c r="B1024" s="1" t="n">
        <v>43718</v>
      </c>
      <c r="C1024" s="1" t="n">
        <v>45761</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45988-2019</t>
        </is>
      </c>
      <c r="B1025" s="1" t="n">
        <v>43718</v>
      </c>
      <c r="C1025" s="1" t="n">
        <v>45761</v>
      </c>
      <c r="D1025" t="inlineStr">
        <is>
          <t>SÖDERMANLANDS LÄN</t>
        </is>
      </c>
      <c r="E1025" t="inlineStr">
        <is>
          <t>ESKILSTUNA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47034-2019</t>
        </is>
      </c>
      <c r="B1026" s="1" t="n">
        <v>43720</v>
      </c>
      <c r="C1026" s="1" t="n">
        <v>45761</v>
      </c>
      <c r="D1026" t="inlineStr">
        <is>
          <t>SÖDERMANLANDS LÄN</t>
        </is>
      </c>
      <c r="E1026" t="inlineStr">
        <is>
          <t>NYKÖPING</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47115-2019</t>
        </is>
      </c>
      <c r="B1027" s="1" t="n">
        <v>43720</v>
      </c>
      <c r="C1027" s="1" t="n">
        <v>45761</v>
      </c>
      <c r="D1027" t="inlineStr">
        <is>
          <t>SÖDERMANLANDS LÄN</t>
        </is>
      </c>
      <c r="E1027" t="inlineStr">
        <is>
          <t>GNESTA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47113-2019</t>
        </is>
      </c>
      <c r="B1028" s="1" t="n">
        <v>43720</v>
      </c>
      <c r="C1028" s="1" t="n">
        <v>45761</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47122-2019</t>
        </is>
      </c>
      <c r="B1029" s="1" t="n">
        <v>43721</v>
      </c>
      <c r="C1029" s="1" t="n">
        <v>45761</v>
      </c>
      <c r="D1029" t="inlineStr">
        <is>
          <t>SÖDERMANLANDS LÄN</t>
        </is>
      </c>
      <c r="E1029" t="inlineStr">
        <is>
          <t>NYKÖPING</t>
        </is>
      </c>
      <c r="F1029" t="inlineStr">
        <is>
          <t>Övriga Aktiebolag</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47127-2019</t>
        </is>
      </c>
      <c r="B1030" s="1" t="n">
        <v>43721</v>
      </c>
      <c r="C1030" s="1" t="n">
        <v>45761</v>
      </c>
      <c r="D1030" t="inlineStr">
        <is>
          <t>SÖDERMANLANDS LÄN</t>
        </is>
      </c>
      <c r="E1030" t="inlineStr">
        <is>
          <t>NYKÖPING</t>
        </is>
      </c>
      <c r="G1030" t="n">
        <v>49.7</v>
      </c>
      <c r="H1030" t="n">
        <v>0</v>
      </c>
      <c r="I1030" t="n">
        <v>0</v>
      </c>
      <c r="J1030" t="n">
        <v>0</v>
      </c>
      <c r="K1030" t="n">
        <v>0</v>
      </c>
      <c r="L1030" t="n">
        <v>0</v>
      </c>
      <c r="M1030" t="n">
        <v>0</v>
      </c>
      <c r="N1030" t="n">
        <v>0</v>
      </c>
      <c r="O1030" t="n">
        <v>0</v>
      </c>
      <c r="P1030" t="n">
        <v>0</v>
      </c>
      <c r="Q1030" t="n">
        <v>0</v>
      </c>
      <c r="R1030" s="2" t="inlineStr"/>
    </row>
    <row r="1031" ht="15" customHeight="1">
      <c r="A1031" t="inlineStr">
        <is>
          <t>A 47196-2019</t>
        </is>
      </c>
      <c r="B1031" s="1" t="n">
        <v>43721</v>
      </c>
      <c r="C1031" s="1" t="n">
        <v>45761</v>
      </c>
      <c r="D1031" t="inlineStr">
        <is>
          <t>SÖDERMANLANDS LÄN</t>
        </is>
      </c>
      <c r="E1031" t="inlineStr">
        <is>
          <t>GNESTA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47200-2019</t>
        </is>
      </c>
      <c r="B1032" s="1" t="n">
        <v>43721</v>
      </c>
      <c r="C1032" s="1" t="n">
        <v>45761</v>
      </c>
      <c r="D1032" t="inlineStr">
        <is>
          <t>SÖDERMANLANDS LÄN</t>
        </is>
      </c>
      <c r="E1032" t="inlineStr">
        <is>
          <t>VINGÅKER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47208-2019</t>
        </is>
      </c>
      <c r="B1033" s="1" t="n">
        <v>43721</v>
      </c>
      <c r="C1033" s="1" t="n">
        <v>45761</v>
      </c>
      <c r="D1033" t="inlineStr">
        <is>
          <t>SÖDERMANLANDS LÄN</t>
        </is>
      </c>
      <c r="E1033" t="inlineStr">
        <is>
          <t>VINGÅKER</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47345-2019</t>
        </is>
      </c>
      <c r="B1034" s="1" t="n">
        <v>43721</v>
      </c>
      <c r="C1034" s="1" t="n">
        <v>45761</v>
      </c>
      <c r="D1034" t="inlineStr">
        <is>
          <t>SÖDERMANLANDS LÄN</t>
        </is>
      </c>
      <c r="E1034" t="inlineStr">
        <is>
          <t>FLEN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47128-2019</t>
        </is>
      </c>
      <c r="B1035" s="1" t="n">
        <v>43721</v>
      </c>
      <c r="C1035" s="1" t="n">
        <v>45761</v>
      </c>
      <c r="D1035" t="inlineStr">
        <is>
          <t>SÖDERMANLANDS LÄN</t>
        </is>
      </c>
      <c r="E1035" t="inlineStr">
        <is>
          <t>NYKÖPING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47280-2019</t>
        </is>
      </c>
      <c r="B1036" s="1" t="n">
        <v>43721</v>
      </c>
      <c r="C1036" s="1" t="n">
        <v>45761</v>
      </c>
      <c r="D1036" t="inlineStr">
        <is>
          <t>SÖDERMANLANDS LÄN</t>
        </is>
      </c>
      <c r="E1036" t="inlineStr">
        <is>
          <t>ESKILSTUNA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47431-2019</t>
        </is>
      </c>
      <c r="B1037" s="1" t="n">
        <v>43723</v>
      </c>
      <c r="C1037" s="1" t="n">
        <v>45761</v>
      </c>
      <c r="D1037" t="inlineStr">
        <is>
          <t>SÖDERMANLANDS LÄN</t>
        </is>
      </c>
      <c r="E1037" t="inlineStr">
        <is>
          <t>NYKÖPING</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47599-2019</t>
        </is>
      </c>
      <c r="B1038" s="1" t="n">
        <v>43724</v>
      </c>
      <c r="C1038" s="1" t="n">
        <v>45761</v>
      </c>
      <c r="D1038" t="inlineStr">
        <is>
          <t>SÖDERMANLANDS LÄN</t>
        </is>
      </c>
      <c r="E1038" t="inlineStr">
        <is>
          <t>VINGÅKER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47682-2019</t>
        </is>
      </c>
      <c r="B1039" s="1" t="n">
        <v>43724</v>
      </c>
      <c r="C1039" s="1" t="n">
        <v>45761</v>
      </c>
      <c r="D1039" t="inlineStr">
        <is>
          <t>SÖDERMANLANDS LÄN</t>
        </is>
      </c>
      <c r="E1039" t="inlineStr">
        <is>
          <t>GNESTA</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47537-2019</t>
        </is>
      </c>
      <c r="B1040" s="1" t="n">
        <v>43724</v>
      </c>
      <c r="C1040" s="1" t="n">
        <v>45761</v>
      </c>
      <c r="D1040" t="inlineStr">
        <is>
          <t>SÖDERMANLANDS LÄN</t>
        </is>
      </c>
      <c r="E1040" t="inlineStr">
        <is>
          <t>VINGÅKER</t>
        </is>
      </c>
      <c r="F1040" t="inlineStr">
        <is>
          <t>Övriga Aktiebolag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47770-2019</t>
        </is>
      </c>
      <c r="B1041" s="1" t="n">
        <v>43724</v>
      </c>
      <c r="C1041" s="1" t="n">
        <v>45761</v>
      </c>
      <c r="D1041" t="inlineStr">
        <is>
          <t>SÖDERMANLANDS LÄN</t>
        </is>
      </c>
      <c r="E1041" t="inlineStr">
        <is>
          <t>GNESTA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47553-2019</t>
        </is>
      </c>
      <c r="B1042" s="1" t="n">
        <v>43724</v>
      </c>
      <c r="C1042" s="1" t="n">
        <v>45761</v>
      </c>
      <c r="D1042" t="inlineStr">
        <is>
          <t>SÖDERMANLANDS LÄN</t>
        </is>
      </c>
      <c r="E1042" t="inlineStr">
        <is>
          <t>VINGÅKER</t>
        </is>
      </c>
      <c r="F1042" t="inlineStr">
        <is>
          <t>Övriga Aktiebolag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47935-2019</t>
        </is>
      </c>
      <c r="B1043" s="1" t="n">
        <v>43725</v>
      </c>
      <c r="C1043" s="1" t="n">
        <v>45761</v>
      </c>
      <c r="D1043" t="inlineStr">
        <is>
          <t>SÖDERMANLANDS LÄN</t>
        </is>
      </c>
      <c r="E1043" t="inlineStr">
        <is>
          <t>KATRINEHOLM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47825-2019</t>
        </is>
      </c>
      <c r="B1044" s="1" t="n">
        <v>43725</v>
      </c>
      <c r="C1044" s="1" t="n">
        <v>45761</v>
      </c>
      <c r="D1044" t="inlineStr">
        <is>
          <t>SÖDERMANLANDS LÄN</t>
        </is>
      </c>
      <c r="E1044" t="inlineStr">
        <is>
          <t>STRÄNGNÄS</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48078-2019</t>
        </is>
      </c>
      <c r="B1045" s="1" t="n">
        <v>43725</v>
      </c>
      <c r="C1045" s="1" t="n">
        <v>45761</v>
      </c>
      <c r="D1045" t="inlineStr">
        <is>
          <t>SÖDERMANLANDS LÄN</t>
        </is>
      </c>
      <c r="E1045" t="inlineStr">
        <is>
          <t>FLEN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47866-2019</t>
        </is>
      </c>
      <c r="B1046" s="1" t="n">
        <v>43725</v>
      </c>
      <c r="C1046" s="1" t="n">
        <v>45761</v>
      </c>
      <c r="D1046" t="inlineStr">
        <is>
          <t>SÖDERMANLANDS LÄN</t>
        </is>
      </c>
      <c r="E1046" t="inlineStr">
        <is>
          <t>VINGÅKER</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48240-2019</t>
        </is>
      </c>
      <c r="B1047" s="1" t="n">
        <v>43726</v>
      </c>
      <c r="C1047" s="1" t="n">
        <v>45761</v>
      </c>
      <c r="D1047" t="inlineStr">
        <is>
          <t>SÖDERMANLANDS LÄN</t>
        </is>
      </c>
      <c r="E1047" t="inlineStr">
        <is>
          <t>FLEN</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48452-2019</t>
        </is>
      </c>
      <c r="B1048" s="1" t="n">
        <v>43727</v>
      </c>
      <c r="C1048" s="1" t="n">
        <v>45761</v>
      </c>
      <c r="D1048" t="inlineStr">
        <is>
          <t>SÖDERMANLANDS LÄN</t>
        </is>
      </c>
      <c r="E1048" t="inlineStr">
        <is>
          <t>NYKÖPING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48792-2019</t>
        </is>
      </c>
      <c r="B1049" s="1" t="n">
        <v>43727</v>
      </c>
      <c r="C1049" s="1" t="n">
        <v>45761</v>
      </c>
      <c r="D1049" t="inlineStr">
        <is>
          <t>SÖDERMANLANDS LÄN</t>
        </is>
      </c>
      <c r="E1049" t="inlineStr">
        <is>
          <t>STRÄNGNÄS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48581-2019</t>
        </is>
      </c>
      <c r="B1050" s="1" t="n">
        <v>43727</v>
      </c>
      <c r="C1050" s="1" t="n">
        <v>45761</v>
      </c>
      <c r="D1050" t="inlineStr">
        <is>
          <t>SÖDERMANLANDS LÄN</t>
        </is>
      </c>
      <c r="E1050" t="inlineStr">
        <is>
          <t>KATRINEHOLM</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48726-2019</t>
        </is>
      </c>
      <c r="B1051" s="1" t="n">
        <v>43728</v>
      </c>
      <c r="C1051" s="1" t="n">
        <v>45761</v>
      </c>
      <c r="D1051" t="inlineStr">
        <is>
          <t>SÖDERMANLANDS LÄN</t>
        </is>
      </c>
      <c r="E1051" t="inlineStr">
        <is>
          <t>NYKÖPING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48829-2019</t>
        </is>
      </c>
      <c r="B1052" s="1" t="n">
        <v>43728</v>
      </c>
      <c r="C1052" s="1" t="n">
        <v>45761</v>
      </c>
      <c r="D1052" t="inlineStr">
        <is>
          <t>SÖDERMANLANDS LÄN</t>
        </is>
      </c>
      <c r="E1052" t="inlineStr">
        <is>
          <t>GNESTA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48827-2019</t>
        </is>
      </c>
      <c r="B1053" s="1" t="n">
        <v>43728</v>
      </c>
      <c r="C1053" s="1" t="n">
        <v>45761</v>
      </c>
      <c r="D1053" t="inlineStr">
        <is>
          <t>SÖDERMANLANDS LÄN</t>
        </is>
      </c>
      <c r="E1053" t="inlineStr">
        <is>
          <t>GNESTA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48848-2019</t>
        </is>
      </c>
      <c r="B1054" s="1" t="n">
        <v>43728</v>
      </c>
      <c r="C1054" s="1" t="n">
        <v>45761</v>
      </c>
      <c r="D1054" t="inlineStr">
        <is>
          <t>SÖDERMANLANDS LÄN</t>
        </is>
      </c>
      <c r="E1054" t="inlineStr">
        <is>
          <t>NYKÖPING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48943-2019</t>
        </is>
      </c>
      <c r="B1055" s="1" t="n">
        <v>43728</v>
      </c>
      <c r="C1055" s="1" t="n">
        <v>45761</v>
      </c>
      <c r="D1055" t="inlineStr">
        <is>
          <t>SÖDERMANLANDS LÄN</t>
        </is>
      </c>
      <c r="E1055" t="inlineStr">
        <is>
          <t>ESKILSTUNA</t>
        </is>
      </c>
      <c r="F1055" t="inlineStr">
        <is>
          <t>Naturvårdsverket</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49342-2019</t>
        </is>
      </c>
      <c r="B1056" s="1" t="n">
        <v>43730</v>
      </c>
      <c r="C1056" s="1" t="n">
        <v>45761</v>
      </c>
      <c r="D1056" t="inlineStr">
        <is>
          <t>SÖDERMANLANDS LÄN</t>
        </is>
      </c>
      <c r="E1056" t="inlineStr">
        <is>
          <t>FLEN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49088-2019</t>
        </is>
      </c>
      <c r="B1057" s="1" t="n">
        <v>43731</v>
      </c>
      <c r="C1057" s="1" t="n">
        <v>45761</v>
      </c>
      <c r="D1057" t="inlineStr">
        <is>
          <t>SÖDERMANLANDS LÄN</t>
        </is>
      </c>
      <c r="E1057" t="inlineStr">
        <is>
          <t>VINGÅKER</t>
        </is>
      </c>
      <c r="G1057" t="n">
        <v>11.5</v>
      </c>
      <c r="H1057" t="n">
        <v>0</v>
      </c>
      <c r="I1057" t="n">
        <v>0</v>
      </c>
      <c r="J1057" t="n">
        <v>0</v>
      </c>
      <c r="K1057" t="n">
        <v>0</v>
      </c>
      <c r="L1057" t="n">
        <v>0</v>
      </c>
      <c r="M1057" t="n">
        <v>0</v>
      </c>
      <c r="N1057" t="n">
        <v>0</v>
      </c>
      <c r="O1057" t="n">
        <v>0</v>
      </c>
      <c r="P1057" t="n">
        <v>0</v>
      </c>
      <c r="Q1057" t="n">
        <v>0</v>
      </c>
      <c r="R1057" s="2" t="inlineStr"/>
    </row>
    <row r="1058" ht="15" customHeight="1">
      <c r="A1058" t="inlineStr">
        <is>
          <t>A 49101-2019</t>
        </is>
      </c>
      <c r="B1058" s="1" t="n">
        <v>43731</v>
      </c>
      <c r="C1058" s="1" t="n">
        <v>45761</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49320-2019</t>
        </is>
      </c>
      <c r="B1059" s="1" t="n">
        <v>43731</v>
      </c>
      <c r="C1059" s="1" t="n">
        <v>45761</v>
      </c>
      <c r="D1059" t="inlineStr">
        <is>
          <t>SÖDERMANLANDS LÄN</t>
        </is>
      </c>
      <c r="E1059" t="inlineStr">
        <is>
          <t>VINGÅKER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49315-2019</t>
        </is>
      </c>
      <c r="B1060" s="1" t="n">
        <v>43731</v>
      </c>
      <c r="C1060" s="1" t="n">
        <v>45761</v>
      </c>
      <c r="D1060" t="inlineStr">
        <is>
          <t>SÖDERMANLANDS LÄN</t>
        </is>
      </c>
      <c r="E1060" t="inlineStr">
        <is>
          <t>VINGÅKER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49346-2019</t>
        </is>
      </c>
      <c r="B1061" s="1" t="n">
        <v>43731</v>
      </c>
      <c r="C1061" s="1" t="n">
        <v>45761</v>
      </c>
      <c r="D1061" t="inlineStr">
        <is>
          <t>SÖDERMANLANDS LÄN</t>
        </is>
      </c>
      <c r="E1061" t="inlineStr">
        <is>
          <t>KATRINEHOLM</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49628-2019</t>
        </is>
      </c>
      <c r="B1062" s="1" t="n">
        <v>43732</v>
      </c>
      <c r="C1062" s="1" t="n">
        <v>45761</v>
      </c>
      <c r="D1062" t="inlineStr">
        <is>
          <t>SÖDERMANLANDS LÄN</t>
        </is>
      </c>
      <c r="E1062" t="inlineStr">
        <is>
          <t>ESKILSTUNA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49515-2019</t>
        </is>
      </c>
      <c r="B1063" s="1" t="n">
        <v>43732</v>
      </c>
      <c r="C1063" s="1" t="n">
        <v>45761</v>
      </c>
      <c r="D1063" t="inlineStr">
        <is>
          <t>SÖDERMANLANDS LÄN</t>
        </is>
      </c>
      <c r="E1063" t="inlineStr">
        <is>
          <t>TROSA</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49630-2019</t>
        </is>
      </c>
      <c r="B1064" s="1" t="n">
        <v>43732</v>
      </c>
      <c r="C1064" s="1" t="n">
        <v>45761</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51122-2019</t>
        </is>
      </c>
      <c r="B1065" s="1" t="n">
        <v>43732</v>
      </c>
      <c r="C1065" s="1" t="n">
        <v>45761</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50184-2019</t>
        </is>
      </c>
      <c r="B1066" s="1" t="n">
        <v>43733</v>
      </c>
      <c r="C1066" s="1" t="n">
        <v>45761</v>
      </c>
      <c r="D1066" t="inlineStr">
        <is>
          <t>SÖDERMANLANDS LÄN</t>
        </is>
      </c>
      <c r="E1066" t="inlineStr">
        <is>
          <t>VINGÅKER</t>
        </is>
      </c>
      <c r="F1066" t="inlineStr">
        <is>
          <t>Övriga Aktiebolag</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50192-2019</t>
        </is>
      </c>
      <c r="B1067" s="1" t="n">
        <v>43733</v>
      </c>
      <c r="C1067" s="1" t="n">
        <v>45761</v>
      </c>
      <c r="D1067" t="inlineStr">
        <is>
          <t>SÖDERMANLANDS LÄN</t>
        </is>
      </c>
      <c r="E1067" t="inlineStr">
        <is>
          <t>VINGÅKER</t>
        </is>
      </c>
      <c r="F1067" t="inlineStr">
        <is>
          <t>Övriga Aktiebolag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50046-2019</t>
        </is>
      </c>
      <c r="B1068" s="1" t="n">
        <v>43733</v>
      </c>
      <c r="C1068" s="1" t="n">
        <v>45761</v>
      </c>
      <c r="D1068" t="inlineStr">
        <is>
          <t>SÖDERMANLANDS LÄN</t>
        </is>
      </c>
      <c r="E1068" t="inlineStr">
        <is>
          <t>NYKÖPING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51608-2019</t>
        </is>
      </c>
      <c r="B1069" s="1" t="n">
        <v>43733</v>
      </c>
      <c r="C1069" s="1" t="n">
        <v>45761</v>
      </c>
      <c r="D1069" t="inlineStr">
        <is>
          <t>SÖDERMANLANDS LÄN</t>
        </is>
      </c>
      <c r="E1069" t="inlineStr">
        <is>
          <t>ESKILSTUNA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50149-2019</t>
        </is>
      </c>
      <c r="B1070" s="1" t="n">
        <v>43734</v>
      </c>
      <c r="C1070" s="1" t="n">
        <v>45761</v>
      </c>
      <c r="D1070" t="inlineStr">
        <is>
          <t>SÖDERMANLANDS LÄN</t>
        </is>
      </c>
      <c r="E1070" t="inlineStr">
        <is>
          <t>NYKÖPING</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50176-2019</t>
        </is>
      </c>
      <c r="B1071" s="1" t="n">
        <v>43734</v>
      </c>
      <c r="C1071" s="1" t="n">
        <v>45761</v>
      </c>
      <c r="D1071" t="inlineStr">
        <is>
          <t>SÖDERMANLANDS LÄN</t>
        </is>
      </c>
      <c r="E1071" t="inlineStr">
        <is>
          <t>STRÄNGNÄS</t>
        </is>
      </c>
      <c r="F1071" t="inlineStr">
        <is>
          <t>Allmännings- och besparingsskogar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50018-2019</t>
        </is>
      </c>
      <c r="B1072" s="1" t="n">
        <v>43734</v>
      </c>
      <c r="C1072" s="1" t="n">
        <v>45761</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50205-2019</t>
        </is>
      </c>
      <c r="B1073" s="1" t="n">
        <v>43734</v>
      </c>
      <c r="C1073" s="1" t="n">
        <v>45761</v>
      </c>
      <c r="D1073" t="inlineStr">
        <is>
          <t>SÖDERMANLANDS LÄN</t>
        </is>
      </c>
      <c r="E1073" t="inlineStr">
        <is>
          <t>STRÄNGNÄS</t>
        </is>
      </c>
      <c r="F1073" t="inlineStr">
        <is>
          <t>Allmännings- och besparingsskogar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50339-2019</t>
        </is>
      </c>
      <c r="B1074" s="1" t="n">
        <v>43735</v>
      </c>
      <c r="C1074" s="1" t="n">
        <v>45761</v>
      </c>
      <c r="D1074" t="inlineStr">
        <is>
          <t>SÖDERMANLANDS LÄN</t>
        </is>
      </c>
      <c r="E1074" t="inlineStr">
        <is>
          <t>ESKILSTUNA</t>
        </is>
      </c>
      <c r="F1074" t="inlineStr">
        <is>
          <t>Allmännings- och besparingsskogar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52086-2019</t>
        </is>
      </c>
      <c r="B1075" s="1" t="n">
        <v>43735</v>
      </c>
      <c r="C1075" s="1" t="n">
        <v>45761</v>
      </c>
      <c r="D1075" t="inlineStr">
        <is>
          <t>SÖDERMANLANDS LÄN</t>
        </is>
      </c>
      <c r="E1075" t="inlineStr">
        <is>
          <t>VINGÅKER</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52147-2019</t>
        </is>
      </c>
      <c r="B1076" s="1" t="n">
        <v>43735</v>
      </c>
      <c r="C1076" s="1" t="n">
        <v>45761</v>
      </c>
      <c r="D1076" t="inlineStr">
        <is>
          <t>SÖDERMANLANDS LÄN</t>
        </is>
      </c>
      <c r="E1076" t="inlineStr">
        <is>
          <t>VINGÅKER</t>
        </is>
      </c>
      <c r="F1076" t="inlineStr">
        <is>
          <t>Övriga Aktiebolag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50710-2019</t>
        </is>
      </c>
      <c r="B1077" s="1" t="n">
        <v>43738</v>
      </c>
      <c r="C1077" s="1" t="n">
        <v>45761</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50869-2019</t>
        </is>
      </c>
      <c r="B1078" s="1" t="n">
        <v>43738</v>
      </c>
      <c r="C1078" s="1" t="n">
        <v>45761</v>
      </c>
      <c r="D1078" t="inlineStr">
        <is>
          <t>SÖDERMANLANDS LÄN</t>
        </is>
      </c>
      <c r="E1078" t="inlineStr">
        <is>
          <t>NYKÖPING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50951-2019</t>
        </is>
      </c>
      <c r="B1079" s="1" t="n">
        <v>43738</v>
      </c>
      <c r="C1079" s="1" t="n">
        <v>45761</v>
      </c>
      <c r="D1079" t="inlineStr">
        <is>
          <t>SÖDERMANLANDS LÄN</t>
        </is>
      </c>
      <c r="E1079" t="inlineStr">
        <is>
          <t>ESKILSTUNA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51151-2019</t>
        </is>
      </c>
      <c r="B1080" s="1" t="n">
        <v>43739</v>
      </c>
      <c r="C1080" s="1" t="n">
        <v>45761</v>
      </c>
      <c r="D1080" t="inlineStr">
        <is>
          <t>SÖDERMANLANDS LÄN</t>
        </is>
      </c>
      <c r="E1080" t="inlineStr">
        <is>
          <t>VINGÅKER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51170-2019</t>
        </is>
      </c>
      <c r="B1081" s="1" t="n">
        <v>43739</v>
      </c>
      <c r="C1081" s="1" t="n">
        <v>45761</v>
      </c>
      <c r="D1081" t="inlineStr">
        <is>
          <t>SÖDERMANLANDS LÄN</t>
        </is>
      </c>
      <c r="E1081" t="inlineStr">
        <is>
          <t>FLEN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51109-2019</t>
        </is>
      </c>
      <c r="B1082" s="1" t="n">
        <v>43739</v>
      </c>
      <c r="C1082" s="1" t="n">
        <v>45761</v>
      </c>
      <c r="D1082" t="inlineStr">
        <is>
          <t>SÖDERMANLANDS LÄN</t>
        </is>
      </c>
      <c r="E1082" t="inlineStr">
        <is>
          <t>KATRINEHOLM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51139-2019</t>
        </is>
      </c>
      <c r="B1083" s="1" t="n">
        <v>43739</v>
      </c>
      <c r="C1083" s="1" t="n">
        <v>45761</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51233-2019</t>
        </is>
      </c>
      <c r="B1084" s="1" t="n">
        <v>43739</v>
      </c>
      <c r="C1084" s="1" t="n">
        <v>45761</v>
      </c>
      <c r="D1084" t="inlineStr">
        <is>
          <t>SÖDERMANLANDS LÄN</t>
        </is>
      </c>
      <c r="E1084" t="inlineStr">
        <is>
          <t>KATRINEHOLM</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51292-2019</t>
        </is>
      </c>
      <c r="B1085" s="1" t="n">
        <v>43739</v>
      </c>
      <c r="C1085" s="1" t="n">
        <v>45761</v>
      </c>
      <c r="D1085" t="inlineStr">
        <is>
          <t>SÖDERMANLANDS LÄN</t>
        </is>
      </c>
      <c r="E1085" t="inlineStr">
        <is>
          <t>ESKILSTUNA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51298-2019</t>
        </is>
      </c>
      <c r="B1086" s="1" t="n">
        <v>43739</v>
      </c>
      <c r="C1086" s="1" t="n">
        <v>45761</v>
      </c>
      <c r="D1086" t="inlineStr">
        <is>
          <t>SÖDERMANLANDS LÄN</t>
        </is>
      </c>
      <c r="E1086" t="inlineStr">
        <is>
          <t>NYKÖPING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51296-2019</t>
        </is>
      </c>
      <c r="B1087" s="1" t="n">
        <v>43739</v>
      </c>
      <c r="C1087" s="1" t="n">
        <v>45761</v>
      </c>
      <c r="D1087" t="inlineStr">
        <is>
          <t>SÖDERMANLANDS LÄN</t>
        </is>
      </c>
      <c r="E1087" t="inlineStr">
        <is>
          <t>NYKÖPING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51468-2019</t>
        </is>
      </c>
      <c r="B1088" s="1" t="n">
        <v>43740</v>
      </c>
      <c r="C1088" s="1" t="n">
        <v>45761</v>
      </c>
      <c r="D1088" t="inlineStr">
        <is>
          <t>SÖDERMANLANDS LÄN</t>
        </is>
      </c>
      <c r="E1088" t="inlineStr">
        <is>
          <t>STRÄNGNÄS</t>
        </is>
      </c>
      <c r="G1088" t="n">
        <v>16.5</v>
      </c>
      <c r="H1088" t="n">
        <v>0</v>
      </c>
      <c r="I1088" t="n">
        <v>0</v>
      </c>
      <c r="J1088" t="n">
        <v>0</v>
      </c>
      <c r="K1088" t="n">
        <v>0</v>
      </c>
      <c r="L1088" t="n">
        <v>0</v>
      </c>
      <c r="M1088" t="n">
        <v>0</v>
      </c>
      <c r="N1088" t="n">
        <v>0</v>
      </c>
      <c r="O1088" t="n">
        <v>0</v>
      </c>
      <c r="P1088" t="n">
        <v>0</v>
      </c>
      <c r="Q1088" t="n">
        <v>0</v>
      </c>
      <c r="R1088" s="2" t="inlineStr"/>
    </row>
    <row r="1089" ht="15" customHeight="1">
      <c r="A1089" t="inlineStr">
        <is>
          <t>A 51636-2019</t>
        </is>
      </c>
      <c r="B1089" s="1" t="n">
        <v>43740</v>
      </c>
      <c r="C1089" s="1" t="n">
        <v>45761</v>
      </c>
      <c r="D1089" t="inlineStr">
        <is>
          <t>SÖDERMANLANDS LÄN</t>
        </is>
      </c>
      <c r="E1089" t="inlineStr">
        <is>
          <t>VINGÅKER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51648-2019</t>
        </is>
      </c>
      <c r="B1090" s="1" t="n">
        <v>43740</v>
      </c>
      <c r="C1090" s="1" t="n">
        <v>45761</v>
      </c>
      <c r="D1090" t="inlineStr">
        <is>
          <t>SÖDERMANLANDS LÄN</t>
        </is>
      </c>
      <c r="E1090" t="inlineStr">
        <is>
          <t>ESKILSTUNA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52889-2019</t>
        </is>
      </c>
      <c r="B1091" s="1" t="n">
        <v>43740</v>
      </c>
      <c r="C1091" s="1" t="n">
        <v>45761</v>
      </c>
      <c r="D1091" t="inlineStr">
        <is>
          <t>SÖDERMANLANDS LÄN</t>
        </is>
      </c>
      <c r="E1091" t="inlineStr">
        <is>
          <t>VINGÅKER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51637-2019</t>
        </is>
      </c>
      <c r="B1092" s="1" t="n">
        <v>43740</v>
      </c>
      <c r="C1092" s="1" t="n">
        <v>45761</v>
      </c>
      <c r="D1092" t="inlineStr">
        <is>
          <t>SÖDERMANLANDS LÄN</t>
        </is>
      </c>
      <c r="E1092" t="inlineStr">
        <is>
          <t>VINGÅKER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52892-2019</t>
        </is>
      </c>
      <c r="B1093" s="1" t="n">
        <v>43740</v>
      </c>
      <c r="C1093" s="1" t="n">
        <v>45761</v>
      </c>
      <c r="D1093" t="inlineStr">
        <is>
          <t>SÖDERMANLANDS LÄN</t>
        </is>
      </c>
      <c r="E1093" t="inlineStr">
        <is>
          <t>VINGÅKER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52894-2019</t>
        </is>
      </c>
      <c r="B1094" s="1" t="n">
        <v>43740</v>
      </c>
      <c r="C1094" s="1" t="n">
        <v>45761</v>
      </c>
      <c r="D1094" t="inlineStr">
        <is>
          <t>SÖDERMANLANDS LÄN</t>
        </is>
      </c>
      <c r="E1094" t="inlineStr">
        <is>
          <t>VINGÅKER</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51738-2019</t>
        </is>
      </c>
      <c r="B1095" s="1" t="n">
        <v>43740</v>
      </c>
      <c r="C1095" s="1" t="n">
        <v>45761</v>
      </c>
      <c r="D1095" t="inlineStr">
        <is>
          <t>SÖDERMANLANDS LÄN</t>
        </is>
      </c>
      <c r="E1095" t="inlineStr">
        <is>
          <t>FLEN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51871-2019</t>
        </is>
      </c>
      <c r="B1096" s="1" t="n">
        <v>43741</v>
      </c>
      <c r="C1096" s="1" t="n">
        <v>45761</v>
      </c>
      <c r="D1096" t="inlineStr">
        <is>
          <t>SÖDERMANLANDS LÄN</t>
        </is>
      </c>
      <c r="E1096" t="inlineStr">
        <is>
          <t>KATRINEHOLM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54024-2019</t>
        </is>
      </c>
      <c r="B1097" s="1" t="n">
        <v>43742</v>
      </c>
      <c r="C1097" s="1" t="n">
        <v>45761</v>
      </c>
      <c r="D1097" t="inlineStr">
        <is>
          <t>SÖDERMANLANDS LÄN</t>
        </is>
      </c>
      <c r="E1097" t="inlineStr">
        <is>
          <t>STRÄNGNÄS</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54017-2019</t>
        </is>
      </c>
      <c r="B1098" s="1" t="n">
        <v>43742</v>
      </c>
      <c r="C1098" s="1" t="n">
        <v>45761</v>
      </c>
      <c r="D1098" t="inlineStr">
        <is>
          <t>SÖDERMANLANDS LÄN</t>
        </is>
      </c>
      <c r="E1098" t="inlineStr">
        <is>
          <t>STRÄNGNÄS</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54028-2019</t>
        </is>
      </c>
      <c r="B1099" s="1" t="n">
        <v>43742</v>
      </c>
      <c r="C1099" s="1" t="n">
        <v>45761</v>
      </c>
      <c r="D1099" t="inlineStr">
        <is>
          <t>SÖDERMANLANDS LÄN</t>
        </is>
      </c>
      <c r="E1099" t="inlineStr">
        <is>
          <t>STRÄNGNÄS</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52465-2019</t>
        </is>
      </c>
      <c r="B1100" s="1" t="n">
        <v>43745</v>
      </c>
      <c r="C1100" s="1" t="n">
        <v>45761</v>
      </c>
      <c r="D1100" t="inlineStr">
        <is>
          <t>SÖDERMANLANDS LÄN</t>
        </is>
      </c>
      <c r="E1100" t="inlineStr">
        <is>
          <t>TROSA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52550-2019</t>
        </is>
      </c>
      <c r="B1101" s="1" t="n">
        <v>43745</v>
      </c>
      <c r="C1101" s="1" t="n">
        <v>45761</v>
      </c>
      <c r="D1101" t="inlineStr">
        <is>
          <t>SÖDERMANLANDS LÄN</t>
        </is>
      </c>
      <c r="E1101" t="inlineStr">
        <is>
          <t>VINGÅKER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52314-2019</t>
        </is>
      </c>
      <c r="B1102" s="1" t="n">
        <v>43745</v>
      </c>
      <c r="C1102" s="1" t="n">
        <v>45761</v>
      </c>
      <c r="D1102" t="inlineStr">
        <is>
          <t>SÖDERMANLANDS LÄN</t>
        </is>
      </c>
      <c r="E1102" t="inlineStr">
        <is>
          <t>VINGÅKER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54175-2019</t>
        </is>
      </c>
      <c r="B1103" s="1" t="n">
        <v>43745</v>
      </c>
      <c r="C1103" s="1" t="n">
        <v>45761</v>
      </c>
      <c r="D1103" t="inlineStr">
        <is>
          <t>SÖDERMANLANDS LÄN</t>
        </is>
      </c>
      <c r="E1103" t="inlineStr">
        <is>
          <t>FLEN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54305-2019</t>
        </is>
      </c>
      <c r="B1104" s="1" t="n">
        <v>43745</v>
      </c>
      <c r="C1104" s="1" t="n">
        <v>45761</v>
      </c>
      <c r="D1104" t="inlineStr">
        <is>
          <t>SÖDERMANLANDS LÄN</t>
        </is>
      </c>
      <c r="E1104" t="inlineStr">
        <is>
          <t>KATRINEHOLM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54310-2019</t>
        </is>
      </c>
      <c r="B1105" s="1" t="n">
        <v>43745</v>
      </c>
      <c r="C1105" s="1" t="n">
        <v>45761</v>
      </c>
      <c r="D1105" t="inlineStr">
        <is>
          <t>SÖDERMANLANDS LÄN</t>
        </is>
      </c>
      <c r="E1105" t="inlineStr">
        <is>
          <t>KATRINEHOLM</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54321-2019</t>
        </is>
      </c>
      <c r="B1106" s="1" t="n">
        <v>43745</v>
      </c>
      <c r="C1106" s="1" t="n">
        <v>45761</v>
      </c>
      <c r="D1106" t="inlineStr">
        <is>
          <t>SÖDERMANLANDS LÄN</t>
        </is>
      </c>
      <c r="E1106" t="inlineStr">
        <is>
          <t>KATRINEHOLM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52717-2019</t>
        </is>
      </c>
      <c r="B1107" s="1" t="n">
        <v>43746</v>
      </c>
      <c r="C1107" s="1" t="n">
        <v>45761</v>
      </c>
      <c r="D1107" t="inlineStr">
        <is>
          <t>SÖDERMANLANDS LÄN</t>
        </is>
      </c>
      <c r="E1107" t="inlineStr">
        <is>
          <t>ESKILSTUNA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52871-2019</t>
        </is>
      </c>
      <c r="B1108" s="1" t="n">
        <v>43746</v>
      </c>
      <c r="C1108" s="1" t="n">
        <v>45761</v>
      </c>
      <c r="D1108" t="inlineStr">
        <is>
          <t>SÖDERMANLANDS LÄN</t>
        </is>
      </c>
      <c r="E1108" t="inlineStr">
        <is>
          <t>FLEN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52720-2019</t>
        </is>
      </c>
      <c r="B1109" s="1" t="n">
        <v>43746</v>
      </c>
      <c r="C1109" s="1" t="n">
        <v>45761</v>
      </c>
      <c r="D1109" t="inlineStr">
        <is>
          <t>SÖDERMANLANDS LÄN</t>
        </is>
      </c>
      <c r="E1109" t="inlineStr">
        <is>
          <t>ESKILSTUNA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52676-2019</t>
        </is>
      </c>
      <c r="B1110" s="1" t="n">
        <v>43746</v>
      </c>
      <c r="C1110" s="1" t="n">
        <v>45761</v>
      </c>
      <c r="D1110" t="inlineStr">
        <is>
          <t>SÖDERMANLANDS LÄN</t>
        </is>
      </c>
      <c r="E1110" t="inlineStr">
        <is>
          <t>NYKÖPING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54412-2019</t>
        </is>
      </c>
      <c r="B1111" s="1" t="n">
        <v>43747</v>
      </c>
      <c r="C1111" s="1" t="n">
        <v>45761</v>
      </c>
      <c r="D1111" t="inlineStr">
        <is>
          <t>SÖDERMANLANDS LÄN</t>
        </is>
      </c>
      <c r="E1111" t="inlineStr">
        <is>
          <t>FLEN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53145-2019</t>
        </is>
      </c>
      <c r="B1112" s="1" t="n">
        <v>43747</v>
      </c>
      <c r="C1112" s="1" t="n">
        <v>45761</v>
      </c>
      <c r="D1112" t="inlineStr">
        <is>
          <t>SÖDERMANLANDS LÄN</t>
        </is>
      </c>
      <c r="E1112" t="inlineStr">
        <is>
          <t>VINGÅKER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53762-2019</t>
        </is>
      </c>
      <c r="B1113" s="1" t="n">
        <v>43750</v>
      </c>
      <c r="C1113" s="1" t="n">
        <v>45761</v>
      </c>
      <c r="D1113" t="inlineStr">
        <is>
          <t>SÖDERMANLANDS LÄN</t>
        </is>
      </c>
      <c r="E1113" t="inlineStr">
        <is>
          <t>KATRINEHOLM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53786-2019</t>
        </is>
      </c>
      <c r="B1114" s="1" t="n">
        <v>43751</v>
      </c>
      <c r="C1114" s="1" t="n">
        <v>45761</v>
      </c>
      <c r="D1114" t="inlineStr">
        <is>
          <t>SÖDERMANLANDS LÄN</t>
        </is>
      </c>
      <c r="E1114" t="inlineStr">
        <is>
          <t>NYKÖPING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53933-2019</t>
        </is>
      </c>
      <c r="B1115" s="1" t="n">
        <v>43752</v>
      </c>
      <c r="C1115" s="1" t="n">
        <v>45761</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53876-2019</t>
        </is>
      </c>
      <c r="B1116" s="1" t="n">
        <v>43752</v>
      </c>
      <c r="C1116" s="1" t="n">
        <v>45761</v>
      </c>
      <c r="D1116" t="inlineStr">
        <is>
          <t>SÖDERMANLANDS LÄN</t>
        </is>
      </c>
      <c r="E1116" t="inlineStr">
        <is>
          <t>ESKILSTUNA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53945-2019</t>
        </is>
      </c>
      <c r="B1117" s="1" t="n">
        <v>43752</v>
      </c>
      <c r="C1117" s="1" t="n">
        <v>45761</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55088-2019</t>
        </is>
      </c>
      <c r="B1118" s="1" t="n">
        <v>43752</v>
      </c>
      <c r="C1118" s="1" t="n">
        <v>45761</v>
      </c>
      <c r="D1118" t="inlineStr">
        <is>
          <t>SÖDERMANLANDS LÄN</t>
        </is>
      </c>
      <c r="E1118" t="inlineStr">
        <is>
          <t>FLEN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55122-2019</t>
        </is>
      </c>
      <c r="B1119" s="1" t="n">
        <v>43752</v>
      </c>
      <c r="C1119" s="1" t="n">
        <v>45761</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53872-2019</t>
        </is>
      </c>
      <c r="B1120" s="1" t="n">
        <v>43752</v>
      </c>
      <c r="C1120" s="1" t="n">
        <v>45761</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54263-2019</t>
        </is>
      </c>
      <c r="B1121" s="1" t="n">
        <v>43753</v>
      </c>
      <c r="C1121" s="1" t="n">
        <v>45761</v>
      </c>
      <c r="D1121" t="inlineStr">
        <is>
          <t>SÖDERMANLANDS LÄN</t>
        </is>
      </c>
      <c r="E1121" t="inlineStr">
        <is>
          <t>KATRINEHOLM</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54307-2019</t>
        </is>
      </c>
      <c r="B1122" s="1" t="n">
        <v>43753</v>
      </c>
      <c r="C1122" s="1" t="n">
        <v>45761</v>
      </c>
      <c r="D1122" t="inlineStr">
        <is>
          <t>SÖDERMANLANDS LÄN</t>
        </is>
      </c>
      <c r="E1122" t="inlineStr">
        <is>
          <t>FLEN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54244-2019</t>
        </is>
      </c>
      <c r="B1123" s="1" t="n">
        <v>43753</v>
      </c>
      <c r="C1123" s="1" t="n">
        <v>45761</v>
      </c>
      <c r="D1123" t="inlineStr">
        <is>
          <t>SÖDERMANLANDS LÄN</t>
        </is>
      </c>
      <c r="E1123" t="inlineStr">
        <is>
          <t>NYKÖPING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55232-2019</t>
        </is>
      </c>
      <c r="B1124" s="1" t="n">
        <v>43753</v>
      </c>
      <c r="C1124" s="1" t="n">
        <v>45761</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54208-2019</t>
        </is>
      </c>
      <c r="B1125" s="1" t="n">
        <v>43753</v>
      </c>
      <c r="C1125" s="1" t="n">
        <v>45761</v>
      </c>
      <c r="D1125" t="inlineStr">
        <is>
          <t>SÖDERMANLANDS LÄN</t>
        </is>
      </c>
      <c r="E1125" t="inlineStr">
        <is>
          <t>NYKÖPING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54686-2019</t>
        </is>
      </c>
      <c r="B1126" s="1" t="n">
        <v>43754</v>
      </c>
      <c r="C1126" s="1" t="n">
        <v>45761</v>
      </c>
      <c r="D1126" t="inlineStr">
        <is>
          <t>SÖDERMANLANDS LÄN</t>
        </is>
      </c>
      <c r="E1126" t="inlineStr">
        <is>
          <t>VINGÅKER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54527-2019</t>
        </is>
      </c>
      <c r="B1127" s="1" t="n">
        <v>43754</v>
      </c>
      <c r="C1127" s="1" t="n">
        <v>45761</v>
      </c>
      <c r="D1127" t="inlineStr">
        <is>
          <t>SÖDERMANLANDS LÄN</t>
        </is>
      </c>
      <c r="E1127" t="inlineStr">
        <is>
          <t>ESKILSTUNA</t>
        </is>
      </c>
      <c r="F1127" t="inlineStr">
        <is>
          <t>Allmännings- och besparingsskogar</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54685-2019</t>
        </is>
      </c>
      <c r="B1128" s="1" t="n">
        <v>43754</v>
      </c>
      <c r="C1128" s="1" t="n">
        <v>45761</v>
      </c>
      <c r="D1128" t="inlineStr">
        <is>
          <t>SÖDERMANLANDS LÄN</t>
        </is>
      </c>
      <c r="E1128" t="inlineStr">
        <is>
          <t>VINGÅKER</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55333-2019</t>
        </is>
      </c>
      <c r="B1129" s="1" t="n">
        <v>43756</v>
      </c>
      <c r="C1129" s="1" t="n">
        <v>45761</v>
      </c>
      <c r="D1129" t="inlineStr">
        <is>
          <t>SÖDERMANLANDS LÄN</t>
        </is>
      </c>
      <c r="E1129" t="inlineStr">
        <is>
          <t>KATRINEHOLM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55330-2019</t>
        </is>
      </c>
      <c r="B1130" s="1" t="n">
        <v>43756</v>
      </c>
      <c r="C1130" s="1" t="n">
        <v>45761</v>
      </c>
      <c r="D1130" t="inlineStr">
        <is>
          <t>SÖDERMANLANDS LÄN</t>
        </is>
      </c>
      <c r="E1130" t="inlineStr">
        <is>
          <t>KATRINEHOLM</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55346-2019</t>
        </is>
      </c>
      <c r="B1131" s="1" t="n">
        <v>43756</v>
      </c>
      <c r="C1131" s="1" t="n">
        <v>45761</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56435-2019</t>
        </is>
      </c>
      <c r="B1132" s="1" t="n">
        <v>43756</v>
      </c>
      <c r="C1132" s="1" t="n">
        <v>45761</v>
      </c>
      <c r="D1132" t="inlineStr">
        <is>
          <t>SÖDERMANLANDS LÄN</t>
        </is>
      </c>
      <c r="E1132" t="inlineStr">
        <is>
          <t>ESKILSTUNA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55417-2019</t>
        </is>
      </c>
      <c r="B1133" s="1" t="n">
        <v>43758</v>
      </c>
      <c r="C1133" s="1" t="n">
        <v>45761</v>
      </c>
      <c r="D1133" t="inlineStr">
        <is>
          <t>SÖDERMANLANDS LÄN</t>
        </is>
      </c>
      <c r="E1133" t="inlineStr">
        <is>
          <t>FLEN</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55421-2019</t>
        </is>
      </c>
      <c r="B1134" s="1" t="n">
        <v>43758</v>
      </c>
      <c r="C1134" s="1" t="n">
        <v>45761</v>
      </c>
      <c r="D1134" t="inlineStr">
        <is>
          <t>SÖDERMANLANDS LÄN</t>
        </is>
      </c>
      <c r="E1134" t="inlineStr">
        <is>
          <t>FLEN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55964-2019</t>
        </is>
      </c>
      <c r="B1135" s="1" t="n">
        <v>43759</v>
      </c>
      <c r="C1135" s="1" t="n">
        <v>45761</v>
      </c>
      <c r="D1135" t="inlineStr">
        <is>
          <t>SÖDERMANLANDS LÄN</t>
        </is>
      </c>
      <c r="E1135" t="inlineStr">
        <is>
          <t>VINGÅKER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55748-2019</t>
        </is>
      </c>
      <c r="B1136" s="1" t="n">
        <v>43759</v>
      </c>
      <c r="C1136" s="1" t="n">
        <v>45761</v>
      </c>
      <c r="D1136" t="inlineStr">
        <is>
          <t>SÖDERMANLANDS LÄN</t>
        </is>
      </c>
      <c r="E1136" t="inlineStr">
        <is>
          <t>VINGÅKER</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56260-2019</t>
        </is>
      </c>
      <c r="B1137" s="1" t="n">
        <v>43762</v>
      </c>
      <c r="C1137" s="1" t="n">
        <v>45761</v>
      </c>
      <c r="D1137" t="inlineStr">
        <is>
          <t>SÖDERMANLANDS LÄN</t>
        </is>
      </c>
      <c r="E1137" t="inlineStr">
        <is>
          <t>ESKILSTUNA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57898-2019</t>
        </is>
      </c>
      <c r="B1138" s="1" t="n">
        <v>43762</v>
      </c>
      <c r="C1138" s="1" t="n">
        <v>45761</v>
      </c>
      <c r="D1138" t="inlineStr">
        <is>
          <t>SÖDERMANLANDS LÄN</t>
        </is>
      </c>
      <c r="E1138" t="inlineStr">
        <is>
          <t>FLEN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56658-2019</t>
        </is>
      </c>
      <c r="B1139" s="1" t="n">
        <v>43763</v>
      </c>
      <c r="C1139" s="1" t="n">
        <v>45761</v>
      </c>
      <c r="D1139" t="inlineStr">
        <is>
          <t>SÖDERMANLANDS LÄN</t>
        </is>
      </c>
      <c r="E1139" t="inlineStr">
        <is>
          <t>ESKILSTUNA</t>
        </is>
      </c>
      <c r="F1139" t="inlineStr">
        <is>
          <t>Allmännings- och besparingsskogar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56745-2019</t>
        </is>
      </c>
      <c r="B1140" s="1" t="n">
        <v>43763</v>
      </c>
      <c r="C1140" s="1" t="n">
        <v>45761</v>
      </c>
      <c r="D1140" t="inlineStr">
        <is>
          <t>SÖDERMANLANDS LÄN</t>
        </is>
      </c>
      <c r="E1140" t="inlineStr">
        <is>
          <t>ESKILSTUNA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56759-2019</t>
        </is>
      </c>
      <c r="B1141" s="1" t="n">
        <v>43763</v>
      </c>
      <c r="C1141" s="1" t="n">
        <v>45761</v>
      </c>
      <c r="D1141" t="inlineStr">
        <is>
          <t>SÖDERMANLANDS LÄN</t>
        </is>
      </c>
      <c r="E1141" t="inlineStr">
        <is>
          <t>ESKILSTUNA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56842-2019</t>
        </is>
      </c>
      <c r="B1142" s="1" t="n">
        <v>43765</v>
      </c>
      <c r="C1142" s="1" t="n">
        <v>45761</v>
      </c>
      <c r="D1142" t="inlineStr">
        <is>
          <t>SÖDERMANLANDS LÄN</t>
        </is>
      </c>
      <c r="E1142" t="inlineStr">
        <is>
          <t>NYKÖPING</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56843-2019</t>
        </is>
      </c>
      <c r="B1143" s="1" t="n">
        <v>43765</v>
      </c>
      <c r="C1143" s="1" t="n">
        <v>45761</v>
      </c>
      <c r="D1143" t="inlineStr">
        <is>
          <t>SÖDERMANLANDS LÄN</t>
        </is>
      </c>
      <c r="E1143" t="inlineStr">
        <is>
          <t>NYKÖPING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57010-2019</t>
        </is>
      </c>
      <c r="B1144" s="1" t="n">
        <v>43766</v>
      </c>
      <c r="C1144" s="1" t="n">
        <v>45761</v>
      </c>
      <c r="D1144" t="inlineStr">
        <is>
          <t>SÖDERMANLANDS LÄN</t>
        </is>
      </c>
      <c r="E1144" t="inlineStr">
        <is>
          <t>VINGÅKER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57137-2019</t>
        </is>
      </c>
      <c r="B1145" s="1" t="n">
        <v>43766</v>
      </c>
      <c r="C1145" s="1" t="n">
        <v>45761</v>
      </c>
      <c r="D1145" t="inlineStr">
        <is>
          <t>SÖDERMANLANDS LÄN</t>
        </is>
      </c>
      <c r="E1145" t="inlineStr">
        <is>
          <t>ESKILSTUNA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58109-2019</t>
        </is>
      </c>
      <c r="B1146" s="1" t="n">
        <v>43766</v>
      </c>
      <c r="C1146" s="1" t="n">
        <v>45761</v>
      </c>
      <c r="D1146" t="inlineStr">
        <is>
          <t>SÖDERMANLANDS LÄN</t>
        </is>
      </c>
      <c r="E1146" t="inlineStr">
        <is>
          <t>NYKÖPING</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58108-2019</t>
        </is>
      </c>
      <c r="B1147" s="1" t="n">
        <v>43766</v>
      </c>
      <c r="C1147" s="1" t="n">
        <v>45761</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57407-2019</t>
        </is>
      </c>
      <c r="B1148" s="1" t="n">
        <v>43767</v>
      </c>
      <c r="C1148" s="1" t="n">
        <v>45761</v>
      </c>
      <c r="D1148" t="inlineStr">
        <is>
          <t>SÖDERMANLANDS LÄN</t>
        </is>
      </c>
      <c r="E1148" t="inlineStr">
        <is>
          <t>NYKÖPING</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57286-2019</t>
        </is>
      </c>
      <c r="B1149" s="1" t="n">
        <v>43767</v>
      </c>
      <c r="C1149" s="1" t="n">
        <v>45761</v>
      </c>
      <c r="D1149" t="inlineStr">
        <is>
          <t>SÖDERMANLANDS LÄN</t>
        </is>
      </c>
      <c r="E1149" t="inlineStr">
        <is>
          <t>VINGÅKER</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57787-2019</t>
        </is>
      </c>
      <c r="B1150" s="1" t="n">
        <v>43768</v>
      </c>
      <c r="C1150" s="1" t="n">
        <v>45761</v>
      </c>
      <c r="D1150" t="inlineStr">
        <is>
          <t>SÖDERMANLANDS LÄN</t>
        </is>
      </c>
      <c r="E1150" t="inlineStr">
        <is>
          <t>KATRINEHOLM</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57795-2019</t>
        </is>
      </c>
      <c r="B1151" s="1" t="n">
        <v>43768</v>
      </c>
      <c r="C1151" s="1" t="n">
        <v>45761</v>
      </c>
      <c r="D1151" t="inlineStr">
        <is>
          <t>SÖDERMANLANDS LÄN</t>
        </is>
      </c>
      <c r="E1151" t="inlineStr">
        <is>
          <t>ESKILSTUNA</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57725-2019</t>
        </is>
      </c>
      <c r="B1152" s="1" t="n">
        <v>43768</v>
      </c>
      <c r="C1152" s="1" t="n">
        <v>45761</v>
      </c>
      <c r="D1152" t="inlineStr">
        <is>
          <t>SÖDERMANLANDS LÄN</t>
        </is>
      </c>
      <c r="E1152" t="inlineStr">
        <is>
          <t>GNESTA</t>
        </is>
      </c>
      <c r="G1152" t="n">
        <v>18.4</v>
      </c>
      <c r="H1152" t="n">
        <v>0</v>
      </c>
      <c r="I1152" t="n">
        <v>0</v>
      </c>
      <c r="J1152" t="n">
        <v>0</v>
      </c>
      <c r="K1152" t="n">
        <v>0</v>
      </c>
      <c r="L1152" t="n">
        <v>0</v>
      </c>
      <c r="M1152" t="n">
        <v>0</v>
      </c>
      <c r="N1152" t="n">
        <v>0</v>
      </c>
      <c r="O1152" t="n">
        <v>0</v>
      </c>
      <c r="P1152" t="n">
        <v>0</v>
      </c>
      <c r="Q1152" t="n">
        <v>0</v>
      </c>
      <c r="R1152" s="2" t="inlineStr"/>
    </row>
    <row r="1153" ht="15" customHeight="1">
      <c r="A1153" t="inlineStr">
        <is>
          <t>A 57800-2019</t>
        </is>
      </c>
      <c r="B1153" s="1" t="n">
        <v>43768</v>
      </c>
      <c r="C1153" s="1" t="n">
        <v>45761</v>
      </c>
      <c r="D1153" t="inlineStr">
        <is>
          <t>SÖDERMANLANDS LÄN</t>
        </is>
      </c>
      <c r="E1153" t="inlineStr">
        <is>
          <t>ESKILSTUNA</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59039-2019</t>
        </is>
      </c>
      <c r="B1154" s="1" t="n">
        <v>43768</v>
      </c>
      <c r="C1154" s="1" t="n">
        <v>45761</v>
      </c>
      <c r="D1154" t="inlineStr">
        <is>
          <t>SÖDERMANLANDS LÄN</t>
        </is>
      </c>
      <c r="E1154" t="inlineStr">
        <is>
          <t>KATRINEHOLM</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57793-2019</t>
        </is>
      </c>
      <c r="B1155" s="1" t="n">
        <v>43768</v>
      </c>
      <c r="C1155" s="1" t="n">
        <v>45761</v>
      </c>
      <c r="D1155" t="inlineStr">
        <is>
          <t>SÖDERMANLANDS LÄN</t>
        </is>
      </c>
      <c r="E1155" t="inlineStr">
        <is>
          <t>KATRINEHOLM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57992-2019</t>
        </is>
      </c>
      <c r="B1156" s="1" t="n">
        <v>43769</v>
      </c>
      <c r="C1156" s="1" t="n">
        <v>45761</v>
      </c>
      <c r="D1156" t="inlineStr">
        <is>
          <t>SÖDERMANLANDS LÄN</t>
        </is>
      </c>
      <c r="E1156" t="inlineStr">
        <is>
          <t>ESKILSTUNA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58159-2019</t>
        </is>
      </c>
      <c r="B1157" s="1" t="n">
        <v>43769</v>
      </c>
      <c r="C1157" s="1" t="n">
        <v>45761</v>
      </c>
      <c r="D1157" t="inlineStr">
        <is>
          <t>SÖDERMANLANDS LÄN</t>
        </is>
      </c>
      <c r="E1157" t="inlineStr">
        <is>
          <t>VINGÅKER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58938-2019</t>
        </is>
      </c>
      <c r="B1158" s="1" t="n">
        <v>43769</v>
      </c>
      <c r="C1158" s="1" t="n">
        <v>45761</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58909-2019</t>
        </is>
      </c>
      <c r="B1159" s="1" t="n">
        <v>43769</v>
      </c>
      <c r="C1159" s="1" t="n">
        <v>45761</v>
      </c>
      <c r="D1159" t="inlineStr">
        <is>
          <t>SÖDERMANLANDS LÄN</t>
        </is>
      </c>
      <c r="E1159" t="inlineStr">
        <is>
          <t>FLEN</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58378-2019</t>
        </is>
      </c>
      <c r="B1160" s="1" t="n">
        <v>43771</v>
      </c>
      <c r="C1160" s="1" t="n">
        <v>45761</v>
      </c>
      <c r="D1160" t="inlineStr">
        <is>
          <t>SÖDERMANLANDS LÄN</t>
        </is>
      </c>
      <c r="E1160" t="inlineStr">
        <is>
          <t>ESKILSTUNA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59014-2019</t>
        </is>
      </c>
      <c r="B1161" s="1" t="n">
        <v>43774</v>
      </c>
      <c r="C1161" s="1" t="n">
        <v>45761</v>
      </c>
      <c r="D1161" t="inlineStr">
        <is>
          <t>SÖDERMANLANDS LÄN</t>
        </is>
      </c>
      <c r="E1161" t="inlineStr">
        <is>
          <t>FLEN</t>
        </is>
      </c>
      <c r="F1161" t="inlineStr">
        <is>
          <t>Kommuner</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59220-2019</t>
        </is>
      </c>
      <c r="B1162" s="1" t="n">
        <v>43775</v>
      </c>
      <c r="C1162" s="1" t="n">
        <v>45761</v>
      </c>
      <c r="D1162" t="inlineStr">
        <is>
          <t>SÖDERMANLANDS LÄN</t>
        </is>
      </c>
      <c r="E1162" t="inlineStr">
        <is>
          <t>STRÄNGNÄS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59224-2019</t>
        </is>
      </c>
      <c r="B1163" s="1" t="n">
        <v>43775</v>
      </c>
      <c r="C1163" s="1" t="n">
        <v>45761</v>
      </c>
      <c r="D1163" t="inlineStr">
        <is>
          <t>SÖDERMANLANDS LÄN</t>
        </is>
      </c>
      <c r="E1163" t="inlineStr">
        <is>
          <t>GNESTA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59454-2019</t>
        </is>
      </c>
      <c r="B1164" s="1" t="n">
        <v>43776</v>
      </c>
      <c r="C1164" s="1" t="n">
        <v>45761</v>
      </c>
      <c r="D1164" t="inlineStr">
        <is>
          <t>SÖDERMANLANDS LÄN</t>
        </is>
      </c>
      <c r="E1164" t="inlineStr">
        <is>
          <t>FLEN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59547-2019</t>
        </is>
      </c>
      <c r="B1165" s="1" t="n">
        <v>43776</v>
      </c>
      <c r="C1165" s="1" t="n">
        <v>45761</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59529-2019</t>
        </is>
      </c>
      <c r="B1166" s="1" t="n">
        <v>43776</v>
      </c>
      <c r="C1166" s="1" t="n">
        <v>45761</v>
      </c>
      <c r="D1166" t="inlineStr">
        <is>
          <t>SÖDERMANLANDS LÄN</t>
        </is>
      </c>
      <c r="E1166" t="inlineStr">
        <is>
          <t>ESKILSTUNA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59765-2019</t>
        </is>
      </c>
      <c r="B1167" s="1" t="n">
        <v>43776</v>
      </c>
      <c r="C1167" s="1" t="n">
        <v>45761</v>
      </c>
      <c r="D1167" t="inlineStr">
        <is>
          <t>SÖDERMANLANDS LÄN</t>
        </is>
      </c>
      <c r="E1167" t="inlineStr">
        <is>
          <t>VINGÅKER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59767-2019</t>
        </is>
      </c>
      <c r="B1168" s="1" t="n">
        <v>43776</v>
      </c>
      <c r="C1168" s="1" t="n">
        <v>45761</v>
      </c>
      <c r="D1168" t="inlineStr">
        <is>
          <t>SÖDERMANLANDS LÄN</t>
        </is>
      </c>
      <c r="E1168" t="inlineStr">
        <is>
          <t>VINGÅKER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59448-2019</t>
        </is>
      </c>
      <c r="B1169" s="1" t="n">
        <v>43776</v>
      </c>
      <c r="C1169" s="1" t="n">
        <v>45761</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59750-2019</t>
        </is>
      </c>
      <c r="B1170" s="1" t="n">
        <v>43776</v>
      </c>
      <c r="C1170" s="1" t="n">
        <v>45761</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59446-2019</t>
        </is>
      </c>
      <c r="B1171" s="1" t="n">
        <v>43776</v>
      </c>
      <c r="C1171" s="1" t="n">
        <v>45761</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59913-2019</t>
        </is>
      </c>
      <c r="B1172" s="1" t="n">
        <v>43777</v>
      </c>
      <c r="C1172" s="1" t="n">
        <v>45761</v>
      </c>
      <c r="D1172" t="inlineStr">
        <is>
          <t>SÖDERMANLANDS LÄN</t>
        </is>
      </c>
      <c r="E1172" t="inlineStr">
        <is>
          <t>KATRINEHOLM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59905-2019</t>
        </is>
      </c>
      <c r="B1173" s="1" t="n">
        <v>43777</v>
      </c>
      <c r="C1173" s="1" t="n">
        <v>45761</v>
      </c>
      <c r="D1173" t="inlineStr">
        <is>
          <t>SÖDERMANLANDS LÄN</t>
        </is>
      </c>
      <c r="E1173" t="inlineStr">
        <is>
          <t>KATRINEHOLM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59981-2019</t>
        </is>
      </c>
      <c r="B1174" s="1" t="n">
        <v>43777</v>
      </c>
      <c r="C1174" s="1" t="n">
        <v>45761</v>
      </c>
      <c r="D1174" t="inlineStr">
        <is>
          <t>SÖDERMANLANDS LÄN</t>
        </is>
      </c>
      <c r="E1174" t="inlineStr">
        <is>
          <t>KATRINEHOLM</t>
        </is>
      </c>
      <c r="F1174" t="inlineStr">
        <is>
          <t>Kyrkan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60672-2019</t>
        </is>
      </c>
      <c r="B1175" s="1" t="n">
        <v>43777</v>
      </c>
      <c r="C1175" s="1" t="n">
        <v>45761</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60136-2019</t>
        </is>
      </c>
      <c r="B1176" s="1" t="n">
        <v>43779</v>
      </c>
      <c r="C1176" s="1" t="n">
        <v>45761</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60466-2019</t>
        </is>
      </c>
      <c r="B1177" s="1" t="n">
        <v>43780</v>
      </c>
      <c r="C1177" s="1" t="n">
        <v>45761</v>
      </c>
      <c r="D1177" t="inlineStr">
        <is>
          <t>SÖDERMANLANDS LÄN</t>
        </is>
      </c>
      <c r="E1177" t="inlineStr">
        <is>
          <t>STRÄNGNÄS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60408-2019</t>
        </is>
      </c>
      <c r="B1178" s="1" t="n">
        <v>43780</v>
      </c>
      <c r="C1178" s="1" t="n">
        <v>45761</v>
      </c>
      <c r="D1178" t="inlineStr">
        <is>
          <t>SÖDERMANLANDS LÄN</t>
        </is>
      </c>
      <c r="E1178" t="inlineStr">
        <is>
          <t>VINGÅKER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60431-2019</t>
        </is>
      </c>
      <c r="B1179" s="1" t="n">
        <v>43780</v>
      </c>
      <c r="C1179" s="1" t="n">
        <v>45761</v>
      </c>
      <c r="D1179" t="inlineStr">
        <is>
          <t>SÖDERMANLANDS LÄN</t>
        </is>
      </c>
      <c r="E1179" t="inlineStr">
        <is>
          <t>VINGÅKER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60675-2019</t>
        </is>
      </c>
      <c r="B1180" s="1" t="n">
        <v>43781</v>
      </c>
      <c r="C1180" s="1" t="n">
        <v>45761</v>
      </c>
      <c r="D1180" t="inlineStr">
        <is>
          <t>SÖDERMANLANDS LÄN</t>
        </is>
      </c>
      <c r="E1180" t="inlineStr">
        <is>
          <t>KATRINEHOLM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60731-2019</t>
        </is>
      </c>
      <c r="B1181" s="1" t="n">
        <v>43781</v>
      </c>
      <c r="C1181" s="1" t="n">
        <v>45761</v>
      </c>
      <c r="D1181" t="inlineStr">
        <is>
          <t>SÖDERMANLANDS LÄN</t>
        </is>
      </c>
      <c r="E1181" t="inlineStr">
        <is>
          <t>ESKILSTUNA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60860-2019</t>
        </is>
      </c>
      <c r="B1182" s="1" t="n">
        <v>43781</v>
      </c>
      <c r="C1182" s="1" t="n">
        <v>45761</v>
      </c>
      <c r="D1182" t="inlineStr">
        <is>
          <t>SÖDERMANLANDS LÄN</t>
        </is>
      </c>
      <c r="E1182" t="inlineStr">
        <is>
          <t>ESKILSTUNA</t>
        </is>
      </c>
      <c r="F1182" t="inlineStr">
        <is>
          <t>Allmännings- och besparingsskogar</t>
        </is>
      </c>
      <c r="G1182" t="n">
        <v>17.5</v>
      </c>
      <c r="H1182" t="n">
        <v>0</v>
      </c>
      <c r="I1182" t="n">
        <v>0</v>
      </c>
      <c r="J1182" t="n">
        <v>0</v>
      </c>
      <c r="K1182" t="n">
        <v>0</v>
      </c>
      <c r="L1182" t="n">
        <v>0</v>
      </c>
      <c r="M1182" t="n">
        <v>0</v>
      </c>
      <c r="N1182" t="n">
        <v>0</v>
      </c>
      <c r="O1182" t="n">
        <v>0</v>
      </c>
      <c r="P1182" t="n">
        <v>0</v>
      </c>
      <c r="Q1182" t="n">
        <v>0</v>
      </c>
      <c r="R1182" s="2" t="inlineStr"/>
    </row>
    <row r="1183" ht="15" customHeight="1">
      <c r="A1183" t="inlineStr">
        <is>
          <t>A 61999-2019</t>
        </is>
      </c>
      <c r="B1183" s="1" t="n">
        <v>43781</v>
      </c>
      <c r="C1183" s="1" t="n">
        <v>45761</v>
      </c>
      <c r="D1183" t="inlineStr">
        <is>
          <t>SÖDERMANLANDS LÄN</t>
        </is>
      </c>
      <c r="E1183" t="inlineStr">
        <is>
          <t>KATRINEHOLM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60852-2019</t>
        </is>
      </c>
      <c r="B1184" s="1" t="n">
        <v>43781</v>
      </c>
      <c r="C1184" s="1" t="n">
        <v>45761</v>
      </c>
      <c r="D1184" t="inlineStr">
        <is>
          <t>SÖDERMANLANDS LÄN</t>
        </is>
      </c>
      <c r="E1184" t="inlineStr">
        <is>
          <t>ESKILSTUNA</t>
        </is>
      </c>
      <c r="F1184" t="inlineStr">
        <is>
          <t>Allmännings- och besparingsskogar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61161-2019</t>
        </is>
      </c>
      <c r="B1185" s="1" t="n">
        <v>43782</v>
      </c>
      <c r="C1185" s="1" t="n">
        <v>45761</v>
      </c>
      <c r="D1185" t="inlineStr">
        <is>
          <t>SÖDERMANLANDS LÄN</t>
        </is>
      </c>
      <c r="E1185" t="inlineStr">
        <is>
          <t>KATRINEHOLM</t>
        </is>
      </c>
      <c r="F1185" t="inlineStr">
        <is>
          <t>Kyrkan</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61402-2019</t>
        </is>
      </c>
      <c r="B1186" s="1" t="n">
        <v>43783</v>
      </c>
      <c r="C1186" s="1" t="n">
        <v>45761</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61432-2019</t>
        </is>
      </c>
      <c r="B1187" s="1" t="n">
        <v>43783</v>
      </c>
      <c r="C1187" s="1" t="n">
        <v>45761</v>
      </c>
      <c r="D1187" t="inlineStr">
        <is>
          <t>SÖDERMANLANDS LÄN</t>
        </is>
      </c>
      <c r="E1187" t="inlineStr">
        <is>
          <t>STRÄNGNÄS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61653-2019</t>
        </is>
      </c>
      <c r="B1188" s="1" t="n">
        <v>43784</v>
      </c>
      <c r="C1188" s="1" t="n">
        <v>45761</v>
      </c>
      <c r="D1188" t="inlineStr">
        <is>
          <t>SÖDERMANLANDS LÄN</t>
        </is>
      </c>
      <c r="E1188" t="inlineStr">
        <is>
          <t>ESKILSTUNA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61867-2019</t>
        </is>
      </c>
      <c r="B1189" s="1" t="n">
        <v>43784</v>
      </c>
      <c r="C1189" s="1" t="n">
        <v>45761</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62954-2019</t>
        </is>
      </c>
      <c r="B1190" s="1" t="n">
        <v>43784</v>
      </c>
      <c r="C1190" s="1" t="n">
        <v>45761</v>
      </c>
      <c r="D1190" t="inlineStr">
        <is>
          <t>SÖDERMANLANDS LÄN</t>
        </is>
      </c>
      <c r="E1190" t="inlineStr">
        <is>
          <t>GNESTA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61713-2019</t>
        </is>
      </c>
      <c r="B1191" s="1" t="n">
        <v>43784</v>
      </c>
      <c r="C1191" s="1" t="n">
        <v>45761</v>
      </c>
      <c r="D1191" t="inlineStr">
        <is>
          <t>SÖDERMANLANDS LÄN</t>
        </is>
      </c>
      <c r="E1191" t="inlineStr">
        <is>
          <t>ESKILSTUNA</t>
        </is>
      </c>
      <c r="F1191" t="inlineStr">
        <is>
          <t>Holmen skog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61809-2019</t>
        </is>
      </c>
      <c r="B1192" s="1" t="n">
        <v>43786</v>
      </c>
      <c r="C1192" s="1" t="n">
        <v>45761</v>
      </c>
      <c r="D1192" t="inlineStr">
        <is>
          <t>SÖDERMANLANDS LÄN</t>
        </is>
      </c>
      <c r="E1192" t="inlineStr">
        <is>
          <t>ESKILSTUNA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61821-2019</t>
        </is>
      </c>
      <c r="B1193" s="1" t="n">
        <v>43786</v>
      </c>
      <c r="C1193" s="1" t="n">
        <v>45761</v>
      </c>
      <c r="D1193" t="inlineStr">
        <is>
          <t>SÖDERMANLANDS LÄN</t>
        </is>
      </c>
      <c r="E1193" t="inlineStr">
        <is>
          <t>NYKÖPING</t>
        </is>
      </c>
      <c r="F1193" t="inlineStr">
        <is>
          <t>Övriga Aktiebolag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61843-2019</t>
        </is>
      </c>
      <c r="B1194" s="1" t="n">
        <v>43786</v>
      </c>
      <c r="C1194" s="1" t="n">
        <v>45761</v>
      </c>
      <c r="D1194" t="inlineStr">
        <is>
          <t>SÖDERMANLANDS LÄN</t>
        </is>
      </c>
      <c r="E1194" t="inlineStr">
        <is>
          <t>NYKÖPING</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61822-2019</t>
        </is>
      </c>
      <c r="B1195" s="1" t="n">
        <v>43786</v>
      </c>
      <c r="C1195" s="1" t="n">
        <v>45761</v>
      </c>
      <c r="D1195" t="inlineStr">
        <is>
          <t>SÖDERMANLANDS LÄN</t>
        </is>
      </c>
      <c r="E1195" t="inlineStr">
        <is>
          <t>NYKÖPING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61863-2019</t>
        </is>
      </c>
      <c r="B1196" s="1" t="n">
        <v>43787</v>
      </c>
      <c r="C1196" s="1" t="n">
        <v>45761</v>
      </c>
      <c r="D1196" t="inlineStr">
        <is>
          <t>SÖDERMANLANDS LÄN</t>
        </is>
      </c>
      <c r="E1196" t="inlineStr">
        <is>
          <t>ESKILSTUNA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61980-2019</t>
        </is>
      </c>
      <c r="B1197" s="1" t="n">
        <v>43787</v>
      </c>
      <c r="C1197" s="1" t="n">
        <v>45761</v>
      </c>
      <c r="D1197" t="inlineStr">
        <is>
          <t>SÖDERMANLANDS LÄN</t>
        </is>
      </c>
      <c r="E1197" t="inlineStr">
        <is>
          <t>ESKILSTUNA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62158-2019</t>
        </is>
      </c>
      <c r="B1198" s="1" t="n">
        <v>43787</v>
      </c>
      <c r="C1198" s="1" t="n">
        <v>45761</v>
      </c>
      <c r="D1198" t="inlineStr">
        <is>
          <t>SÖDERMANLANDS LÄN</t>
        </is>
      </c>
      <c r="E1198" t="inlineStr">
        <is>
          <t>VINGÅKER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62161-2019</t>
        </is>
      </c>
      <c r="B1199" s="1" t="n">
        <v>43787</v>
      </c>
      <c r="C1199" s="1" t="n">
        <v>45761</v>
      </c>
      <c r="D1199" t="inlineStr">
        <is>
          <t>SÖDERMANLANDS LÄN</t>
        </is>
      </c>
      <c r="E1199" t="inlineStr">
        <is>
          <t>STRÄNGNÄS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61876-2019</t>
        </is>
      </c>
      <c r="B1200" s="1" t="n">
        <v>43787</v>
      </c>
      <c r="C1200" s="1" t="n">
        <v>45761</v>
      </c>
      <c r="D1200" t="inlineStr">
        <is>
          <t>SÖDERMANLANDS LÄN</t>
        </is>
      </c>
      <c r="E1200" t="inlineStr">
        <is>
          <t>NYKÖPING</t>
        </is>
      </c>
      <c r="F1200" t="inlineStr">
        <is>
          <t>Kommuner</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61889-2019</t>
        </is>
      </c>
      <c r="B1201" s="1" t="n">
        <v>43787</v>
      </c>
      <c r="C1201" s="1" t="n">
        <v>45761</v>
      </c>
      <c r="D1201" t="inlineStr">
        <is>
          <t>SÖDERMANLANDS LÄN</t>
        </is>
      </c>
      <c r="E1201" t="inlineStr">
        <is>
          <t>FLEN</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62271-2019</t>
        </is>
      </c>
      <c r="B1202" s="1" t="n">
        <v>43788</v>
      </c>
      <c r="C1202" s="1" t="n">
        <v>45761</v>
      </c>
      <c r="D1202" t="inlineStr">
        <is>
          <t>SÖDERMANLANDS LÄN</t>
        </is>
      </c>
      <c r="E1202" t="inlineStr">
        <is>
          <t>ESKILSTUNA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62257-2019</t>
        </is>
      </c>
      <c r="B1203" s="1" t="n">
        <v>43788</v>
      </c>
      <c r="C1203" s="1" t="n">
        <v>45761</v>
      </c>
      <c r="D1203" t="inlineStr">
        <is>
          <t>SÖDERMANLANDS LÄN</t>
        </is>
      </c>
      <c r="E1203" t="inlineStr">
        <is>
          <t>ESKILSTUNA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62272-2019</t>
        </is>
      </c>
      <c r="B1204" s="1" t="n">
        <v>43788</v>
      </c>
      <c r="C1204" s="1" t="n">
        <v>45761</v>
      </c>
      <c r="D1204" t="inlineStr">
        <is>
          <t>SÖDERMANLANDS LÄN</t>
        </is>
      </c>
      <c r="E1204" t="inlineStr">
        <is>
          <t>NYKÖPING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62315-2019</t>
        </is>
      </c>
      <c r="B1205" s="1" t="n">
        <v>43788</v>
      </c>
      <c r="C1205" s="1" t="n">
        <v>45761</v>
      </c>
      <c r="D1205" t="inlineStr">
        <is>
          <t>SÖDERMANLANDS LÄN</t>
        </is>
      </c>
      <c r="E1205" t="inlineStr">
        <is>
          <t>ESKILSTUNA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62324-2019</t>
        </is>
      </c>
      <c r="B1206" s="1" t="n">
        <v>43788</v>
      </c>
      <c r="C1206" s="1" t="n">
        <v>45761</v>
      </c>
      <c r="D1206" t="inlineStr">
        <is>
          <t>SÖDERMANLANDS LÄN</t>
        </is>
      </c>
      <c r="E1206" t="inlineStr">
        <is>
          <t>NYKÖPING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62471-2019</t>
        </is>
      </c>
      <c r="B1207" s="1" t="n">
        <v>43788</v>
      </c>
      <c r="C1207" s="1" t="n">
        <v>45761</v>
      </c>
      <c r="D1207" t="inlineStr">
        <is>
          <t>SÖDERMANLANDS LÄN</t>
        </is>
      </c>
      <c r="E1207" t="inlineStr">
        <is>
          <t>ESKILSTUNA</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62510-2019</t>
        </is>
      </c>
      <c r="B1208" s="1" t="n">
        <v>43788</v>
      </c>
      <c r="C1208" s="1" t="n">
        <v>45761</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62467-2019</t>
        </is>
      </c>
      <c r="B1209" s="1" t="n">
        <v>43788</v>
      </c>
      <c r="C1209" s="1" t="n">
        <v>45761</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62469-2019</t>
        </is>
      </c>
      <c r="B1210" s="1" t="n">
        <v>43788</v>
      </c>
      <c r="C1210" s="1" t="n">
        <v>45761</v>
      </c>
      <c r="D1210" t="inlineStr">
        <is>
          <t>SÖDERMANLANDS LÄN</t>
        </is>
      </c>
      <c r="E1210" t="inlineStr">
        <is>
          <t>ESKILSTUNA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62566-2019</t>
        </is>
      </c>
      <c r="B1211" s="1" t="n">
        <v>43789</v>
      </c>
      <c r="C1211" s="1" t="n">
        <v>45761</v>
      </c>
      <c r="D1211" t="inlineStr">
        <is>
          <t>SÖDERMANLANDS LÄN</t>
        </is>
      </c>
      <c r="E1211" t="inlineStr">
        <is>
          <t>STRÄNGNÄS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62676-2019</t>
        </is>
      </c>
      <c r="B1212" s="1" t="n">
        <v>43789</v>
      </c>
      <c r="C1212" s="1" t="n">
        <v>45761</v>
      </c>
      <c r="D1212" t="inlineStr">
        <is>
          <t>SÖDERMANLANDS LÄN</t>
        </is>
      </c>
      <c r="E1212" t="inlineStr">
        <is>
          <t>ESKILSTUNA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62874-2019</t>
        </is>
      </c>
      <c r="B1213" s="1" t="n">
        <v>43790</v>
      </c>
      <c r="C1213" s="1" t="n">
        <v>45761</v>
      </c>
      <c r="D1213" t="inlineStr">
        <is>
          <t>SÖDERMANLANDS LÄN</t>
        </is>
      </c>
      <c r="E1213" t="inlineStr">
        <is>
          <t>STRÄNGNÄS</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62962-2019</t>
        </is>
      </c>
      <c r="B1214" s="1" t="n">
        <v>43790</v>
      </c>
      <c r="C1214" s="1" t="n">
        <v>45761</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62977-2019</t>
        </is>
      </c>
      <c r="B1215" s="1" t="n">
        <v>43790</v>
      </c>
      <c r="C1215" s="1" t="n">
        <v>45761</v>
      </c>
      <c r="D1215" t="inlineStr">
        <is>
          <t>SÖDERMANLANDS LÄN</t>
        </is>
      </c>
      <c r="E1215" t="inlineStr">
        <is>
          <t>ESKILSTUNA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62982-2019</t>
        </is>
      </c>
      <c r="B1216" s="1" t="n">
        <v>43790</v>
      </c>
      <c r="C1216" s="1" t="n">
        <v>45761</v>
      </c>
      <c r="D1216" t="inlineStr">
        <is>
          <t>SÖDERMANLANDS LÄN</t>
        </is>
      </c>
      <c r="E1216" t="inlineStr">
        <is>
          <t>ESKILSTUNA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63001-2019</t>
        </is>
      </c>
      <c r="B1217" s="1" t="n">
        <v>43790</v>
      </c>
      <c r="C1217" s="1" t="n">
        <v>45761</v>
      </c>
      <c r="D1217" t="inlineStr">
        <is>
          <t>SÖDERMANLANDS LÄN</t>
        </is>
      </c>
      <c r="E1217" t="inlineStr">
        <is>
          <t>ESKILSTUNA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63732-2019</t>
        </is>
      </c>
      <c r="B1218" s="1" t="n">
        <v>43790</v>
      </c>
      <c r="C1218" s="1" t="n">
        <v>45761</v>
      </c>
      <c r="D1218" t="inlineStr">
        <is>
          <t>SÖDERMANLANDS LÄN</t>
        </is>
      </c>
      <c r="E1218" t="inlineStr">
        <is>
          <t>TROSA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62995-2019</t>
        </is>
      </c>
      <c r="B1219" s="1" t="n">
        <v>43790</v>
      </c>
      <c r="C1219" s="1" t="n">
        <v>45761</v>
      </c>
      <c r="D1219" t="inlineStr">
        <is>
          <t>SÖDERMANLANDS LÄN</t>
        </is>
      </c>
      <c r="E1219" t="inlineStr">
        <is>
          <t>ESKILSTUNA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63058-2019</t>
        </is>
      </c>
      <c r="B1220" s="1" t="n">
        <v>43791</v>
      </c>
      <c r="C1220" s="1" t="n">
        <v>45761</v>
      </c>
      <c r="D1220" t="inlineStr">
        <is>
          <t>SÖDERMANLANDS LÄN</t>
        </is>
      </c>
      <c r="E1220" t="inlineStr">
        <is>
          <t>STRÄNGNÄS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63120-2019</t>
        </is>
      </c>
      <c r="B1221" s="1" t="n">
        <v>43791</v>
      </c>
      <c r="C1221" s="1" t="n">
        <v>45761</v>
      </c>
      <c r="D1221" t="inlineStr">
        <is>
          <t>SÖDERMANLANDS LÄN</t>
        </is>
      </c>
      <c r="E1221" t="inlineStr">
        <is>
          <t>ESKILSTUNA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64409-2019</t>
        </is>
      </c>
      <c r="B1222" s="1" t="n">
        <v>43793</v>
      </c>
      <c r="C1222" s="1" t="n">
        <v>45761</v>
      </c>
      <c r="D1222" t="inlineStr">
        <is>
          <t>SÖDERMANLANDS LÄN</t>
        </is>
      </c>
      <c r="E1222" t="inlineStr">
        <is>
          <t>KATRINEHOLM</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64364-2019</t>
        </is>
      </c>
      <c r="B1223" s="1" t="n">
        <v>43793</v>
      </c>
      <c r="C1223" s="1" t="n">
        <v>45761</v>
      </c>
      <c r="D1223" t="inlineStr">
        <is>
          <t>SÖDERMANLANDS LÄN</t>
        </is>
      </c>
      <c r="E1223" t="inlineStr">
        <is>
          <t>KATRINEHOLM</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63275-2019</t>
        </is>
      </c>
      <c r="B1224" s="1" t="n">
        <v>43794</v>
      </c>
      <c r="C1224" s="1" t="n">
        <v>45761</v>
      </c>
      <c r="D1224" t="inlineStr">
        <is>
          <t>SÖDERMANLANDS LÄN</t>
        </is>
      </c>
      <c r="E1224" t="inlineStr">
        <is>
          <t>KATRINEHOLM</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63343-2019</t>
        </is>
      </c>
      <c r="B1225" s="1" t="n">
        <v>43794</v>
      </c>
      <c r="C1225" s="1" t="n">
        <v>45761</v>
      </c>
      <c r="D1225" t="inlineStr">
        <is>
          <t>SÖDERMANLANDS LÄN</t>
        </is>
      </c>
      <c r="E1225" t="inlineStr">
        <is>
          <t>TROSA</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63377-2019</t>
        </is>
      </c>
      <c r="B1226" s="1" t="n">
        <v>43794</v>
      </c>
      <c r="C1226" s="1" t="n">
        <v>45761</v>
      </c>
      <c r="D1226" t="inlineStr">
        <is>
          <t>SÖDERMANLANDS LÄN</t>
        </is>
      </c>
      <c r="E1226" t="inlineStr">
        <is>
          <t>VINGÅKER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64580-2019</t>
        </is>
      </c>
      <c r="B1227" s="1" t="n">
        <v>43794</v>
      </c>
      <c r="C1227" s="1" t="n">
        <v>45761</v>
      </c>
      <c r="D1227" t="inlineStr">
        <is>
          <t>SÖDERMANLANDS LÄN</t>
        </is>
      </c>
      <c r="E1227" t="inlineStr">
        <is>
          <t>FLEN</t>
        </is>
      </c>
      <c r="F1227" t="inlineStr">
        <is>
          <t>Övriga statliga verk och myndigheter</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63541-2019</t>
        </is>
      </c>
      <c r="B1228" s="1" t="n">
        <v>43794</v>
      </c>
      <c r="C1228" s="1" t="n">
        <v>45761</v>
      </c>
      <c r="D1228" t="inlineStr">
        <is>
          <t>SÖDERMANLANDS LÄN</t>
        </is>
      </c>
      <c r="E1228" t="inlineStr">
        <is>
          <t>VINGÅKER</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63566-2019</t>
        </is>
      </c>
      <c r="B1229" s="1" t="n">
        <v>43795</v>
      </c>
      <c r="C1229" s="1" t="n">
        <v>45761</v>
      </c>
      <c r="D1229" t="inlineStr">
        <is>
          <t>SÖDERMANLANDS LÄN</t>
        </is>
      </c>
      <c r="E1229" t="inlineStr">
        <is>
          <t>ESKILSTUNA</t>
        </is>
      </c>
      <c r="F1229" t="inlineStr">
        <is>
          <t>Allmännings- och besparingsskogar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63580-2019</t>
        </is>
      </c>
      <c r="B1230" s="1" t="n">
        <v>43795</v>
      </c>
      <c r="C1230" s="1" t="n">
        <v>45761</v>
      </c>
      <c r="D1230" t="inlineStr">
        <is>
          <t>SÖDERMANLANDS LÄN</t>
        </is>
      </c>
      <c r="E1230" t="inlineStr">
        <is>
          <t>ESKILSTUNA</t>
        </is>
      </c>
      <c r="F1230" t="inlineStr">
        <is>
          <t>Allmännings- och besparingsskogar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63575-2019</t>
        </is>
      </c>
      <c r="B1231" s="1" t="n">
        <v>43795</v>
      </c>
      <c r="C1231" s="1" t="n">
        <v>45761</v>
      </c>
      <c r="D1231" t="inlineStr">
        <is>
          <t>SÖDERMANLANDS LÄN</t>
        </is>
      </c>
      <c r="E1231" t="inlineStr">
        <is>
          <t>ESKILSTUNA</t>
        </is>
      </c>
      <c r="F1231" t="inlineStr">
        <is>
          <t>Allmännings- och besparingsskogar</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63696-2019</t>
        </is>
      </c>
      <c r="B1232" s="1" t="n">
        <v>43795</v>
      </c>
      <c r="C1232" s="1" t="n">
        <v>45761</v>
      </c>
      <c r="D1232" t="inlineStr">
        <is>
          <t>SÖDERMANLANDS LÄN</t>
        </is>
      </c>
      <c r="E1232" t="inlineStr">
        <is>
          <t>NYKÖPING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63586-2019</t>
        </is>
      </c>
      <c r="B1233" s="1" t="n">
        <v>43795</v>
      </c>
      <c r="C1233" s="1" t="n">
        <v>45761</v>
      </c>
      <c r="D1233" t="inlineStr">
        <is>
          <t>SÖDERMANLANDS LÄN</t>
        </is>
      </c>
      <c r="E1233" t="inlineStr">
        <is>
          <t>ESKILSTUNA</t>
        </is>
      </c>
      <c r="F1233" t="inlineStr">
        <is>
          <t>Allmännings- och besparingsskogar</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63712-2019</t>
        </is>
      </c>
      <c r="B1234" s="1" t="n">
        <v>43795</v>
      </c>
      <c r="C1234" s="1" t="n">
        <v>45761</v>
      </c>
      <c r="D1234" t="inlineStr">
        <is>
          <t>SÖDERMANLANDS LÄN</t>
        </is>
      </c>
      <c r="E1234" t="inlineStr">
        <is>
          <t>KATRINEHOLM</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63822-2019</t>
        </is>
      </c>
      <c r="B1235" s="1" t="n">
        <v>43795</v>
      </c>
      <c r="C1235" s="1" t="n">
        <v>45761</v>
      </c>
      <c r="D1235" t="inlineStr">
        <is>
          <t>SÖDERMANLANDS LÄN</t>
        </is>
      </c>
      <c r="E1235" t="inlineStr">
        <is>
          <t>NYKÖPING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63758-2019</t>
        </is>
      </c>
      <c r="B1236" s="1" t="n">
        <v>43795</v>
      </c>
      <c r="C1236" s="1" t="n">
        <v>45761</v>
      </c>
      <c r="D1236" t="inlineStr">
        <is>
          <t>SÖDERMANLANDS LÄN</t>
        </is>
      </c>
      <c r="E1236" t="inlineStr">
        <is>
          <t>FLEN</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64222-2019</t>
        </is>
      </c>
      <c r="B1237" s="1" t="n">
        <v>43797</v>
      </c>
      <c r="C1237" s="1" t="n">
        <v>45761</v>
      </c>
      <c r="D1237" t="inlineStr">
        <is>
          <t>SÖDERMANLANDS LÄN</t>
        </is>
      </c>
      <c r="E1237" t="inlineStr">
        <is>
          <t>ESKILSTUNA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64167-2019</t>
        </is>
      </c>
      <c r="B1238" s="1" t="n">
        <v>43797</v>
      </c>
      <c r="C1238" s="1" t="n">
        <v>45761</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64576-2019</t>
        </is>
      </c>
      <c r="B1239" s="1" t="n">
        <v>43798</v>
      </c>
      <c r="C1239" s="1" t="n">
        <v>45761</v>
      </c>
      <c r="D1239" t="inlineStr">
        <is>
          <t>SÖDERMANLANDS LÄN</t>
        </is>
      </c>
      <c r="E1239" t="inlineStr">
        <is>
          <t>FLEN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64711-2019</t>
        </is>
      </c>
      <c r="B1240" s="1" t="n">
        <v>43798</v>
      </c>
      <c r="C1240" s="1" t="n">
        <v>45761</v>
      </c>
      <c r="D1240" t="inlineStr">
        <is>
          <t>SÖDERMANLANDS LÄN</t>
        </is>
      </c>
      <c r="E1240" t="inlineStr">
        <is>
          <t>KATRINEHOLM</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64737-2019</t>
        </is>
      </c>
      <c r="B1241" s="1" t="n">
        <v>43800</v>
      </c>
      <c r="C1241" s="1" t="n">
        <v>45761</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64795-2019</t>
        </is>
      </c>
      <c r="B1242" s="1" t="n">
        <v>43801</v>
      </c>
      <c r="C1242" s="1" t="n">
        <v>45761</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64977-2019</t>
        </is>
      </c>
      <c r="B1243" s="1" t="n">
        <v>43801</v>
      </c>
      <c r="C1243" s="1" t="n">
        <v>45761</v>
      </c>
      <c r="D1243" t="inlineStr">
        <is>
          <t>SÖDERMANLANDS LÄN</t>
        </is>
      </c>
      <c r="E1243" t="inlineStr">
        <is>
          <t>NYKÖPING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65305-2019</t>
        </is>
      </c>
      <c r="B1244" s="1" t="n">
        <v>43802</v>
      </c>
      <c r="C1244" s="1" t="n">
        <v>45761</v>
      </c>
      <c r="D1244" t="inlineStr">
        <is>
          <t>SÖDERMANLANDS LÄN</t>
        </is>
      </c>
      <c r="E1244" t="inlineStr">
        <is>
          <t>KATRINEHOLM</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65301-2019</t>
        </is>
      </c>
      <c r="B1245" s="1" t="n">
        <v>43802</v>
      </c>
      <c r="C1245" s="1" t="n">
        <v>45761</v>
      </c>
      <c r="D1245" t="inlineStr">
        <is>
          <t>SÖDERMANLANDS LÄN</t>
        </is>
      </c>
      <c r="E1245" t="inlineStr">
        <is>
          <t>KATRINEHOLM</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65245-2019</t>
        </is>
      </c>
      <c r="B1246" s="1" t="n">
        <v>43802</v>
      </c>
      <c r="C1246" s="1" t="n">
        <v>45761</v>
      </c>
      <c r="D1246" t="inlineStr">
        <is>
          <t>SÖDERMANLANDS LÄN</t>
        </is>
      </c>
      <c r="E1246" t="inlineStr">
        <is>
          <t>KATRINEHOLM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65307-2019</t>
        </is>
      </c>
      <c r="B1247" s="1" t="n">
        <v>43802</v>
      </c>
      <c r="C1247" s="1" t="n">
        <v>45761</v>
      </c>
      <c r="D1247" t="inlineStr">
        <is>
          <t>SÖDERMANLANDS LÄN</t>
        </is>
      </c>
      <c r="E1247" t="inlineStr">
        <is>
          <t>KATRINEHOLM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65523-2019</t>
        </is>
      </c>
      <c r="B1248" s="1" t="n">
        <v>43803</v>
      </c>
      <c r="C1248" s="1" t="n">
        <v>45761</v>
      </c>
      <c r="D1248" t="inlineStr">
        <is>
          <t>SÖDERMANLANDS LÄN</t>
        </is>
      </c>
      <c r="E1248" t="inlineStr">
        <is>
          <t>ESKILSTUNA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65346-2019</t>
        </is>
      </c>
      <c r="B1249" s="1" t="n">
        <v>43803</v>
      </c>
      <c r="C1249" s="1" t="n">
        <v>45761</v>
      </c>
      <c r="D1249" t="inlineStr">
        <is>
          <t>SÖDERMANLANDS LÄN</t>
        </is>
      </c>
      <c r="E1249" t="inlineStr">
        <is>
          <t>FLEN</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65575-2019</t>
        </is>
      </c>
      <c r="B1250" s="1" t="n">
        <v>43803</v>
      </c>
      <c r="C1250" s="1" t="n">
        <v>45761</v>
      </c>
      <c r="D1250" t="inlineStr">
        <is>
          <t>SÖDERMANLANDS LÄN</t>
        </is>
      </c>
      <c r="E1250" t="inlineStr">
        <is>
          <t>GNESTA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65657-2019</t>
        </is>
      </c>
      <c r="B1251" s="1" t="n">
        <v>43804</v>
      </c>
      <c r="C1251" s="1" t="n">
        <v>45761</v>
      </c>
      <c r="D1251" t="inlineStr">
        <is>
          <t>SÖDERMANLANDS LÄN</t>
        </is>
      </c>
      <c r="E1251" t="inlineStr">
        <is>
          <t>ESKILSTUNA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65747-2019</t>
        </is>
      </c>
      <c r="B1252" s="1" t="n">
        <v>43804</v>
      </c>
      <c r="C1252" s="1" t="n">
        <v>45761</v>
      </c>
      <c r="D1252" t="inlineStr">
        <is>
          <t>SÖDERMANLANDS LÄN</t>
        </is>
      </c>
      <c r="E1252" t="inlineStr">
        <is>
          <t>ESKILSTUNA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65588-2019</t>
        </is>
      </c>
      <c r="B1253" s="1" t="n">
        <v>43804</v>
      </c>
      <c r="C1253" s="1" t="n">
        <v>45761</v>
      </c>
      <c r="D1253" t="inlineStr">
        <is>
          <t>SÖDERMANLANDS LÄN</t>
        </is>
      </c>
      <c r="E1253" t="inlineStr">
        <is>
          <t>NYKÖPING</t>
        </is>
      </c>
      <c r="F1253" t="inlineStr">
        <is>
          <t>Holmen skog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65766-2019</t>
        </is>
      </c>
      <c r="B1254" s="1" t="n">
        <v>43804</v>
      </c>
      <c r="C1254" s="1" t="n">
        <v>45761</v>
      </c>
      <c r="D1254" t="inlineStr">
        <is>
          <t>SÖDERMANLANDS LÄN</t>
        </is>
      </c>
      <c r="E1254" t="inlineStr">
        <is>
          <t>ESKILSTUNA</t>
        </is>
      </c>
      <c r="F1254" t="inlineStr">
        <is>
          <t>Kyrkan</t>
        </is>
      </c>
      <c r="G1254" t="n">
        <v>14.9</v>
      </c>
      <c r="H1254" t="n">
        <v>0</v>
      </c>
      <c r="I1254" t="n">
        <v>0</v>
      </c>
      <c r="J1254" t="n">
        <v>0</v>
      </c>
      <c r="K1254" t="n">
        <v>0</v>
      </c>
      <c r="L1254" t="n">
        <v>0</v>
      </c>
      <c r="M1254" t="n">
        <v>0</v>
      </c>
      <c r="N1254" t="n">
        <v>0</v>
      </c>
      <c r="O1254" t="n">
        <v>0</v>
      </c>
      <c r="P1254" t="n">
        <v>0</v>
      </c>
      <c r="Q1254" t="n">
        <v>0</v>
      </c>
      <c r="R1254" s="2" t="inlineStr"/>
    </row>
    <row r="1255" ht="15" customHeight="1">
      <c r="A1255" t="inlineStr">
        <is>
          <t>A 66876-2019</t>
        </is>
      </c>
      <c r="B1255" s="1" t="n">
        <v>43804</v>
      </c>
      <c r="C1255" s="1" t="n">
        <v>45761</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65773-2019</t>
        </is>
      </c>
      <c r="B1256" s="1" t="n">
        <v>43804</v>
      </c>
      <c r="C1256" s="1" t="n">
        <v>45761</v>
      </c>
      <c r="D1256" t="inlineStr">
        <is>
          <t>SÖDERMANLANDS LÄN</t>
        </is>
      </c>
      <c r="E1256" t="inlineStr">
        <is>
          <t>NYKÖPING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65680-2019</t>
        </is>
      </c>
      <c r="B1257" s="1" t="n">
        <v>43804</v>
      </c>
      <c r="C1257" s="1" t="n">
        <v>45761</v>
      </c>
      <c r="D1257" t="inlineStr">
        <is>
          <t>SÖDERMANLANDS LÄN</t>
        </is>
      </c>
      <c r="E1257" t="inlineStr">
        <is>
          <t>VINGÅKER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67164-2019</t>
        </is>
      </c>
      <c r="B1258" s="1" t="n">
        <v>43804</v>
      </c>
      <c r="C1258" s="1" t="n">
        <v>45761</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65961-2019</t>
        </is>
      </c>
      <c r="B1259" s="1" t="n">
        <v>43805</v>
      </c>
      <c r="C1259" s="1" t="n">
        <v>45761</v>
      </c>
      <c r="D1259" t="inlineStr">
        <is>
          <t>SÖDERMANLANDS LÄN</t>
        </is>
      </c>
      <c r="E1259" t="inlineStr">
        <is>
          <t>ESKILSTUNA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65978-2019</t>
        </is>
      </c>
      <c r="B1260" s="1" t="n">
        <v>43805</v>
      </c>
      <c r="C1260" s="1" t="n">
        <v>45761</v>
      </c>
      <c r="D1260" t="inlineStr">
        <is>
          <t>SÖDERMANLANDS LÄN</t>
        </is>
      </c>
      <c r="E1260" t="inlineStr">
        <is>
          <t>NYKÖPING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66901-2019</t>
        </is>
      </c>
      <c r="B1261" s="1" t="n">
        <v>43805</v>
      </c>
      <c r="C1261" s="1" t="n">
        <v>45761</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66226-2019</t>
        </is>
      </c>
      <c r="B1262" s="1" t="n">
        <v>43808</v>
      </c>
      <c r="C1262" s="1" t="n">
        <v>45761</v>
      </c>
      <c r="D1262" t="inlineStr">
        <is>
          <t>SÖDERMANLANDS LÄN</t>
        </is>
      </c>
      <c r="E1262" t="inlineStr">
        <is>
          <t>NYKÖPING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66285-2019</t>
        </is>
      </c>
      <c r="B1263" s="1" t="n">
        <v>43808</v>
      </c>
      <c r="C1263" s="1" t="n">
        <v>45761</v>
      </c>
      <c r="D1263" t="inlineStr">
        <is>
          <t>SÖDERMANLANDS LÄN</t>
        </is>
      </c>
      <c r="E1263" t="inlineStr">
        <is>
          <t>ESKILSTUNA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66363-2019</t>
        </is>
      </c>
      <c r="B1264" s="1" t="n">
        <v>43808</v>
      </c>
      <c r="C1264" s="1" t="n">
        <v>45761</v>
      </c>
      <c r="D1264" t="inlineStr">
        <is>
          <t>SÖDERMANLANDS LÄN</t>
        </is>
      </c>
      <c r="E1264" t="inlineStr">
        <is>
          <t>ESKILSTUNA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67320-2019</t>
        </is>
      </c>
      <c r="B1265" s="1" t="n">
        <v>43808</v>
      </c>
      <c r="C1265" s="1" t="n">
        <v>45761</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66360-2019</t>
        </is>
      </c>
      <c r="B1266" s="1" t="n">
        <v>43808</v>
      </c>
      <c r="C1266" s="1" t="n">
        <v>45761</v>
      </c>
      <c r="D1266" t="inlineStr">
        <is>
          <t>SÖDERMANLANDS LÄN</t>
        </is>
      </c>
      <c r="E1266" t="inlineStr">
        <is>
          <t>ESKILSTUNA</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67307-2019</t>
        </is>
      </c>
      <c r="B1267" s="1" t="n">
        <v>43808</v>
      </c>
      <c r="C1267" s="1" t="n">
        <v>45761</v>
      </c>
      <c r="D1267" t="inlineStr">
        <is>
          <t>SÖDERMANLANDS LÄN</t>
        </is>
      </c>
      <c r="E1267" t="inlineStr">
        <is>
          <t>ESKILSTUNA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66407-2019</t>
        </is>
      </c>
      <c r="B1268" s="1" t="n">
        <v>43809</v>
      </c>
      <c r="C1268" s="1" t="n">
        <v>45761</v>
      </c>
      <c r="D1268" t="inlineStr">
        <is>
          <t>SÖDERMANLANDS LÄN</t>
        </is>
      </c>
      <c r="E1268" t="inlineStr">
        <is>
          <t>KATRINEHOLM</t>
        </is>
      </c>
      <c r="F1268" t="inlineStr">
        <is>
          <t>Övriga Aktiebolag</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66587-2019</t>
        </is>
      </c>
      <c r="B1269" s="1" t="n">
        <v>43809</v>
      </c>
      <c r="C1269" s="1" t="n">
        <v>45761</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66647-2019</t>
        </is>
      </c>
      <c r="B1270" s="1" t="n">
        <v>43809</v>
      </c>
      <c r="C1270" s="1" t="n">
        <v>45761</v>
      </c>
      <c r="D1270" t="inlineStr">
        <is>
          <t>SÖDERMANLANDS LÄN</t>
        </is>
      </c>
      <c r="E1270" t="inlineStr">
        <is>
          <t>TROSA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66636-2019</t>
        </is>
      </c>
      <c r="B1271" s="1" t="n">
        <v>43809</v>
      </c>
      <c r="C1271" s="1" t="n">
        <v>45761</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66676-2019</t>
        </is>
      </c>
      <c r="B1272" s="1" t="n">
        <v>43809</v>
      </c>
      <c r="C1272" s="1" t="n">
        <v>45761</v>
      </c>
      <c r="D1272" t="inlineStr">
        <is>
          <t>SÖDERMANLANDS LÄN</t>
        </is>
      </c>
      <c r="E1272" t="inlineStr">
        <is>
          <t>NYKÖPING</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66686-2019</t>
        </is>
      </c>
      <c r="B1273" s="1" t="n">
        <v>43809</v>
      </c>
      <c r="C1273" s="1" t="n">
        <v>45761</v>
      </c>
      <c r="D1273" t="inlineStr">
        <is>
          <t>SÖDERMANLANDS LÄN</t>
        </is>
      </c>
      <c r="E1273" t="inlineStr">
        <is>
          <t>NYKÖPING</t>
        </is>
      </c>
      <c r="F1273" t="inlineStr">
        <is>
          <t>Holmen skog AB</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67661-2019</t>
        </is>
      </c>
      <c r="B1274" s="1" t="n">
        <v>43809</v>
      </c>
      <c r="C1274" s="1" t="n">
        <v>45761</v>
      </c>
      <c r="D1274" t="inlineStr">
        <is>
          <t>SÖDERMANLANDS LÄN</t>
        </is>
      </c>
      <c r="E1274" t="inlineStr">
        <is>
          <t>STRÄNGNÄS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66860-2019</t>
        </is>
      </c>
      <c r="B1275" s="1" t="n">
        <v>43810</v>
      </c>
      <c r="C1275" s="1" t="n">
        <v>45761</v>
      </c>
      <c r="D1275" t="inlineStr">
        <is>
          <t>SÖDERMANLANDS LÄN</t>
        </is>
      </c>
      <c r="E1275" t="inlineStr">
        <is>
          <t>KATRINEHOLM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66826-2019</t>
        </is>
      </c>
      <c r="B1276" s="1" t="n">
        <v>43810</v>
      </c>
      <c r="C1276" s="1" t="n">
        <v>45761</v>
      </c>
      <c r="D1276" t="inlineStr">
        <is>
          <t>SÖDERMANLANDS LÄN</t>
        </is>
      </c>
      <c r="E1276" t="inlineStr">
        <is>
          <t>KATRINEHOLM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66879-2019</t>
        </is>
      </c>
      <c r="B1277" s="1" t="n">
        <v>43810</v>
      </c>
      <c r="C1277" s="1" t="n">
        <v>45761</v>
      </c>
      <c r="D1277" t="inlineStr">
        <is>
          <t>SÖDERMANLANDS LÄN</t>
        </is>
      </c>
      <c r="E1277" t="inlineStr">
        <is>
          <t>KATRINEHOLM</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66790-2019</t>
        </is>
      </c>
      <c r="B1278" s="1" t="n">
        <v>43810</v>
      </c>
      <c r="C1278" s="1" t="n">
        <v>45761</v>
      </c>
      <c r="D1278" t="inlineStr">
        <is>
          <t>SÖDERMANLANDS LÄN</t>
        </is>
      </c>
      <c r="E1278" t="inlineStr">
        <is>
          <t>NYKÖPING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66821-2019</t>
        </is>
      </c>
      <c r="B1279" s="1" t="n">
        <v>43810</v>
      </c>
      <c r="C1279" s="1" t="n">
        <v>45761</v>
      </c>
      <c r="D1279" t="inlineStr">
        <is>
          <t>SÖDERMANLANDS LÄN</t>
        </is>
      </c>
      <c r="E1279" t="inlineStr">
        <is>
          <t>KATRINEHOLM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66851-2019</t>
        </is>
      </c>
      <c r="B1280" s="1" t="n">
        <v>43810</v>
      </c>
      <c r="C1280" s="1" t="n">
        <v>45761</v>
      </c>
      <c r="D1280" t="inlineStr">
        <is>
          <t>SÖDERMANLANDS LÄN</t>
        </is>
      </c>
      <c r="E1280" t="inlineStr">
        <is>
          <t>KATRINEHOLM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67405-2019</t>
        </is>
      </c>
      <c r="B1281" s="1" t="n">
        <v>43811</v>
      </c>
      <c r="C1281" s="1" t="n">
        <v>45761</v>
      </c>
      <c r="D1281" t="inlineStr">
        <is>
          <t>SÖDERMANLANDS LÄN</t>
        </is>
      </c>
      <c r="E1281" t="inlineStr">
        <is>
          <t>NYKÖPING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68476-2019</t>
        </is>
      </c>
      <c r="B1282" s="1" t="n">
        <v>43811</v>
      </c>
      <c r="C1282" s="1" t="n">
        <v>45761</v>
      </c>
      <c r="D1282" t="inlineStr">
        <is>
          <t>SÖDERMANLANDS LÄN</t>
        </is>
      </c>
      <c r="E1282" t="inlineStr">
        <is>
          <t>FLEN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67393-2019</t>
        </is>
      </c>
      <c r="B1283" s="1" t="n">
        <v>43811</v>
      </c>
      <c r="C1283" s="1" t="n">
        <v>45761</v>
      </c>
      <c r="D1283" t="inlineStr">
        <is>
          <t>SÖDERMANLANDS LÄN</t>
        </is>
      </c>
      <c r="E1283" t="inlineStr">
        <is>
          <t>NYKÖPING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68491-2019</t>
        </is>
      </c>
      <c r="B1284" s="1" t="n">
        <v>43811</v>
      </c>
      <c r="C1284" s="1" t="n">
        <v>45761</v>
      </c>
      <c r="D1284" t="inlineStr">
        <is>
          <t>SÖDERMANLANDS LÄN</t>
        </is>
      </c>
      <c r="E1284" t="inlineStr">
        <is>
          <t>FLEN</t>
        </is>
      </c>
      <c r="F1284" t="inlineStr">
        <is>
          <t>Övriga statliga verk och myndigheter</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68481-2019</t>
        </is>
      </c>
      <c r="B1285" s="1" t="n">
        <v>43811</v>
      </c>
      <c r="C1285" s="1" t="n">
        <v>45761</v>
      </c>
      <c r="D1285" t="inlineStr">
        <is>
          <t>SÖDERMANLANDS LÄN</t>
        </is>
      </c>
      <c r="E1285" t="inlineStr">
        <is>
          <t>FLEN</t>
        </is>
      </c>
      <c r="F1285" t="inlineStr">
        <is>
          <t>Övriga statliga verk och myndigheter</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67311-2019</t>
        </is>
      </c>
      <c r="B1286" s="1" t="n">
        <v>43812</v>
      </c>
      <c r="C1286" s="1" t="n">
        <v>45761</v>
      </c>
      <c r="D1286" t="inlineStr">
        <is>
          <t>SÖDERMANLANDS LÄN</t>
        </is>
      </c>
      <c r="E1286" t="inlineStr">
        <is>
          <t>ESKILSTUNA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67327-2019</t>
        </is>
      </c>
      <c r="B1287" s="1" t="n">
        <v>43812</v>
      </c>
      <c r="C1287" s="1" t="n">
        <v>45761</v>
      </c>
      <c r="D1287" t="inlineStr">
        <is>
          <t>SÖDERMANLANDS LÄN</t>
        </is>
      </c>
      <c r="E1287" t="inlineStr">
        <is>
          <t>ESKILSTUNA</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67306-2019</t>
        </is>
      </c>
      <c r="B1288" s="1" t="n">
        <v>43812</v>
      </c>
      <c r="C1288" s="1" t="n">
        <v>45761</v>
      </c>
      <c r="D1288" t="inlineStr">
        <is>
          <t>SÖDERMANLANDS LÄN</t>
        </is>
      </c>
      <c r="E1288" t="inlineStr">
        <is>
          <t>ESKILSTUNA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67321-2019</t>
        </is>
      </c>
      <c r="B1289" s="1" t="n">
        <v>43812</v>
      </c>
      <c r="C1289" s="1" t="n">
        <v>45761</v>
      </c>
      <c r="D1289" t="inlineStr">
        <is>
          <t>SÖDERMANLANDS LÄN</t>
        </is>
      </c>
      <c r="E1289" t="inlineStr">
        <is>
          <t>ESKILSTUNA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67270-2019</t>
        </is>
      </c>
      <c r="B1290" s="1" t="n">
        <v>43812</v>
      </c>
      <c r="C1290" s="1" t="n">
        <v>45761</v>
      </c>
      <c r="D1290" t="inlineStr">
        <is>
          <t>SÖDERMANLANDS LÄN</t>
        </is>
      </c>
      <c r="E1290" t="inlineStr">
        <is>
          <t>KATRINEHOLM</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67401-2019</t>
        </is>
      </c>
      <c r="B1291" s="1" t="n">
        <v>43812</v>
      </c>
      <c r="C1291" s="1" t="n">
        <v>45761</v>
      </c>
      <c r="D1291" t="inlineStr">
        <is>
          <t>SÖDERMANLANDS LÄN</t>
        </is>
      </c>
      <c r="E1291" t="inlineStr">
        <is>
          <t>STRÄNGNÄS</t>
        </is>
      </c>
      <c r="F1291" t="inlineStr">
        <is>
          <t>Övriga Aktiebolag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67340-2019</t>
        </is>
      </c>
      <c r="B1292" s="1" t="n">
        <v>43812</v>
      </c>
      <c r="C1292" s="1" t="n">
        <v>45761</v>
      </c>
      <c r="D1292" t="inlineStr">
        <is>
          <t>SÖDERMANLANDS LÄN</t>
        </is>
      </c>
      <c r="E1292" t="inlineStr">
        <is>
          <t>VINGÅKER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67955-2019</t>
        </is>
      </c>
      <c r="B1293" s="1" t="n">
        <v>43816</v>
      </c>
      <c r="C1293" s="1" t="n">
        <v>45761</v>
      </c>
      <c r="D1293" t="inlineStr">
        <is>
          <t>SÖDERMANLANDS LÄN</t>
        </is>
      </c>
      <c r="E1293" t="inlineStr">
        <is>
          <t>ESKILSTUNA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769-2020</t>
        </is>
      </c>
      <c r="B1294" s="1" t="n">
        <v>43817</v>
      </c>
      <c r="C1294" s="1" t="n">
        <v>45761</v>
      </c>
      <c r="D1294" t="inlineStr">
        <is>
          <t>SÖDERMANLANDS LÄN</t>
        </is>
      </c>
      <c r="E1294" t="inlineStr">
        <is>
          <t>VINGÅKER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859-2020</t>
        </is>
      </c>
      <c r="B1295" s="1" t="n">
        <v>43818</v>
      </c>
      <c r="C1295" s="1" t="n">
        <v>45761</v>
      </c>
      <c r="D1295" t="inlineStr">
        <is>
          <t>SÖDERMANLANDS LÄN</t>
        </is>
      </c>
      <c r="E1295" t="inlineStr">
        <is>
          <t>NYKÖPING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68651-2019</t>
        </is>
      </c>
      <c r="B1296" s="1" t="n">
        <v>43819</v>
      </c>
      <c r="C1296" s="1" t="n">
        <v>45761</v>
      </c>
      <c r="D1296" t="inlineStr">
        <is>
          <t>SÖDERMANLANDS LÄN</t>
        </is>
      </c>
      <c r="E1296" t="inlineStr">
        <is>
          <t>NYKÖPING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1367-2020</t>
        </is>
      </c>
      <c r="B1297" s="1" t="n">
        <v>43822</v>
      </c>
      <c r="C1297" s="1" t="n">
        <v>45761</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68976-2019</t>
        </is>
      </c>
      <c r="B1298" s="1" t="n">
        <v>43823</v>
      </c>
      <c r="C1298" s="1" t="n">
        <v>45761</v>
      </c>
      <c r="D1298" t="inlineStr">
        <is>
          <t>SÖDERMANLANDS LÄN</t>
        </is>
      </c>
      <c r="E1298" t="inlineStr">
        <is>
          <t>FLEN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68984-2019</t>
        </is>
      </c>
      <c r="B1299" s="1" t="n">
        <v>43825</v>
      </c>
      <c r="C1299" s="1" t="n">
        <v>45761</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82-2020</t>
        </is>
      </c>
      <c r="B1300" s="1" t="n">
        <v>43832</v>
      </c>
      <c r="C1300" s="1" t="n">
        <v>45761</v>
      </c>
      <c r="D1300" t="inlineStr">
        <is>
          <t>SÖDERMANLANDS LÄN</t>
        </is>
      </c>
      <c r="E1300" t="inlineStr">
        <is>
          <t>FLEN</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235-2020</t>
        </is>
      </c>
      <c r="B1301" s="1" t="n">
        <v>43834</v>
      </c>
      <c r="C1301" s="1" t="n">
        <v>45761</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236-2020</t>
        </is>
      </c>
      <c r="B1302" s="1" t="n">
        <v>43834</v>
      </c>
      <c r="C1302" s="1" t="n">
        <v>45761</v>
      </c>
      <c r="D1302" t="inlineStr">
        <is>
          <t>SÖDERMANLANDS LÄN</t>
        </is>
      </c>
      <c r="E1302" t="inlineStr">
        <is>
          <t>FLEN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520-2020</t>
        </is>
      </c>
      <c r="B1303" s="1" t="n">
        <v>43837</v>
      </c>
      <c r="C1303" s="1" t="n">
        <v>45761</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613-2020</t>
        </is>
      </c>
      <c r="B1304" s="1" t="n">
        <v>43838</v>
      </c>
      <c r="C1304" s="1" t="n">
        <v>45761</v>
      </c>
      <c r="D1304" t="inlineStr">
        <is>
          <t>SÖDERMANLANDS LÄN</t>
        </is>
      </c>
      <c r="E1304" t="inlineStr">
        <is>
          <t>NYKÖPING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883-2020</t>
        </is>
      </c>
      <c r="B1305" s="1" t="n">
        <v>43839</v>
      </c>
      <c r="C1305" s="1" t="n">
        <v>45761</v>
      </c>
      <c r="D1305" t="inlineStr">
        <is>
          <t>SÖDERMANLANDS LÄN</t>
        </is>
      </c>
      <c r="E1305" t="inlineStr">
        <is>
          <t>STRÄNGNÄS</t>
        </is>
      </c>
      <c r="F1305" t="inlineStr">
        <is>
          <t>Övriga statliga verk och myndigheter</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2048-2020</t>
        </is>
      </c>
      <c r="B1306" s="1" t="n">
        <v>43839</v>
      </c>
      <c r="C1306" s="1" t="n">
        <v>45761</v>
      </c>
      <c r="D1306" t="inlineStr">
        <is>
          <t>SÖDERMANLANDS LÄN</t>
        </is>
      </c>
      <c r="E1306" t="inlineStr">
        <is>
          <t>NYKÖPING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981-2020</t>
        </is>
      </c>
      <c r="B1307" s="1" t="n">
        <v>43839</v>
      </c>
      <c r="C1307" s="1" t="n">
        <v>45761</v>
      </c>
      <c r="D1307" t="inlineStr">
        <is>
          <t>SÖDERMANLANDS LÄN</t>
        </is>
      </c>
      <c r="E1307" t="inlineStr">
        <is>
          <t>NYKÖPING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1007-2020</t>
        </is>
      </c>
      <c r="B1308" s="1" t="n">
        <v>43839</v>
      </c>
      <c r="C1308" s="1" t="n">
        <v>45761</v>
      </c>
      <c r="D1308" t="inlineStr">
        <is>
          <t>SÖDERMANLANDS LÄN</t>
        </is>
      </c>
      <c r="E1308" t="inlineStr">
        <is>
          <t>FLEN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1283-2020</t>
        </is>
      </c>
      <c r="B1309" s="1" t="n">
        <v>43842</v>
      </c>
      <c r="C1309" s="1" t="n">
        <v>45761</v>
      </c>
      <c r="D1309" t="inlineStr">
        <is>
          <t>SÖDERMANLANDS LÄN</t>
        </is>
      </c>
      <c r="E1309" t="inlineStr">
        <is>
          <t>GNESTA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1720-2020</t>
        </is>
      </c>
      <c r="B1310" s="1" t="n">
        <v>43844</v>
      </c>
      <c r="C1310" s="1" t="n">
        <v>45761</v>
      </c>
      <c r="D1310" t="inlineStr">
        <is>
          <t>SÖDERMANLANDS LÄN</t>
        </is>
      </c>
      <c r="E1310" t="inlineStr">
        <is>
          <t>ESKILSTUNA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1879-2020</t>
        </is>
      </c>
      <c r="B1311" s="1" t="n">
        <v>43845</v>
      </c>
      <c r="C1311" s="1" t="n">
        <v>45761</v>
      </c>
      <c r="D1311" t="inlineStr">
        <is>
          <t>SÖDERMANLANDS LÄN</t>
        </is>
      </c>
      <c r="E1311" t="inlineStr">
        <is>
          <t>NYKÖPING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3687-2020</t>
        </is>
      </c>
      <c r="B1312" s="1" t="n">
        <v>43845</v>
      </c>
      <c r="C1312" s="1" t="n">
        <v>45761</v>
      </c>
      <c r="D1312" t="inlineStr">
        <is>
          <t>SÖDERMANLANDS LÄN</t>
        </is>
      </c>
      <c r="E1312" t="inlineStr">
        <is>
          <t>ESKILSTUNA</t>
        </is>
      </c>
      <c r="G1312" t="n">
        <v>17.8</v>
      </c>
      <c r="H1312" t="n">
        <v>0</v>
      </c>
      <c r="I1312" t="n">
        <v>0</v>
      </c>
      <c r="J1312" t="n">
        <v>0</v>
      </c>
      <c r="K1312" t="n">
        <v>0</v>
      </c>
      <c r="L1312" t="n">
        <v>0</v>
      </c>
      <c r="M1312" t="n">
        <v>0</v>
      </c>
      <c r="N1312" t="n">
        <v>0</v>
      </c>
      <c r="O1312" t="n">
        <v>0</v>
      </c>
      <c r="P1312" t="n">
        <v>0</v>
      </c>
      <c r="Q1312" t="n">
        <v>0</v>
      </c>
      <c r="R1312" s="2" t="inlineStr"/>
    </row>
    <row r="1313" ht="15" customHeight="1">
      <c r="A1313" t="inlineStr">
        <is>
          <t>A 2229-2020</t>
        </is>
      </c>
      <c r="B1313" s="1" t="n">
        <v>43846</v>
      </c>
      <c r="C1313" s="1" t="n">
        <v>45761</v>
      </c>
      <c r="D1313" t="inlineStr">
        <is>
          <t>SÖDERMANLANDS LÄN</t>
        </is>
      </c>
      <c r="E1313" t="inlineStr">
        <is>
          <t>VINGÅKER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4033-2020</t>
        </is>
      </c>
      <c r="B1314" s="1" t="n">
        <v>43846</v>
      </c>
      <c r="C1314" s="1" t="n">
        <v>45761</v>
      </c>
      <c r="D1314" t="inlineStr">
        <is>
          <t>SÖDERMANLANDS LÄN</t>
        </is>
      </c>
      <c r="E1314" t="inlineStr">
        <is>
          <t>FLEN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2319-2020</t>
        </is>
      </c>
      <c r="B1315" s="1" t="n">
        <v>43846</v>
      </c>
      <c r="C1315" s="1" t="n">
        <v>45761</v>
      </c>
      <c r="D1315" t="inlineStr">
        <is>
          <t>SÖDERMANLANDS LÄN</t>
        </is>
      </c>
      <c r="E1315" t="inlineStr">
        <is>
          <t>KATRINEHOLM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2113-2020</t>
        </is>
      </c>
      <c r="B1316" s="1" t="n">
        <v>43846</v>
      </c>
      <c r="C1316" s="1" t="n">
        <v>45761</v>
      </c>
      <c r="D1316" t="inlineStr">
        <is>
          <t>SÖDERMANLANDS LÄN</t>
        </is>
      </c>
      <c r="E1316" t="inlineStr">
        <is>
          <t>ESKILSTUNA</t>
        </is>
      </c>
      <c r="F1316" t="inlineStr">
        <is>
          <t>Kyrkan</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2385-2020</t>
        </is>
      </c>
      <c r="B1317" s="1" t="n">
        <v>43847</v>
      </c>
      <c r="C1317" s="1" t="n">
        <v>45761</v>
      </c>
      <c r="D1317" t="inlineStr">
        <is>
          <t>SÖDERMANLANDS LÄN</t>
        </is>
      </c>
      <c r="E1317" t="inlineStr">
        <is>
          <t>STRÄNGNÄS</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2411-2020</t>
        </is>
      </c>
      <c r="B1318" s="1" t="n">
        <v>43847</v>
      </c>
      <c r="C1318" s="1" t="n">
        <v>45761</v>
      </c>
      <c r="D1318" t="inlineStr">
        <is>
          <t>SÖDERMANLANDS LÄN</t>
        </is>
      </c>
      <c r="E1318" t="inlineStr">
        <is>
          <t>VINGÅKER</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2486-2020</t>
        </is>
      </c>
      <c r="B1319" s="1" t="n">
        <v>43847</v>
      </c>
      <c r="C1319" s="1" t="n">
        <v>45761</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2502-2020</t>
        </is>
      </c>
      <c r="B1320" s="1" t="n">
        <v>43847</v>
      </c>
      <c r="C1320" s="1" t="n">
        <v>45761</v>
      </c>
      <c r="D1320" t="inlineStr">
        <is>
          <t>SÖDERMANLANDS LÄN</t>
        </is>
      </c>
      <c r="E1320" t="inlineStr">
        <is>
          <t>ESKILSTUNA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2526-2020</t>
        </is>
      </c>
      <c r="B1321" s="1" t="n">
        <v>43847</v>
      </c>
      <c r="C1321" s="1" t="n">
        <v>45761</v>
      </c>
      <c r="D1321" t="inlineStr">
        <is>
          <t>SÖDERMANLANDS LÄN</t>
        </is>
      </c>
      <c r="E1321" t="inlineStr">
        <is>
          <t>STRÄNGNÄS</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2509-2020</t>
        </is>
      </c>
      <c r="B1322" s="1" t="n">
        <v>43847</v>
      </c>
      <c r="C1322" s="1" t="n">
        <v>45761</v>
      </c>
      <c r="D1322" t="inlineStr">
        <is>
          <t>SÖDERMANLANDS LÄN</t>
        </is>
      </c>
      <c r="E1322" t="inlineStr">
        <is>
          <t>ESKILSTUNA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2538-2020</t>
        </is>
      </c>
      <c r="B1323" s="1" t="n">
        <v>43847</v>
      </c>
      <c r="C1323" s="1" t="n">
        <v>45761</v>
      </c>
      <c r="D1323" t="inlineStr">
        <is>
          <t>SÖDERMANLANDS LÄN</t>
        </is>
      </c>
      <c r="E1323" t="inlineStr">
        <is>
          <t>FLEN</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3831-2020</t>
        </is>
      </c>
      <c r="B1324" s="1" t="n">
        <v>43847</v>
      </c>
      <c r="C1324" s="1" t="n">
        <v>45761</v>
      </c>
      <c r="D1324" t="inlineStr">
        <is>
          <t>SÖDERMANLANDS LÄN</t>
        </is>
      </c>
      <c r="E1324" t="inlineStr">
        <is>
          <t>FLEN</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2661-2020</t>
        </is>
      </c>
      <c r="B1325" s="1" t="n">
        <v>43848</v>
      </c>
      <c r="C1325" s="1" t="n">
        <v>45761</v>
      </c>
      <c r="D1325" t="inlineStr">
        <is>
          <t>SÖDERMANLANDS LÄN</t>
        </is>
      </c>
      <c r="E1325" t="inlineStr">
        <is>
          <t>ESKILSTUNA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2879-2020</t>
        </is>
      </c>
      <c r="B1326" s="1" t="n">
        <v>43850</v>
      </c>
      <c r="C1326" s="1" t="n">
        <v>45761</v>
      </c>
      <c r="D1326" t="inlineStr">
        <is>
          <t>SÖDERMANLANDS LÄN</t>
        </is>
      </c>
      <c r="E1326" t="inlineStr">
        <is>
          <t>ESKILSTUNA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2975-2020</t>
        </is>
      </c>
      <c r="B1327" s="1" t="n">
        <v>43850</v>
      </c>
      <c r="C1327" s="1" t="n">
        <v>45761</v>
      </c>
      <c r="D1327" t="inlineStr">
        <is>
          <t>SÖDERMANLANDS LÄN</t>
        </is>
      </c>
      <c r="E1327" t="inlineStr">
        <is>
          <t>ESKILSTUNA</t>
        </is>
      </c>
      <c r="F1327" t="inlineStr">
        <is>
          <t>Kyrkan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3931-2020</t>
        </is>
      </c>
      <c r="B1328" s="1" t="n">
        <v>43851</v>
      </c>
      <c r="C1328" s="1" t="n">
        <v>45761</v>
      </c>
      <c r="D1328" t="inlineStr">
        <is>
          <t>SÖDERMANLANDS LÄN</t>
        </is>
      </c>
      <c r="E1328" t="inlineStr">
        <is>
          <t>ESKILSTUNA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3360-2020</t>
        </is>
      </c>
      <c r="B1329" s="1" t="n">
        <v>43852</v>
      </c>
      <c r="C1329" s="1" t="n">
        <v>45761</v>
      </c>
      <c r="D1329" t="inlineStr">
        <is>
          <t>SÖDERMANLANDS LÄN</t>
        </is>
      </c>
      <c r="E1329" t="inlineStr">
        <is>
          <t>VINGÅKER</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4805-2020</t>
        </is>
      </c>
      <c r="B1330" s="1" t="n">
        <v>43852</v>
      </c>
      <c r="C1330" s="1" t="n">
        <v>45761</v>
      </c>
      <c r="D1330" t="inlineStr">
        <is>
          <t>SÖDERMANLANDS LÄN</t>
        </is>
      </c>
      <c r="E1330" t="inlineStr">
        <is>
          <t>ESKILSTUNA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4845-2020</t>
        </is>
      </c>
      <c r="B1331" s="1" t="n">
        <v>43852</v>
      </c>
      <c r="C1331" s="1" t="n">
        <v>45761</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3667-2020</t>
        </is>
      </c>
      <c r="B1332" s="1" t="n">
        <v>43853</v>
      </c>
      <c r="C1332" s="1" t="n">
        <v>45761</v>
      </c>
      <c r="D1332" t="inlineStr">
        <is>
          <t>SÖDERMANLANDS LÄN</t>
        </is>
      </c>
      <c r="E1332" t="inlineStr">
        <is>
          <t>ESKILSTUNA</t>
        </is>
      </c>
      <c r="G1332" t="n">
        <v>50</v>
      </c>
      <c r="H1332" t="n">
        <v>0</v>
      </c>
      <c r="I1332" t="n">
        <v>0</v>
      </c>
      <c r="J1332" t="n">
        <v>0</v>
      </c>
      <c r="K1332" t="n">
        <v>0</v>
      </c>
      <c r="L1332" t="n">
        <v>0</v>
      </c>
      <c r="M1332" t="n">
        <v>0</v>
      </c>
      <c r="N1332" t="n">
        <v>0</v>
      </c>
      <c r="O1332" t="n">
        <v>0</v>
      </c>
      <c r="P1332" t="n">
        <v>0</v>
      </c>
      <c r="Q1332" t="n">
        <v>0</v>
      </c>
      <c r="R1332" s="2" t="inlineStr"/>
    </row>
    <row r="1333" ht="15" customHeight="1">
      <c r="A1333" t="inlineStr">
        <is>
          <t>A 3718-2020</t>
        </is>
      </c>
      <c r="B1333" s="1" t="n">
        <v>43853</v>
      </c>
      <c r="C1333" s="1" t="n">
        <v>45761</v>
      </c>
      <c r="D1333" t="inlineStr">
        <is>
          <t>SÖDERMANLANDS LÄN</t>
        </is>
      </c>
      <c r="E1333" t="inlineStr">
        <is>
          <t>ESKILSTUNA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3540-2020</t>
        </is>
      </c>
      <c r="B1334" s="1" t="n">
        <v>43853</v>
      </c>
      <c r="C1334" s="1" t="n">
        <v>45761</v>
      </c>
      <c r="D1334" t="inlineStr">
        <is>
          <t>SÖDERMANLANDS LÄN</t>
        </is>
      </c>
      <c r="E1334" t="inlineStr">
        <is>
          <t>KATRINEHOLM</t>
        </is>
      </c>
      <c r="G1334" t="n">
        <v>11.7</v>
      </c>
      <c r="H1334" t="n">
        <v>0</v>
      </c>
      <c r="I1334" t="n">
        <v>0</v>
      </c>
      <c r="J1334" t="n">
        <v>0</v>
      </c>
      <c r="K1334" t="n">
        <v>0</v>
      </c>
      <c r="L1334" t="n">
        <v>0</v>
      </c>
      <c r="M1334" t="n">
        <v>0</v>
      </c>
      <c r="N1334" t="n">
        <v>0</v>
      </c>
      <c r="O1334" t="n">
        <v>0</v>
      </c>
      <c r="P1334" t="n">
        <v>0</v>
      </c>
      <c r="Q1334" t="n">
        <v>0</v>
      </c>
      <c r="R1334" s="2" t="inlineStr"/>
    </row>
    <row r="1335" ht="15" customHeight="1">
      <c r="A1335" t="inlineStr">
        <is>
          <t>A 3571-2020</t>
        </is>
      </c>
      <c r="B1335" s="1" t="n">
        <v>43853</v>
      </c>
      <c r="C1335" s="1" t="n">
        <v>45761</v>
      </c>
      <c r="D1335" t="inlineStr">
        <is>
          <t>SÖDERMANLANDS LÄN</t>
        </is>
      </c>
      <c r="E1335" t="inlineStr">
        <is>
          <t>KATRINEHOLM</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3619-2020</t>
        </is>
      </c>
      <c r="B1336" s="1" t="n">
        <v>43853</v>
      </c>
      <c r="C1336" s="1" t="n">
        <v>45761</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3963-2020</t>
        </is>
      </c>
      <c r="B1337" s="1" t="n">
        <v>43854</v>
      </c>
      <c r="C1337" s="1" t="n">
        <v>45761</v>
      </c>
      <c r="D1337" t="inlineStr">
        <is>
          <t>SÖDERMANLANDS LÄN</t>
        </is>
      </c>
      <c r="E1337" t="inlineStr">
        <is>
          <t>VINGÅKER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3987-2020</t>
        </is>
      </c>
      <c r="B1338" s="1" t="n">
        <v>43855</v>
      </c>
      <c r="C1338" s="1" t="n">
        <v>45761</v>
      </c>
      <c r="D1338" t="inlineStr">
        <is>
          <t>SÖDERMANLANDS LÄN</t>
        </is>
      </c>
      <c r="E1338" t="inlineStr">
        <is>
          <t>NYKÖPING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4092-2020</t>
        </is>
      </c>
      <c r="B1339" s="1" t="n">
        <v>43857</v>
      </c>
      <c r="C1339" s="1" t="n">
        <v>45761</v>
      </c>
      <c r="D1339" t="inlineStr">
        <is>
          <t>SÖDERMANLANDS LÄN</t>
        </is>
      </c>
      <c r="E1339" t="inlineStr">
        <is>
          <t>FLEN</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4139-2020</t>
        </is>
      </c>
      <c r="B1340" s="1" t="n">
        <v>43857</v>
      </c>
      <c r="C1340" s="1" t="n">
        <v>45761</v>
      </c>
      <c r="D1340" t="inlineStr">
        <is>
          <t>SÖDERMANLANDS LÄN</t>
        </is>
      </c>
      <c r="E1340" t="inlineStr">
        <is>
          <t>STRÄNGNÄS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4187-2020</t>
        </is>
      </c>
      <c r="B1341" s="1" t="n">
        <v>43857</v>
      </c>
      <c r="C1341" s="1" t="n">
        <v>45761</v>
      </c>
      <c r="D1341" t="inlineStr">
        <is>
          <t>SÖDERMANLANDS LÄN</t>
        </is>
      </c>
      <c r="E1341" t="inlineStr">
        <is>
          <t>NYKÖPING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4354-2020</t>
        </is>
      </c>
      <c r="B1342" s="1" t="n">
        <v>43857</v>
      </c>
      <c r="C1342" s="1" t="n">
        <v>45761</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4357-2020</t>
        </is>
      </c>
      <c r="B1343" s="1" t="n">
        <v>43857</v>
      </c>
      <c r="C1343" s="1" t="n">
        <v>45761</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4355-2020</t>
        </is>
      </c>
      <c r="B1344" s="1" t="n">
        <v>43857</v>
      </c>
      <c r="C1344" s="1" t="n">
        <v>45761</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5429-2020</t>
        </is>
      </c>
      <c r="B1345" s="1" t="n">
        <v>43858</v>
      </c>
      <c r="C1345" s="1" t="n">
        <v>45761</v>
      </c>
      <c r="D1345" t="inlineStr">
        <is>
          <t>SÖDERMANLANDS LÄN</t>
        </is>
      </c>
      <c r="E1345" t="inlineStr">
        <is>
          <t>STRÄNGNÄS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4869-2020</t>
        </is>
      </c>
      <c r="B1346" s="1" t="n">
        <v>43859</v>
      </c>
      <c r="C1346" s="1" t="n">
        <v>45761</v>
      </c>
      <c r="D1346" t="inlineStr">
        <is>
          <t>SÖDERMANLANDS LÄN</t>
        </is>
      </c>
      <c r="E1346" t="inlineStr">
        <is>
          <t>TROSA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4848-2020</t>
        </is>
      </c>
      <c r="B1347" s="1" t="n">
        <v>43859</v>
      </c>
      <c r="C1347" s="1" t="n">
        <v>45761</v>
      </c>
      <c r="D1347" t="inlineStr">
        <is>
          <t>SÖDERMANLANDS LÄN</t>
        </is>
      </c>
      <c r="E1347" t="inlineStr">
        <is>
          <t>TROSA</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5438-2020</t>
        </is>
      </c>
      <c r="B1348" s="1" t="n">
        <v>43859</v>
      </c>
      <c r="C1348" s="1" t="n">
        <v>45761</v>
      </c>
      <c r="D1348" t="inlineStr">
        <is>
          <t>SÖDERMANLANDS LÄN</t>
        </is>
      </c>
      <c r="E1348" t="inlineStr">
        <is>
          <t>STRÄNGNÄS</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5258-2020</t>
        </is>
      </c>
      <c r="B1349" s="1" t="n">
        <v>43860</v>
      </c>
      <c r="C1349" s="1" t="n">
        <v>45761</v>
      </c>
      <c r="D1349" t="inlineStr">
        <is>
          <t>SÖDERMANLANDS LÄN</t>
        </is>
      </c>
      <c r="E1349" t="inlineStr">
        <is>
          <t>ESKILSTUNA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5646-2020</t>
        </is>
      </c>
      <c r="B1350" s="1" t="n">
        <v>43860</v>
      </c>
      <c r="C1350" s="1" t="n">
        <v>45761</v>
      </c>
      <c r="D1350" t="inlineStr">
        <is>
          <t>SÖDERMANLANDS LÄN</t>
        </is>
      </c>
      <c r="E1350" t="inlineStr">
        <is>
          <t>STRÄNGNÄS</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5643-2020</t>
        </is>
      </c>
      <c r="B1351" s="1" t="n">
        <v>43860</v>
      </c>
      <c r="C1351" s="1" t="n">
        <v>45761</v>
      </c>
      <c r="D1351" t="inlineStr">
        <is>
          <t>SÖDERMANLANDS LÄN</t>
        </is>
      </c>
      <c r="E1351" t="inlineStr">
        <is>
          <t>STRÄNGNÄS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5299-2020</t>
        </is>
      </c>
      <c r="B1352" s="1" t="n">
        <v>43860</v>
      </c>
      <c r="C1352" s="1" t="n">
        <v>45761</v>
      </c>
      <c r="D1352" t="inlineStr">
        <is>
          <t>SÖDERMANLANDS LÄN</t>
        </is>
      </c>
      <c r="E1352" t="inlineStr">
        <is>
          <t>NYKÖPING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5700-2020</t>
        </is>
      </c>
      <c r="B1353" s="1" t="n">
        <v>43861</v>
      </c>
      <c r="C1353" s="1" t="n">
        <v>45761</v>
      </c>
      <c r="D1353" t="inlineStr">
        <is>
          <t>SÖDERMANLANDS LÄN</t>
        </is>
      </c>
      <c r="E1353" t="inlineStr">
        <is>
          <t>ESKILSTUNA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5719-2020</t>
        </is>
      </c>
      <c r="B1354" s="1" t="n">
        <v>43862</v>
      </c>
      <c r="C1354" s="1" t="n">
        <v>45761</v>
      </c>
      <c r="D1354" t="inlineStr">
        <is>
          <t>SÖDERMANLANDS LÄN</t>
        </is>
      </c>
      <c r="E1354" t="inlineStr">
        <is>
          <t>ESKILSTUNA</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5819-2020</t>
        </is>
      </c>
      <c r="B1355" s="1" t="n">
        <v>43864</v>
      </c>
      <c r="C1355" s="1" t="n">
        <v>45761</v>
      </c>
      <c r="D1355" t="inlineStr">
        <is>
          <t>SÖDERMANLANDS LÄN</t>
        </is>
      </c>
      <c r="E1355" t="inlineStr">
        <is>
          <t>NYKÖPING</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5777-2020</t>
        </is>
      </c>
      <c r="B1356" s="1" t="n">
        <v>43864</v>
      </c>
      <c r="C1356" s="1" t="n">
        <v>45761</v>
      </c>
      <c r="D1356" t="inlineStr">
        <is>
          <t>SÖDERMANLANDS LÄN</t>
        </is>
      </c>
      <c r="E1356" t="inlineStr">
        <is>
          <t>FLEN</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5816-2020</t>
        </is>
      </c>
      <c r="B1357" s="1" t="n">
        <v>43864</v>
      </c>
      <c r="C1357" s="1" t="n">
        <v>45761</v>
      </c>
      <c r="D1357" t="inlineStr">
        <is>
          <t>SÖDERMANLANDS LÄN</t>
        </is>
      </c>
      <c r="E1357" t="inlineStr">
        <is>
          <t>NYKÖPING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5803-2020</t>
        </is>
      </c>
      <c r="B1358" s="1" t="n">
        <v>43864</v>
      </c>
      <c r="C1358" s="1" t="n">
        <v>45761</v>
      </c>
      <c r="D1358" t="inlineStr">
        <is>
          <t>SÖDERMANLANDS LÄN</t>
        </is>
      </c>
      <c r="E1358" t="inlineStr">
        <is>
          <t>TROSA</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6171-2020</t>
        </is>
      </c>
      <c r="B1359" s="1" t="n">
        <v>43865</v>
      </c>
      <c r="C1359" s="1" t="n">
        <v>45761</v>
      </c>
      <c r="D1359" t="inlineStr">
        <is>
          <t>SÖDERMANLANDS LÄN</t>
        </is>
      </c>
      <c r="E1359" t="inlineStr">
        <is>
          <t>STRÄNGNÄS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6220-2020</t>
        </is>
      </c>
      <c r="B1360" s="1" t="n">
        <v>43865</v>
      </c>
      <c r="C1360" s="1" t="n">
        <v>45761</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6175-2020</t>
        </is>
      </c>
      <c r="B1361" s="1" t="n">
        <v>43865</v>
      </c>
      <c r="C1361" s="1" t="n">
        <v>45761</v>
      </c>
      <c r="D1361" t="inlineStr">
        <is>
          <t>SÖDERMANLANDS LÄN</t>
        </is>
      </c>
      <c r="E1361" t="inlineStr">
        <is>
          <t>KATRINEHOLM</t>
        </is>
      </c>
      <c r="F1361" t="inlineStr">
        <is>
          <t>Holmen skog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6049-2020</t>
        </is>
      </c>
      <c r="B1362" s="1" t="n">
        <v>43865</v>
      </c>
      <c r="C1362" s="1" t="n">
        <v>45761</v>
      </c>
      <c r="D1362" t="inlineStr">
        <is>
          <t>SÖDERMANLANDS LÄN</t>
        </is>
      </c>
      <c r="E1362" t="inlineStr">
        <is>
          <t>TROSA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6302-2020</t>
        </is>
      </c>
      <c r="B1363" s="1" t="n">
        <v>43866</v>
      </c>
      <c r="C1363" s="1" t="n">
        <v>45761</v>
      </c>
      <c r="D1363" t="inlineStr">
        <is>
          <t>SÖDERMANLANDS LÄN</t>
        </is>
      </c>
      <c r="E1363" t="inlineStr">
        <is>
          <t>VINGÅKER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6348-2020</t>
        </is>
      </c>
      <c r="B1364" s="1" t="n">
        <v>43866</v>
      </c>
      <c r="C1364" s="1" t="n">
        <v>45761</v>
      </c>
      <c r="D1364" t="inlineStr">
        <is>
          <t>SÖDERMANLANDS LÄN</t>
        </is>
      </c>
      <c r="E1364" t="inlineStr">
        <is>
          <t>VINGÅKER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6412-2020</t>
        </is>
      </c>
      <c r="B1365" s="1" t="n">
        <v>43866</v>
      </c>
      <c r="C1365" s="1" t="n">
        <v>45761</v>
      </c>
      <c r="D1365" t="inlineStr">
        <is>
          <t>SÖDERMANLANDS LÄN</t>
        </is>
      </c>
      <c r="E1365" t="inlineStr">
        <is>
          <t>VINGÅKER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6439-2020</t>
        </is>
      </c>
      <c r="B1366" s="1" t="n">
        <v>43866</v>
      </c>
      <c r="C1366" s="1" t="n">
        <v>45761</v>
      </c>
      <c r="D1366" t="inlineStr">
        <is>
          <t>SÖDERMANLANDS LÄN</t>
        </is>
      </c>
      <c r="E1366" t="inlineStr">
        <is>
          <t>ESKILSTUNA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6455-2020</t>
        </is>
      </c>
      <c r="B1367" s="1" t="n">
        <v>43866</v>
      </c>
      <c r="C1367" s="1" t="n">
        <v>45761</v>
      </c>
      <c r="D1367" t="inlineStr">
        <is>
          <t>SÖDERMANLANDS LÄN</t>
        </is>
      </c>
      <c r="E1367" t="inlineStr">
        <is>
          <t>KATRINEHOLM</t>
        </is>
      </c>
      <c r="F1367" t="inlineStr">
        <is>
          <t>Allmännings- och besparingsskogar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6740-2020</t>
        </is>
      </c>
      <c r="B1368" s="1" t="n">
        <v>43866</v>
      </c>
      <c r="C1368" s="1" t="n">
        <v>45761</v>
      </c>
      <c r="D1368" t="inlineStr">
        <is>
          <t>SÖDERMANLANDS LÄN</t>
        </is>
      </c>
      <c r="E1368" t="inlineStr">
        <is>
          <t>KATRINEHOLM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6679-2020</t>
        </is>
      </c>
      <c r="B1369" s="1" t="n">
        <v>43867</v>
      </c>
      <c r="C1369" s="1" t="n">
        <v>45761</v>
      </c>
      <c r="D1369" t="inlineStr">
        <is>
          <t>SÖDERMANLANDS LÄN</t>
        </is>
      </c>
      <c r="E1369" t="inlineStr">
        <is>
          <t>KATRINEHOLM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6773-2020</t>
        </is>
      </c>
      <c r="B1370" s="1" t="n">
        <v>43867</v>
      </c>
      <c r="C1370" s="1" t="n">
        <v>45761</v>
      </c>
      <c r="D1370" t="inlineStr">
        <is>
          <t>SÖDERMANLANDS LÄN</t>
        </is>
      </c>
      <c r="E1370" t="inlineStr">
        <is>
          <t>NYKÖPING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7041-2020</t>
        </is>
      </c>
      <c r="B1371" s="1" t="n">
        <v>43868</v>
      </c>
      <c r="C1371" s="1" t="n">
        <v>45761</v>
      </c>
      <c r="D1371" t="inlineStr">
        <is>
          <t>SÖDERMANLANDS LÄN</t>
        </is>
      </c>
      <c r="E1371" t="inlineStr">
        <is>
          <t>VINGÅKER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7057-2020</t>
        </is>
      </c>
      <c r="B1372" s="1" t="n">
        <v>43868</v>
      </c>
      <c r="C1372" s="1" t="n">
        <v>45761</v>
      </c>
      <c r="D1372" t="inlineStr">
        <is>
          <t>SÖDERMANLANDS LÄN</t>
        </is>
      </c>
      <c r="E1372" t="inlineStr">
        <is>
          <t>NYKÖPING</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7131-2020</t>
        </is>
      </c>
      <c r="B1373" s="1" t="n">
        <v>43868</v>
      </c>
      <c r="C1373" s="1" t="n">
        <v>45761</v>
      </c>
      <c r="D1373" t="inlineStr">
        <is>
          <t>SÖDERMANLANDS LÄN</t>
        </is>
      </c>
      <c r="E1373" t="inlineStr">
        <is>
          <t>GNESTA</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7050-2020</t>
        </is>
      </c>
      <c r="B1374" s="1" t="n">
        <v>43868</v>
      </c>
      <c r="C1374" s="1" t="n">
        <v>45761</v>
      </c>
      <c r="D1374" t="inlineStr">
        <is>
          <t>SÖDERMANLANDS LÄN</t>
        </is>
      </c>
      <c r="E1374" t="inlineStr">
        <is>
          <t>NYKÖPING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7352-2020</t>
        </is>
      </c>
      <c r="B1375" s="1" t="n">
        <v>43871</v>
      </c>
      <c r="C1375" s="1" t="n">
        <v>45761</v>
      </c>
      <c r="D1375" t="inlineStr">
        <is>
          <t>SÖDERMANLANDS LÄN</t>
        </is>
      </c>
      <c r="E1375" t="inlineStr">
        <is>
          <t>KATRINEHOLM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7576-2020</t>
        </is>
      </c>
      <c r="B1376" s="1" t="n">
        <v>43871</v>
      </c>
      <c r="C1376" s="1" t="n">
        <v>45761</v>
      </c>
      <c r="D1376" t="inlineStr">
        <is>
          <t>SÖDERMANLANDS LÄN</t>
        </is>
      </c>
      <c r="E1376" t="inlineStr">
        <is>
          <t>VINGÅKER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7572-2020</t>
        </is>
      </c>
      <c r="B1377" s="1" t="n">
        <v>43871</v>
      </c>
      <c r="C1377" s="1" t="n">
        <v>45761</v>
      </c>
      <c r="D1377" t="inlineStr">
        <is>
          <t>SÖDERMANLANDS LÄN</t>
        </is>
      </c>
      <c r="E1377" t="inlineStr">
        <is>
          <t>VINGÅKER</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7623-2020</t>
        </is>
      </c>
      <c r="B1378" s="1" t="n">
        <v>43872</v>
      </c>
      <c r="C1378" s="1" t="n">
        <v>45761</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7629-2020</t>
        </is>
      </c>
      <c r="B1379" s="1" t="n">
        <v>43872</v>
      </c>
      <c r="C1379" s="1" t="n">
        <v>45761</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7773-2020</t>
        </is>
      </c>
      <c r="B1380" s="1" t="n">
        <v>43872</v>
      </c>
      <c r="C1380" s="1" t="n">
        <v>45761</v>
      </c>
      <c r="D1380" t="inlineStr">
        <is>
          <t>SÖDERMANLANDS LÄN</t>
        </is>
      </c>
      <c r="E1380" t="inlineStr">
        <is>
          <t>VINGÅKER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7747-2020</t>
        </is>
      </c>
      <c r="B1381" s="1" t="n">
        <v>43872</v>
      </c>
      <c r="C1381" s="1" t="n">
        <v>45761</v>
      </c>
      <c r="D1381" t="inlineStr">
        <is>
          <t>SÖDERMANLANDS LÄN</t>
        </is>
      </c>
      <c r="E1381" t="inlineStr">
        <is>
          <t>FLEN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7932-2020</t>
        </is>
      </c>
      <c r="B1382" s="1" t="n">
        <v>43873</v>
      </c>
      <c r="C1382" s="1" t="n">
        <v>45761</v>
      </c>
      <c r="D1382" t="inlineStr">
        <is>
          <t>SÖDERMANLANDS LÄN</t>
        </is>
      </c>
      <c r="E1382" t="inlineStr">
        <is>
          <t>NYKÖPING</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7941-2020</t>
        </is>
      </c>
      <c r="B1383" s="1" t="n">
        <v>43873</v>
      </c>
      <c r="C1383" s="1" t="n">
        <v>45761</v>
      </c>
      <c r="D1383" t="inlineStr">
        <is>
          <t>SÖDERMANLANDS LÄN</t>
        </is>
      </c>
      <c r="E1383" t="inlineStr">
        <is>
          <t>FLEN</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8169-2020</t>
        </is>
      </c>
      <c r="B1384" s="1" t="n">
        <v>43874</v>
      </c>
      <c r="C1384" s="1" t="n">
        <v>45761</v>
      </c>
      <c r="D1384" t="inlineStr">
        <is>
          <t>SÖDERMANLANDS LÄN</t>
        </is>
      </c>
      <c r="E1384" t="inlineStr">
        <is>
          <t>NYKÖPING</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8239-2020</t>
        </is>
      </c>
      <c r="B1385" s="1" t="n">
        <v>43874</v>
      </c>
      <c r="C1385" s="1" t="n">
        <v>45761</v>
      </c>
      <c r="D1385" t="inlineStr">
        <is>
          <t>SÖDERMANLANDS LÄN</t>
        </is>
      </c>
      <c r="E1385" t="inlineStr">
        <is>
          <t>NYKÖPING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8571-2020</t>
        </is>
      </c>
      <c r="B1386" s="1" t="n">
        <v>43875</v>
      </c>
      <c r="C1386" s="1" t="n">
        <v>45761</v>
      </c>
      <c r="D1386" t="inlineStr">
        <is>
          <t>SÖDERMANLANDS LÄN</t>
        </is>
      </c>
      <c r="E1386" t="inlineStr">
        <is>
          <t>KATRINEHOLM</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8549-2020</t>
        </is>
      </c>
      <c r="B1387" s="1" t="n">
        <v>43877</v>
      </c>
      <c r="C1387" s="1" t="n">
        <v>45761</v>
      </c>
      <c r="D1387" t="inlineStr">
        <is>
          <t>SÖDERMANLANDS LÄN</t>
        </is>
      </c>
      <c r="E1387" t="inlineStr">
        <is>
          <t>KATRINEHOLM</t>
        </is>
      </c>
      <c r="F1387" t="inlineStr">
        <is>
          <t>Allmännings- och besparingsskogar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8833-2020</t>
        </is>
      </c>
      <c r="B1388" s="1" t="n">
        <v>43878</v>
      </c>
      <c r="C1388" s="1" t="n">
        <v>45761</v>
      </c>
      <c r="D1388" t="inlineStr">
        <is>
          <t>SÖDERMANLANDS LÄN</t>
        </is>
      </c>
      <c r="E1388" t="inlineStr">
        <is>
          <t>KATRINEHOLM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9217-2020</t>
        </is>
      </c>
      <c r="B1389" s="1" t="n">
        <v>43879</v>
      </c>
      <c r="C1389" s="1" t="n">
        <v>45761</v>
      </c>
      <c r="D1389" t="inlineStr">
        <is>
          <t>SÖDERMANLANDS LÄN</t>
        </is>
      </c>
      <c r="E1389" t="inlineStr">
        <is>
          <t>NYKÖPING</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9253-2020</t>
        </is>
      </c>
      <c r="B1390" s="1" t="n">
        <v>43879</v>
      </c>
      <c r="C1390" s="1" t="n">
        <v>45761</v>
      </c>
      <c r="D1390" t="inlineStr">
        <is>
          <t>SÖDERMANLANDS LÄN</t>
        </is>
      </c>
      <c r="E1390" t="inlineStr">
        <is>
          <t>NYKÖPING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9252-2020</t>
        </is>
      </c>
      <c r="B1391" s="1" t="n">
        <v>43879</v>
      </c>
      <c r="C1391" s="1" t="n">
        <v>45761</v>
      </c>
      <c r="D1391" t="inlineStr">
        <is>
          <t>SÖDERMANLANDS LÄN</t>
        </is>
      </c>
      <c r="E1391" t="inlineStr">
        <is>
          <t>NYKÖPING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9258-2020</t>
        </is>
      </c>
      <c r="B1392" s="1" t="n">
        <v>43879</v>
      </c>
      <c r="C1392" s="1" t="n">
        <v>45761</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9251-2020</t>
        </is>
      </c>
      <c r="B1393" s="1" t="n">
        <v>43879</v>
      </c>
      <c r="C1393" s="1" t="n">
        <v>45761</v>
      </c>
      <c r="D1393" t="inlineStr">
        <is>
          <t>SÖDERMANLANDS LÄN</t>
        </is>
      </c>
      <c r="E1393" t="inlineStr">
        <is>
          <t>NYKÖPING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9247-2020</t>
        </is>
      </c>
      <c r="B1394" s="1" t="n">
        <v>43879</v>
      </c>
      <c r="C1394" s="1" t="n">
        <v>45761</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9256-2020</t>
        </is>
      </c>
      <c r="B1395" s="1" t="n">
        <v>43879</v>
      </c>
      <c r="C1395" s="1" t="n">
        <v>45761</v>
      </c>
      <c r="D1395" t="inlineStr">
        <is>
          <t>SÖDERMANLANDS LÄN</t>
        </is>
      </c>
      <c r="E1395" t="inlineStr">
        <is>
          <t>KATRINEHOLM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9224-2020</t>
        </is>
      </c>
      <c r="B1396" s="1" t="n">
        <v>43879</v>
      </c>
      <c r="C1396" s="1" t="n">
        <v>45761</v>
      </c>
      <c r="D1396" t="inlineStr">
        <is>
          <t>SÖDERMANLANDS LÄN</t>
        </is>
      </c>
      <c r="E1396" t="inlineStr">
        <is>
          <t>GNESTA</t>
        </is>
      </c>
      <c r="F1396" t="inlineStr">
        <is>
          <t>Övriga Aktiebolag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9418-2020</t>
        </is>
      </c>
      <c r="B1397" s="1" t="n">
        <v>43880</v>
      </c>
      <c r="C1397" s="1" t="n">
        <v>45761</v>
      </c>
      <c r="D1397" t="inlineStr">
        <is>
          <t>SÖDERMANLANDS LÄN</t>
        </is>
      </c>
      <c r="E1397" t="inlineStr">
        <is>
          <t>STRÄNGNÄS</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9450-2020</t>
        </is>
      </c>
      <c r="B1398" s="1" t="n">
        <v>43880</v>
      </c>
      <c r="C1398" s="1" t="n">
        <v>45761</v>
      </c>
      <c r="D1398" t="inlineStr">
        <is>
          <t>SÖDERMANLANDS LÄN</t>
        </is>
      </c>
      <c r="E1398" t="inlineStr">
        <is>
          <t>VINGÅKER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9535-2020</t>
        </is>
      </c>
      <c r="B1399" s="1" t="n">
        <v>43881</v>
      </c>
      <c r="C1399" s="1" t="n">
        <v>45761</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9807-2020</t>
        </is>
      </c>
      <c r="B1400" s="1" t="n">
        <v>43881</v>
      </c>
      <c r="C1400" s="1" t="n">
        <v>45761</v>
      </c>
      <c r="D1400" t="inlineStr">
        <is>
          <t>SÖDERMANLANDS LÄN</t>
        </is>
      </c>
      <c r="E1400" t="inlineStr">
        <is>
          <t>VINGÅKER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9740-2020</t>
        </is>
      </c>
      <c r="B1401" s="1" t="n">
        <v>43881</v>
      </c>
      <c r="C1401" s="1" t="n">
        <v>45761</v>
      </c>
      <c r="D1401" t="inlineStr">
        <is>
          <t>SÖDERMANLANDS LÄN</t>
        </is>
      </c>
      <c r="E1401" t="inlineStr">
        <is>
          <t>FLEN</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9786-2020</t>
        </is>
      </c>
      <c r="B1402" s="1" t="n">
        <v>43881</v>
      </c>
      <c r="C1402" s="1" t="n">
        <v>45761</v>
      </c>
      <c r="D1402" t="inlineStr">
        <is>
          <t>SÖDERMANLANDS LÄN</t>
        </is>
      </c>
      <c r="E1402" t="inlineStr">
        <is>
          <t>KATRINEHOLM</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9909-2020</t>
        </is>
      </c>
      <c r="B1403" s="1" t="n">
        <v>43881</v>
      </c>
      <c r="C1403" s="1" t="n">
        <v>45761</v>
      </c>
      <c r="D1403" t="inlineStr">
        <is>
          <t>SÖDERMANLANDS LÄN</t>
        </is>
      </c>
      <c r="E1403" t="inlineStr">
        <is>
          <t>STRÄNGNÄS</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9978-2020</t>
        </is>
      </c>
      <c r="B1404" s="1" t="n">
        <v>43882</v>
      </c>
      <c r="C1404" s="1" t="n">
        <v>45761</v>
      </c>
      <c r="D1404" t="inlineStr">
        <is>
          <t>SÖDERMANLANDS LÄN</t>
        </is>
      </c>
      <c r="E1404" t="inlineStr">
        <is>
          <t>STRÄNGNÄS</t>
        </is>
      </c>
      <c r="F1404" t="inlineStr">
        <is>
          <t>Övriga Aktiebolag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9985-2020</t>
        </is>
      </c>
      <c r="B1405" s="1" t="n">
        <v>43882</v>
      </c>
      <c r="C1405" s="1" t="n">
        <v>45761</v>
      </c>
      <c r="D1405" t="inlineStr">
        <is>
          <t>SÖDERMANLANDS LÄN</t>
        </is>
      </c>
      <c r="E1405" t="inlineStr">
        <is>
          <t>STRÄNGNÄS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10087-2020</t>
        </is>
      </c>
      <c r="B1406" s="1" t="n">
        <v>43885</v>
      </c>
      <c r="C1406" s="1" t="n">
        <v>45761</v>
      </c>
      <c r="D1406" t="inlineStr">
        <is>
          <t>SÖDERMANLANDS LÄN</t>
        </is>
      </c>
      <c r="E1406" t="inlineStr">
        <is>
          <t>ESKILSTUNA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10193-2020</t>
        </is>
      </c>
      <c r="B1407" s="1" t="n">
        <v>43885</v>
      </c>
      <c r="C1407" s="1" t="n">
        <v>45761</v>
      </c>
      <c r="D1407" t="inlineStr">
        <is>
          <t>SÖDERMANLANDS LÄN</t>
        </is>
      </c>
      <c r="E1407" t="inlineStr">
        <is>
          <t>FLEN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10374-2020</t>
        </is>
      </c>
      <c r="B1408" s="1" t="n">
        <v>43885</v>
      </c>
      <c r="C1408" s="1" t="n">
        <v>45761</v>
      </c>
      <c r="D1408" t="inlineStr">
        <is>
          <t>SÖDERMANLANDS LÄN</t>
        </is>
      </c>
      <c r="E1408" t="inlineStr">
        <is>
          <t>TROSA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10348-2020</t>
        </is>
      </c>
      <c r="B1409" s="1" t="n">
        <v>43885</v>
      </c>
      <c r="C1409" s="1" t="n">
        <v>45761</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10401-2020</t>
        </is>
      </c>
      <c r="B1410" s="1" t="n">
        <v>43885</v>
      </c>
      <c r="C1410" s="1" t="n">
        <v>45761</v>
      </c>
      <c r="D1410" t="inlineStr">
        <is>
          <t>SÖDERMANLANDS LÄN</t>
        </is>
      </c>
      <c r="E1410" t="inlineStr">
        <is>
          <t>KATRINEHOLM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11059-2020</t>
        </is>
      </c>
      <c r="B1411" s="1" t="n">
        <v>43885</v>
      </c>
      <c r="C1411" s="1" t="n">
        <v>45761</v>
      </c>
      <c r="D1411" t="inlineStr">
        <is>
          <t>SÖDERMANLANDS LÄN</t>
        </is>
      </c>
      <c r="E1411" t="inlineStr">
        <is>
          <t>FLEN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10473-2020</t>
        </is>
      </c>
      <c r="B1412" s="1" t="n">
        <v>43886</v>
      </c>
      <c r="C1412" s="1" t="n">
        <v>45761</v>
      </c>
      <c r="D1412" t="inlineStr">
        <is>
          <t>SÖDERMANLANDS LÄN</t>
        </is>
      </c>
      <c r="E1412" t="inlineStr">
        <is>
          <t>VINGÅKER</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10527-2020</t>
        </is>
      </c>
      <c r="B1413" s="1" t="n">
        <v>43886</v>
      </c>
      <c r="C1413" s="1" t="n">
        <v>45761</v>
      </c>
      <c r="D1413" t="inlineStr">
        <is>
          <t>SÖDERMANLANDS LÄN</t>
        </is>
      </c>
      <c r="E1413" t="inlineStr">
        <is>
          <t>KATRINEHOLM</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10486-2020</t>
        </is>
      </c>
      <c r="B1414" s="1" t="n">
        <v>43886</v>
      </c>
      <c r="C1414" s="1" t="n">
        <v>45761</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10549-2020</t>
        </is>
      </c>
      <c r="B1415" s="1" t="n">
        <v>43886</v>
      </c>
      <c r="C1415" s="1" t="n">
        <v>45761</v>
      </c>
      <c r="D1415" t="inlineStr">
        <is>
          <t>SÖDERMANLANDS LÄN</t>
        </is>
      </c>
      <c r="E1415" t="inlineStr">
        <is>
          <t>VINGÅKER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10705-2020</t>
        </is>
      </c>
      <c r="B1416" s="1" t="n">
        <v>43888</v>
      </c>
      <c r="C1416" s="1" t="n">
        <v>45761</v>
      </c>
      <c r="D1416" t="inlineStr">
        <is>
          <t>SÖDERMANLANDS LÄN</t>
        </is>
      </c>
      <c r="E1416" t="inlineStr">
        <is>
          <t>FLEN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10918-2020</t>
        </is>
      </c>
      <c r="B1417" s="1" t="n">
        <v>43889</v>
      </c>
      <c r="C1417" s="1" t="n">
        <v>45761</v>
      </c>
      <c r="D1417" t="inlineStr">
        <is>
          <t>SÖDERMANLANDS LÄN</t>
        </is>
      </c>
      <c r="E1417" t="inlineStr">
        <is>
          <t>FLEN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10913-2020</t>
        </is>
      </c>
      <c r="B1418" s="1" t="n">
        <v>43889</v>
      </c>
      <c r="C1418" s="1" t="n">
        <v>45761</v>
      </c>
      <c r="D1418" t="inlineStr">
        <is>
          <t>SÖDERMANLANDS LÄN</t>
        </is>
      </c>
      <c r="E1418" t="inlineStr">
        <is>
          <t>FLEN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11316-2020</t>
        </is>
      </c>
      <c r="B1419" s="1" t="n">
        <v>43892</v>
      </c>
      <c r="C1419" s="1" t="n">
        <v>45761</v>
      </c>
      <c r="D1419" t="inlineStr">
        <is>
          <t>SÖDERMANLANDS LÄN</t>
        </is>
      </c>
      <c r="E1419" t="inlineStr">
        <is>
          <t>NYKÖPING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11189-2020</t>
        </is>
      </c>
      <c r="B1420" s="1" t="n">
        <v>43892</v>
      </c>
      <c r="C1420" s="1" t="n">
        <v>45761</v>
      </c>
      <c r="D1420" t="inlineStr">
        <is>
          <t>SÖDERMANLANDS LÄN</t>
        </is>
      </c>
      <c r="E1420" t="inlineStr">
        <is>
          <t>TROSA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11314-2020</t>
        </is>
      </c>
      <c r="B1421" s="1" t="n">
        <v>43892</v>
      </c>
      <c r="C1421" s="1" t="n">
        <v>45761</v>
      </c>
      <c r="D1421" t="inlineStr">
        <is>
          <t>SÖDERMANLANDS LÄN</t>
        </is>
      </c>
      <c r="E1421" t="inlineStr">
        <is>
          <t>NYKÖPING</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11517-2020</t>
        </is>
      </c>
      <c r="B1422" s="1" t="n">
        <v>43893</v>
      </c>
      <c r="C1422" s="1" t="n">
        <v>45761</v>
      </c>
      <c r="D1422" t="inlineStr">
        <is>
          <t>SÖDERMANLANDS LÄN</t>
        </is>
      </c>
      <c r="E1422" t="inlineStr">
        <is>
          <t>FLEN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11730-2020</t>
        </is>
      </c>
      <c r="B1423" s="1" t="n">
        <v>43893</v>
      </c>
      <c r="C1423" s="1" t="n">
        <v>45761</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11811-2020</t>
        </is>
      </c>
      <c r="B1424" s="1" t="n">
        <v>43894</v>
      </c>
      <c r="C1424" s="1" t="n">
        <v>45761</v>
      </c>
      <c r="D1424" t="inlineStr">
        <is>
          <t>SÖDERMANLANDS LÄN</t>
        </is>
      </c>
      <c r="E1424" t="inlineStr">
        <is>
          <t>FLEN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11896-2020</t>
        </is>
      </c>
      <c r="B1425" s="1" t="n">
        <v>43894</v>
      </c>
      <c r="C1425" s="1" t="n">
        <v>45761</v>
      </c>
      <c r="D1425" t="inlineStr">
        <is>
          <t>SÖDERMANLANDS LÄN</t>
        </is>
      </c>
      <c r="E1425" t="inlineStr">
        <is>
          <t>ESKILSTUNA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12129-2020</t>
        </is>
      </c>
      <c r="B1426" s="1" t="n">
        <v>43895</v>
      </c>
      <c r="C1426" s="1" t="n">
        <v>45761</v>
      </c>
      <c r="D1426" t="inlineStr">
        <is>
          <t>SÖDERMANLANDS LÄN</t>
        </is>
      </c>
      <c r="E1426" t="inlineStr">
        <is>
          <t>STRÄNGNÄS</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12123-2020</t>
        </is>
      </c>
      <c r="B1427" s="1" t="n">
        <v>43895</v>
      </c>
      <c r="C1427" s="1" t="n">
        <v>45761</v>
      </c>
      <c r="D1427" t="inlineStr">
        <is>
          <t>SÖDERMANLANDS LÄN</t>
        </is>
      </c>
      <c r="E1427" t="inlineStr">
        <is>
          <t>STRÄNGNÄS</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12294-2020</t>
        </is>
      </c>
      <c r="B1428" s="1" t="n">
        <v>43895</v>
      </c>
      <c r="C1428" s="1" t="n">
        <v>45761</v>
      </c>
      <c r="D1428" t="inlineStr">
        <is>
          <t>SÖDERMANLANDS LÄN</t>
        </is>
      </c>
      <c r="E1428" t="inlineStr">
        <is>
          <t>VINGÅKER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12115-2020</t>
        </is>
      </c>
      <c r="B1429" s="1" t="n">
        <v>43895</v>
      </c>
      <c r="C1429" s="1" t="n">
        <v>45761</v>
      </c>
      <c r="D1429" t="inlineStr">
        <is>
          <t>SÖDERMANLANDS LÄN</t>
        </is>
      </c>
      <c r="E1429" t="inlineStr">
        <is>
          <t>STRÄNGNÄS</t>
        </is>
      </c>
      <c r="F1429" t="inlineStr">
        <is>
          <t>Sveaskog</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12291-2020</t>
        </is>
      </c>
      <c r="B1430" s="1" t="n">
        <v>43895</v>
      </c>
      <c r="C1430" s="1" t="n">
        <v>45761</v>
      </c>
      <c r="D1430" t="inlineStr">
        <is>
          <t>SÖDERMANLANDS LÄN</t>
        </is>
      </c>
      <c r="E1430" t="inlineStr">
        <is>
          <t>VINGÅKER</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12494-2020</t>
        </is>
      </c>
      <c r="B1431" s="1" t="n">
        <v>43896</v>
      </c>
      <c r="C1431" s="1" t="n">
        <v>45761</v>
      </c>
      <c r="D1431" t="inlineStr">
        <is>
          <t>SÖDERMANLANDS LÄN</t>
        </is>
      </c>
      <c r="E1431" t="inlineStr">
        <is>
          <t>STRÄNGNÄS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12510-2020</t>
        </is>
      </c>
      <c r="B1432" s="1" t="n">
        <v>43896</v>
      </c>
      <c r="C1432" s="1" t="n">
        <v>45761</v>
      </c>
      <c r="D1432" t="inlineStr">
        <is>
          <t>SÖDERMANLANDS LÄN</t>
        </is>
      </c>
      <c r="E1432" t="inlineStr">
        <is>
          <t>ESKILSTUNA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12369-2020</t>
        </is>
      </c>
      <c r="B1433" s="1" t="n">
        <v>43896</v>
      </c>
      <c r="C1433" s="1" t="n">
        <v>45761</v>
      </c>
      <c r="D1433" t="inlineStr">
        <is>
          <t>SÖDERMANLANDS LÄN</t>
        </is>
      </c>
      <c r="E1433" t="inlineStr">
        <is>
          <t>TROSA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12517-2020</t>
        </is>
      </c>
      <c r="B1434" s="1" t="n">
        <v>43896</v>
      </c>
      <c r="C1434" s="1" t="n">
        <v>45761</v>
      </c>
      <c r="D1434" t="inlineStr">
        <is>
          <t>SÖDERMANLANDS LÄN</t>
        </is>
      </c>
      <c r="E1434" t="inlineStr">
        <is>
          <t>GNESTA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13717-2020</t>
        </is>
      </c>
      <c r="B1435" s="1" t="n">
        <v>43896</v>
      </c>
      <c r="C1435" s="1" t="n">
        <v>45761</v>
      </c>
      <c r="D1435" t="inlineStr">
        <is>
          <t>SÖDERMANLANDS LÄN</t>
        </is>
      </c>
      <c r="E1435" t="inlineStr">
        <is>
          <t>GNESTA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13837-2020</t>
        </is>
      </c>
      <c r="B1436" s="1" t="n">
        <v>43896</v>
      </c>
      <c r="C1436" s="1" t="n">
        <v>45761</v>
      </c>
      <c r="D1436" t="inlineStr">
        <is>
          <t>SÖDERMANLANDS LÄN</t>
        </is>
      </c>
      <c r="E1436" t="inlineStr">
        <is>
          <t>GNESTA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13834-2020</t>
        </is>
      </c>
      <c r="B1437" s="1" t="n">
        <v>43896</v>
      </c>
      <c r="C1437" s="1" t="n">
        <v>45761</v>
      </c>
      <c r="D1437" t="inlineStr">
        <is>
          <t>SÖDERMANLANDS LÄN</t>
        </is>
      </c>
      <c r="E1437" t="inlineStr">
        <is>
          <t>GNESTA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12557-2020</t>
        </is>
      </c>
      <c r="B1438" s="1" t="n">
        <v>43898</v>
      </c>
      <c r="C1438" s="1" t="n">
        <v>45761</v>
      </c>
      <c r="D1438" t="inlineStr">
        <is>
          <t>SÖDERMANLANDS LÄN</t>
        </is>
      </c>
      <c r="E1438" t="inlineStr">
        <is>
          <t>KATRINEHOLM</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12817-2020</t>
        </is>
      </c>
      <c r="B1439" s="1" t="n">
        <v>43899</v>
      </c>
      <c r="C1439" s="1" t="n">
        <v>45761</v>
      </c>
      <c r="D1439" t="inlineStr">
        <is>
          <t>SÖDERMANLANDS LÄN</t>
        </is>
      </c>
      <c r="E1439" t="inlineStr">
        <is>
          <t>GNESTA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12861-2020</t>
        </is>
      </c>
      <c r="B1440" s="1" t="n">
        <v>43899</v>
      </c>
      <c r="C1440" s="1" t="n">
        <v>45761</v>
      </c>
      <c r="D1440" t="inlineStr">
        <is>
          <t>SÖDERMANLANDS LÄN</t>
        </is>
      </c>
      <c r="E1440" t="inlineStr">
        <is>
          <t>GNESTA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14115-2020</t>
        </is>
      </c>
      <c r="B1441" s="1" t="n">
        <v>43899</v>
      </c>
      <c r="C1441" s="1" t="n">
        <v>45761</v>
      </c>
      <c r="D1441" t="inlineStr">
        <is>
          <t>SÖDERMANLANDS LÄN</t>
        </is>
      </c>
      <c r="E1441" t="inlineStr">
        <is>
          <t>VINGÅKER</t>
        </is>
      </c>
      <c r="F1441" t="inlineStr">
        <is>
          <t>Övriga Aktiebolag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13053-2020</t>
        </is>
      </c>
      <c r="B1442" s="1" t="n">
        <v>43900</v>
      </c>
      <c r="C1442" s="1" t="n">
        <v>45761</v>
      </c>
      <c r="D1442" t="inlineStr">
        <is>
          <t>SÖDERMANLANDS LÄN</t>
        </is>
      </c>
      <c r="E1442" t="inlineStr">
        <is>
          <t>NYKÖPING</t>
        </is>
      </c>
      <c r="F1442" t="inlineStr">
        <is>
          <t>Övriga Aktiebolag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13058-2020</t>
        </is>
      </c>
      <c r="B1443" s="1" t="n">
        <v>43900</v>
      </c>
      <c r="C1443" s="1" t="n">
        <v>45761</v>
      </c>
      <c r="D1443" t="inlineStr">
        <is>
          <t>SÖDERMANLANDS LÄN</t>
        </is>
      </c>
      <c r="E1443" t="inlineStr">
        <is>
          <t>NYKÖPING</t>
        </is>
      </c>
      <c r="F1443" t="inlineStr">
        <is>
          <t>Övriga Aktiebolag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13118-2020</t>
        </is>
      </c>
      <c r="B1444" s="1" t="n">
        <v>43901</v>
      </c>
      <c r="C1444" s="1" t="n">
        <v>45761</v>
      </c>
      <c r="D1444" t="inlineStr">
        <is>
          <t>SÖDERMANLANDS LÄN</t>
        </is>
      </c>
      <c r="E1444" t="inlineStr">
        <is>
          <t>NYKÖPING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13194-2020</t>
        </is>
      </c>
      <c r="B1445" s="1" t="n">
        <v>43901</v>
      </c>
      <c r="C1445" s="1" t="n">
        <v>45761</v>
      </c>
      <c r="D1445" t="inlineStr">
        <is>
          <t>SÖDERMANLANDS LÄN</t>
        </is>
      </c>
      <c r="E1445" t="inlineStr">
        <is>
          <t>FLEN</t>
        </is>
      </c>
      <c r="F1445" t="inlineStr">
        <is>
          <t>Holmen skog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13255-2020</t>
        </is>
      </c>
      <c r="B1446" s="1" t="n">
        <v>43901</v>
      </c>
      <c r="C1446" s="1" t="n">
        <v>45761</v>
      </c>
      <c r="D1446" t="inlineStr">
        <is>
          <t>SÖDERMANLANDS LÄN</t>
        </is>
      </c>
      <c r="E1446" t="inlineStr">
        <is>
          <t>FLEN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13279-2020</t>
        </is>
      </c>
      <c r="B1447" s="1" t="n">
        <v>43901</v>
      </c>
      <c r="C1447" s="1" t="n">
        <v>45761</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13251-2020</t>
        </is>
      </c>
      <c r="B1448" s="1" t="n">
        <v>43901</v>
      </c>
      <c r="C1448" s="1" t="n">
        <v>45761</v>
      </c>
      <c r="D1448" t="inlineStr">
        <is>
          <t>SÖDERMANLANDS LÄN</t>
        </is>
      </c>
      <c r="E1448" t="inlineStr">
        <is>
          <t>FLEN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13261-2020</t>
        </is>
      </c>
      <c r="B1449" s="1" t="n">
        <v>43901</v>
      </c>
      <c r="C1449" s="1" t="n">
        <v>45761</v>
      </c>
      <c r="D1449" t="inlineStr">
        <is>
          <t>SÖDERMANLANDS LÄN</t>
        </is>
      </c>
      <c r="E1449" t="inlineStr">
        <is>
          <t>KATRINEHOLM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13355-2020</t>
        </is>
      </c>
      <c r="B1450" s="1" t="n">
        <v>43902</v>
      </c>
      <c r="C1450" s="1" t="n">
        <v>45761</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13351-2020</t>
        </is>
      </c>
      <c r="B1451" s="1" t="n">
        <v>43902</v>
      </c>
      <c r="C1451" s="1" t="n">
        <v>45761</v>
      </c>
      <c r="D1451" t="inlineStr">
        <is>
          <t>SÖDERMANLANDS LÄN</t>
        </is>
      </c>
      <c r="E1451" t="inlineStr">
        <is>
          <t>GNESTA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13505-2020</t>
        </is>
      </c>
      <c r="B1452" s="1" t="n">
        <v>43902</v>
      </c>
      <c r="C1452" s="1" t="n">
        <v>45761</v>
      </c>
      <c r="D1452" t="inlineStr">
        <is>
          <t>SÖDERMANLANDS LÄN</t>
        </is>
      </c>
      <c r="E1452" t="inlineStr">
        <is>
          <t>KATRINEHOLM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13344-2020</t>
        </is>
      </c>
      <c r="B1453" s="1" t="n">
        <v>43902</v>
      </c>
      <c r="C1453" s="1" t="n">
        <v>45761</v>
      </c>
      <c r="D1453" t="inlineStr">
        <is>
          <t>SÖDERMANLANDS LÄN</t>
        </is>
      </c>
      <c r="E1453" t="inlineStr">
        <is>
          <t>NYKÖPING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13538-2020</t>
        </is>
      </c>
      <c r="B1454" s="1" t="n">
        <v>43902</v>
      </c>
      <c r="C1454" s="1" t="n">
        <v>45761</v>
      </c>
      <c r="D1454" t="inlineStr">
        <is>
          <t>SÖDERMANLANDS LÄN</t>
        </is>
      </c>
      <c r="E1454" t="inlineStr">
        <is>
          <t>ESKILSTUNA</t>
        </is>
      </c>
      <c r="F1454" t="inlineStr">
        <is>
          <t>Kyrkan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14363-2020</t>
        </is>
      </c>
      <c r="B1455" s="1" t="n">
        <v>43902</v>
      </c>
      <c r="C1455" s="1" t="n">
        <v>45761</v>
      </c>
      <c r="D1455" t="inlineStr">
        <is>
          <t>SÖDERMANLANDS LÄN</t>
        </is>
      </c>
      <c r="E1455" t="inlineStr">
        <is>
          <t>STRÄNGNÄS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13473-2020</t>
        </is>
      </c>
      <c r="B1456" s="1" t="n">
        <v>43902</v>
      </c>
      <c r="C1456" s="1" t="n">
        <v>45761</v>
      </c>
      <c r="D1456" t="inlineStr">
        <is>
          <t>SÖDERMANLANDS LÄN</t>
        </is>
      </c>
      <c r="E1456" t="inlineStr">
        <is>
          <t>FLEN</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13698-2020</t>
        </is>
      </c>
      <c r="B1457" s="1" t="n">
        <v>43902</v>
      </c>
      <c r="C1457" s="1" t="n">
        <v>45761</v>
      </c>
      <c r="D1457" t="inlineStr">
        <is>
          <t>SÖDERMANLANDS LÄN</t>
        </is>
      </c>
      <c r="E1457" t="inlineStr">
        <is>
          <t>FLEN</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13843-2020</t>
        </is>
      </c>
      <c r="B1458" s="1" t="n">
        <v>43903</v>
      </c>
      <c r="C1458" s="1" t="n">
        <v>45761</v>
      </c>
      <c r="D1458" t="inlineStr">
        <is>
          <t>SÖDERMANLANDS LÄN</t>
        </is>
      </c>
      <c r="E1458" t="inlineStr">
        <is>
          <t>ESKILSTUNA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13778-2020</t>
        </is>
      </c>
      <c r="B1459" s="1" t="n">
        <v>43903</v>
      </c>
      <c r="C1459" s="1" t="n">
        <v>45761</v>
      </c>
      <c r="D1459" t="inlineStr">
        <is>
          <t>SÖDERMANLANDS LÄN</t>
        </is>
      </c>
      <c r="E1459" t="inlineStr">
        <is>
          <t>NYKÖPING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13874-2020</t>
        </is>
      </c>
      <c r="B1460" s="1" t="n">
        <v>43906</v>
      </c>
      <c r="C1460" s="1" t="n">
        <v>45761</v>
      </c>
      <c r="D1460" t="inlineStr">
        <is>
          <t>SÖDERMANLANDS LÄN</t>
        </is>
      </c>
      <c r="E1460" t="inlineStr">
        <is>
          <t>NYKÖPING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13972-2020</t>
        </is>
      </c>
      <c r="B1461" s="1" t="n">
        <v>43906</v>
      </c>
      <c r="C1461" s="1" t="n">
        <v>45761</v>
      </c>
      <c r="D1461" t="inlineStr">
        <is>
          <t>SÖDERMANLANDS LÄN</t>
        </is>
      </c>
      <c r="E1461" t="inlineStr">
        <is>
          <t>KATRINEHOLM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14200-2020</t>
        </is>
      </c>
      <c r="B1462" s="1" t="n">
        <v>43907</v>
      </c>
      <c r="C1462" s="1" t="n">
        <v>45761</v>
      </c>
      <c r="D1462" t="inlineStr">
        <is>
          <t>SÖDERMANLANDS LÄN</t>
        </is>
      </c>
      <c r="E1462" t="inlineStr">
        <is>
          <t>FLEN</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14241-2020</t>
        </is>
      </c>
      <c r="B1463" s="1" t="n">
        <v>43907</v>
      </c>
      <c r="C1463" s="1" t="n">
        <v>45761</v>
      </c>
      <c r="D1463" t="inlineStr">
        <is>
          <t>SÖDERMANLANDS LÄN</t>
        </is>
      </c>
      <c r="E1463" t="inlineStr">
        <is>
          <t>NYKÖPING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14313-2020</t>
        </is>
      </c>
      <c r="B1464" s="1" t="n">
        <v>43907</v>
      </c>
      <c r="C1464" s="1" t="n">
        <v>45761</v>
      </c>
      <c r="D1464" t="inlineStr">
        <is>
          <t>SÖDERMANLANDS LÄN</t>
        </is>
      </c>
      <c r="E1464" t="inlineStr">
        <is>
          <t>NYKÖPING</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14389-2020</t>
        </is>
      </c>
      <c r="B1465" s="1" t="n">
        <v>43908</v>
      </c>
      <c r="C1465" s="1" t="n">
        <v>45761</v>
      </c>
      <c r="D1465" t="inlineStr">
        <is>
          <t>SÖDERMANLANDS LÄN</t>
        </is>
      </c>
      <c r="E1465" t="inlineStr">
        <is>
          <t>KATRINEHOLM</t>
        </is>
      </c>
      <c r="F1465" t="inlineStr">
        <is>
          <t>Övriga Aktiebolag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14394-2020</t>
        </is>
      </c>
      <c r="B1466" s="1" t="n">
        <v>43908</v>
      </c>
      <c r="C1466" s="1" t="n">
        <v>45761</v>
      </c>
      <c r="D1466" t="inlineStr">
        <is>
          <t>SÖDERMANLANDS LÄN</t>
        </is>
      </c>
      <c r="E1466" t="inlineStr">
        <is>
          <t>ESKILSTUNA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14533-2020</t>
        </is>
      </c>
      <c r="B1467" s="1" t="n">
        <v>43908</v>
      </c>
      <c r="C1467" s="1" t="n">
        <v>45761</v>
      </c>
      <c r="D1467" t="inlineStr">
        <is>
          <t>SÖDERMANLANDS LÄN</t>
        </is>
      </c>
      <c r="E1467" t="inlineStr">
        <is>
          <t>NYKÖPING</t>
        </is>
      </c>
      <c r="G1467" t="n">
        <v>21.2</v>
      </c>
      <c r="H1467" t="n">
        <v>0</v>
      </c>
      <c r="I1467" t="n">
        <v>0</v>
      </c>
      <c r="J1467" t="n">
        <v>0</v>
      </c>
      <c r="K1467" t="n">
        <v>0</v>
      </c>
      <c r="L1467" t="n">
        <v>0</v>
      </c>
      <c r="M1467" t="n">
        <v>0</v>
      </c>
      <c r="N1467" t="n">
        <v>0</v>
      </c>
      <c r="O1467" t="n">
        <v>0</v>
      </c>
      <c r="P1467" t="n">
        <v>0</v>
      </c>
      <c r="Q1467" t="n">
        <v>0</v>
      </c>
      <c r="R1467" s="2" t="inlineStr"/>
    </row>
    <row r="1468" ht="15" customHeight="1">
      <c r="A1468" t="inlineStr">
        <is>
          <t>A 14708-2020</t>
        </is>
      </c>
      <c r="B1468" s="1" t="n">
        <v>43909</v>
      </c>
      <c r="C1468" s="1" t="n">
        <v>45761</v>
      </c>
      <c r="D1468" t="inlineStr">
        <is>
          <t>SÖDERMANLANDS LÄN</t>
        </is>
      </c>
      <c r="E1468" t="inlineStr">
        <is>
          <t>NYKÖPING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14893-2020</t>
        </is>
      </c>
      <c r="B1469" s="1" t="n">
        <v>43910</v>
      </c>
      <c r="C1469" s="1" t="n">
        <v>45761</v>
      </c>
      <c r="D1469" t="inlineStr">
        <is>
          <t>SÖDERMANLANDS LÄN</t>
        </is>
      </c>
      <c r="E1469" t="inlineStr">
        <is>
          <t>ESKILSTUNA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15069-2020</t>
        </is>
      </c>
      <c r="B1470" s="1" t="n">
        <v>43910</v>
      </c>
      <c r="C1470" s="1" t="n">
        <v>45761</v>
      </c>
      <c r="D1470" t="inlineStr">
        <is>
          <t>SÖDERMANLANDS LÄN</t>
        </is>
      </c>
      <c r="E1470" t="inlineStr">
        <is>
          <t>KATRINEHOLM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16499-2020</t>
        </is>
      </c>
      <c r="B1471" s="1" t="n">
        <v>43910</v>
      </c>
      <c r="C1471" s="1" t="n">
        <v>45761</v>
      </c>
      <c r="D1471" t="inlineStr">
        <is>
          <t>SÖDERMANLANDS LÄN</t>
        </is>
      </c>
      <c r="E1471" t="inlineStr">
        <is>
          <t>GNESTA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15132-2020</t>
        </is>
      </c>
      <c r="B1472" s="1" t="n">
        <v>43911</v>
      </c>
      <c r="C1472" s="1" t="n">
        <v>45761</v>
      </c>
      <c r="D1472" t="inlineStr">
        <is>
          <t>SÖDERMANLANDS LÄN</t>
        </is>
      </c>
      <c r="E1472" t="inlineStr">
        <is>
          <t>FLEN</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15394-2020</t>
        </is>
      </c>
      <c r="B1473" s="1" t="n">
        <v>43913</v>
      </c>
      <c r="C1473" s="1" t="n">
        <v>45761</v>
      </c>
      <c r="D1473" t="inlineStr">
        <is>
          <t>SÖDERMANLANDS LÄN</t>
        </is>
      </c>
      <c r="E1473" t="inlineStr">
        <is>
          <t>ESKILSTUNA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15613-2020</t>
        </is>
      </c>
      <c r="B1474" s="1" t="n">
        <v>43914</v>
      </c>
      <c r="C1474" s="1" t="n">
        <v>45761</v>
      </c>
      <c r="D1474" t="inlineStr">
        <is>
          <t>SÖDERMANLANDS LÄN</t>
        </is>
      </c>
      <c r="E1474" t="inlineStr">
        <is>
          <t>VINGÅKER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15469-2020</t>
        </is>
      </c>
      <c r="B1475" s="1" t="n">
        <v>43914</v>
      </c>
      <c r="C1475" s="1" t="n">
        <v>45761</v>
      </c>
      <c r="D1475" t="inlineStr">
        <is>
          <t>SÖDERMANLANDS LÄN</t>
        </is>
      </c>
      <c r="E1475" t="inlineStr">
        <is>
          <t>NYKÖPING</t>
        </is>
      </c>
      <c r="F1475" t="inlineStr">
        <is>
          <t>Holmen skog AB</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15532-2020</t>
        </is>
      </c>
      <c r="B1476" s="1" t="n">
        <v>43914</v>
      </c>
      <c r="C1476" s="1" t="n">
        <v>45761</v>
      </c>
      <c r="D1476" t="inlineStr">
        <is>
          <t>SÖDERMANLANDS LÄN</t>
        </is>
      </c>
      <c r="E1476" t="inlineStr">
        <is>
          <t>STRÄNGNÄS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15616-2020</t>
        </is>
      </c>
      <c r="B1477" s="1" t="n">
        <v>43914</v>
      </c>
      <c r="C1477" s="1" t="n">
        <v>45761</v>
      </c>
      <c r="D1477" t="inlineStr">
        <is>
          <t>SÖDERMANLANDS LÄN</t>
        </is>
      </c>
      <c r="E1477" t="inlineStr">
        <is>
          <t>VINGÅKER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15471-2020</t>
        </is>
      </c>
      <c r="B1478" s="1" t="n">
        <v>43914</v>
      </c>
      <c r="C1478" s="1" t="n">
        <v>45761</v>
      </c>
      <c r="D1478" t="inlineStr">
        <is>
          <t>SÖDERMANLANDS LÄN</t>
        </is>
      </c>
      <c r="E1478" t="inlineStr">
        <is>
          <t>VINGÅKER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16227-2020</t>
        </is>
      </c>
      <c r="B1479" s="1" t="n">
        <v>43915</v>
      </c>
      <c r="C1479" s="1" t="n">
        <v>45761</v>
      </c>
      <c r="D1479" t="inlineStr">
        <is>
          <t>SÖDERMANLANDS LÄN</t>
        </is>
      </c>
      <c r="E1479" t="inlineStr">
        <is>
          <t>NYKÖPING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17164-2020</t>
        </is>
      </c>
      <c r="B1480" s="1" t="n">
        <v>43915</v>
      </c>
      <c r="C1480" s="1" t="n">
        <v>45761</v>
      </c>
      <c r="D1480" t="inlineStr">
        <is>
          <t>SÖDERMANLANDS LÄN</t>
        </is>
      </c>
      <c r="E1480" t="inlineStr">
        <is>
          <t>KATRINEHOLM</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17199-2020</t>
        </is>
      </c>
      <c r="B1481" s="1" t="n">
        <v>43915</v>
      </c>
      <c r="C1481" s="1" t="n">
        <v>45761</v>
      </c>
      <c r="D1481" t="inlineStr">
        <is>
          <t>SÖDERMANLANDS LÄN</t>
        </is>
      </c>
      <c r="E1481" t="inlineStr">
        <is>
          <t>VINGÅKER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16206-2020</t>
        </is>
      </c>
      <c r="B1482" s="1" t="n">
        <v>43917</v>
      </c>
      <c r="C1482" s="1" t="n">
        <v>45761</v>
      </c>
      <c r="D1482" t="inlineStr">
        <is>
          <t>SÖDERMANLANDS LÄN</t>
        </is>
      </c>
      <c r="E1482" t="inlineStr">
        <is>
          <t>FLEN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16438-2020</t>
        </is>
      </c>
      <c r="B1483" s="1" t="n">
        <v>43919</v>
      </c>
      <c r="C1483" s="1" t="n">
        <v>45761</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16684-2020</t>
        </is>
      </c>
      <c r="B1484" s="1" t="n">
        <v>43920</v>
      </c>
      <c r="C1484" s="1" t="n">
        <v>45761</v>
      </c>
      <c r="D1484" t="inlineStr">
        <is>
          <t>SÖDERMANLANDS LÄN</t>
        </is>
      </c>
      <c r="E1484" t="inlineStr">
        <is>
          <t>FLEN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16698-2020</t>
        </is>
      </c>
      <c r="B1485" s="1" t="n">
        <v>43920</v>
      </c>
      <c r="C1485" s="1" t="n">
        <v>45761</v>
      </c>
      <c r="D1485" t="inlineStr">
        <is>
          <t>SÖDERMANLANDS LÄN</t>
        </is>
      </c>
      <c r="E1485" t="inlineStr">
        <is>
          <t>STRÄNGNÄS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16679-2020</t>
        </is>
      </c>
      <c r="B1486" s="1" t="n">
        <v>43920</v>
      </c>
      <c r="C1486" s="1" t="n">
        <v>45761</v>
      </c>
      <c r="D1486" t="inlineStr">
        <is>
          <t>SÖDERMANLANDS LÄN</t>
        </is>
      </c>
      <c r="E1486" t="inlineStr">
        <is>
          <t>NYKÖPING</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16692-2020</t>
        </is>
      </c>
      <c r="B1487" s="1" t="n">
        <v>43920</v>
      </c>
      <c r="C1487" s="1" t="n">
        <v>45761</v>
      </c>
      <c r="D1487" t="inlineStr">
        <is>
          <t>SÖDERMANLANDS LÄN</t>
        </is>
      </c>
      <c r="E1487" t="inlineStr">
        <is>
          <t>STRÄNGNÄS</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16741-2020</t>
        </is>
      </c>
      <c r="B1488" s="1" t="n">
        <v>43920</v>
      </c>
      <c r="C1488" s="1" t="n">
        <v>45761</v>
      </c>
      <c r="D1488" t="inlineStr">
        <is>
          <t>SÖDERMANLANDS LÄN</t>
        </is>
      </c>
      <c r="E1488" t="inlineStr">
        <is>
          <t>NYKÖPING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16846-2020</t>
        </is>
      </c>
      <c r="B1489" s="1" t="n">
        <v>43921</v>
      </c>
      <c r="C1489" s="1" t="n">
        <v>45761</v>
      </c>
      <c r="D1489" t="inlineStr">
        <is>
          <t>SÖDERMANLANDS LÄN</t>
        </is>
      </c>
      <c r="E1489" t="inlineStr">
        <is>
          <t>ESKILSTUNA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16835-2020</t>
        </is>
      </c>
      <c r="B1490" s="1" t="n">
        <v>43921</v>
      </c>
      <c r="C1490" s="1" t="n">
        <v>45761</v>
      </c>
      <c r="D1490" t="inlineStr">
        <is>
          <t>SÖDERMANLANDS LÄN</t>
        </is>
      </c>
      <c r="E1490" t="inlineStr">
        <is>
          <t>ESKILSTUNA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17123-2020</t>
        </is>
      </c>
      <c r="B1491" s="1" t="n">
        <v>43922</v>
      </c>
      <c r="C1491" s="1" t="n">
        <v>45761</v>
      </c>
      <c r="D1491" t="inlineStr">
        <is>
          <t>SÖDERMANLANDS LÄN</t>
        </is>
      </c>
      <c r="E1491" t="inlineStr">
        <is>
          <t>STRÄNGNÄS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17154-2020</t>
        </is>
      </c>
      <c r="B1492" s="1" t="n">
        <v>43922</v>
      </c>
      <c r="C1492" s="1" t="n">
        <v>45761</v>
      </c>
      <c r="D1492" t="inlineStr">
        <is>
          <t>SÖDERMANLANDS LÄN</t>
        </is>
      </c>
      <c r="E1492" t="inlineStr">
        <is>
          <t>FLEN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17391-2020</t>
        </is>
      </c>
      <c r="B1493" s="1" t="n">
        <v>43923</v>
      </c>
      <c r="C1493" s="1" t="n">
        <v>45761</v>
      </c>
      <c r="D1493" t="inlineStr">
        <is>
          <t>SÖDERMANLANDS LÄN</t>
        </is>
      </c>
      <c r="E1493" t="inlineStr">
        <is>
          <t>KATRINEHOLM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17758-2020</t>
        </is>
      </c>
      <c r="B1494" s="1" t="n">
        <v>43923</v>
      </c>
      <c r="C1494" s="1" t="n">
        <v>45761</v>
      </c>
      <c r="D1494" t="inlineStr">
        <is>
          <t>SÖDERMANLANDS LÄN</t>
        </is>
      </c>
      <c r="E1494" t="inlineStr">
        <is>
          <t>KATRINEHOLM</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17805-2020</t>
        </is>
      </c>
      <c r="B1495" s="1" t="n">
        <v>43924</v>
      </c>
      <c r="C1495" s="1" t="n">
        <v>45761</v>
      </c>
      <c r="D1495" t="inlineStr">
        <is>
          <t>SÖDERMANLANDS LÄN</t>
        </is>
      </c>
      <c r="E1495" t="inlineStr">
        <is>
          <t>NYKÖPING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18050-2020</t>
        </is>
      </c>
      <c r="B1496" s="1" t="n">
        <v>43924</v>
      </c>
      <c r="C1496" s="1" t="n">
        <v>45761</v>
      </c>
      <c r="D1496" t="inlineStr">
        <is>
          <t>SÖDERMANLANDS LÄN</t>
        </is>
      </c>
      <c r="E1496" t="inlineStr">
        <is>
          <t>KATRINEHOLM</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18162-2020</t>
        </is>
      </c>
      <c r="B1497" s="1" t="n">
        <v>43924</v>
      </c>
      <c r="C1497" s="1" t="n">
        <v>45761</v>
      </c>
      <c r="D1497" t="inlineStr">
        <is>
          <t>SÖDERMANLANDS LÄN</t>
        </is>
      </c>
      <c r="E1497" t="inlineStr">
        <is>
          <t>KATRINEHOLM</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18153-2020</t>
        </is>
      </c>
      <c r="B1498" s="1" t="n">
        <v>43927</v>
      </c>
      <c r="C1498" s="1" t="n">
        <v>45761</v>
      </c>
      <c r="D1498" t="inlineStr">
        <is>
          <t>SÖDERMANLANDS LÄN</t>
        </is>
      </c>
      <c r="E1498" t="inlineStr">
        <is>
          <t>KATRINEHOLM</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18352-2020</t>
        </is>
      </c>
      <c r="B1499" s="1" t="n">
        <v>43927</v>
      </c>
      <c r="C1499" s="1" t="n">
        <v>45761</v>
      </c>
      <c r="D1499" t="inlineStr">
        <is>
          <t>SÖDERMANLANDS LÄN</t>
        </is>
      </c>
      <c r="E1499" t="inlineStr">
        <is>
          <t>GNESTA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18279-2020</t>
        </is>
      </c>
      <c r="B1500" s="1" t="n">
        <v>43928</v>
      </c>
      <c r="C1500" s="1" t="n">
        <v>45761</v>
      </c>
      <c r="D1500" t="inlineStr">
        <is>
          <t>SÖDERMANLANDS LÄN</t>
        </is>
      </c>
      <c r="E1500" t="inlineStr">
        <is>
          <t>KATRINEHOLM</t>
        </is>
      </c>
      <c r="F1500" t="inlineStr">
        <is>
          <t>Kommuner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18275-2020</t>
        </is>
      </c>
      <c r="B1501" s="1" t="n">
        <v>43928</v>
      </c>
      <c r="C1501" s="1" t="n">
        <v>45761</v>
      </c>
      <c r="D1501" t="inlineStr">
        <is>
          <t>SÖDERMANLANDS LÄN</t>
        </is>
      </c>
      <c r="E1501" t="inlineStr">
        <is>
          <t>KATRINEHOLM</t>
        </is>
      </c>
      <c r="F1501" t="inlineStr">
        <is>
          <t>Kommuner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18281-2020</t>
        </is>
      </c>
      <c r="B1502" s="1" t="n">
        <v>43928</v>
      </c>
      <c r="C1502" s="1" t="n">
        <v>45761</v>
      </c>
      <c r="D1502" t="inlineStr">
        <is>
          <t>SÖDERMANLANDS LÄN</t>
        </is>
      </c>
      <c r="E1502" t="inlineStr">
        <is>
          <t>KATRINEHOLM</t>
        </is>
      </c>
      <c r="F1502" t="inlineStr">
        <is>
          <t>Kommuner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18277-2020</t>
        </is>
      </c>
      <c r="B1503" s="1" t="n">
        <v>43928</v>
      </c>
      <c r="C1503" s="1" t="n">
        <v>45761</v>
      </c>
      <c r="D1503" t="inlineStr">
        <is>
          <t>SÖDERMANLANDS LÄN</t>
        </is>
      </c>
      <c r="E1503" t="inlineStr">
        <is>
          <t>KATRINEHOLM</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18813-2020</t>
        </is>
      </c>
      <c r="B1504" s="1" t="n">
        <v>43934</v>
      </c>
      <c r="C1504" s="1" t="n">
        <v>45761</v>
      </c>
      <c r="D1504" t="inlineStr">
        <is>
          <t>SÖDERMANLANDS LÄN</t>
        </is>
      </c>
      <c r="E1504" t="inlineStr">
        <is>
          <t>STRÄNGNÄS</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19197-2020</t>
        </is>
      </c>
      <c r="B1505" s="1" t="n">
        <v>43935</v>
      </c>
      <c r="C1505" s="1" t="n">
        <v>45761</v>
      </c>
      <c r="D1505" t="inlineStr">
        <is>
          <t>SÖDERMANLANDS LÄN</t>
        </is>
      </c>
      <c r="E1505" t="inlineStr">
        <is>
          <t>KATRINEHOLM</t>
        </is>
      </c>
      <c r="F1505" t="inlineStr">
        <is>
          <t>Kyrkan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19274-2020</t>
        </is>
      </c>
      <c r="B1506" s="1" t="n">
        <v>43937</v>
      </c>
      <c r="C1506" s="1" t="n">
        <v>45761</v>
      </c>
      <c r="D1506" t="inlineStr">
        <is>
          <t>SÖDERMANLANDS LÄN</t>
        </is>
      </c>
      <c r="E1506" t="inlineStr">
        <is>
          <t>STRÄNGNÄS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19227-2020</t>
        </is>
      </c>
      <c r="B1507" s="1" t="n">
        <v>43937</v>
      </c>
      <c r="C1507" s="1" t="n">
        <v>45761</v>
      </c>
      <c r="D1507" t="inlineStr">
        <is>
          <t>SÖDERMANLANDS LÄN</t>
        </is>
      </c>
      <c r="E1507" t="inlineStr">
        <is>
          <t>ESKILSTUNA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19418-2020</t>
        </is>
      </c>
      <c r="B1508" s="1" t="n">
        <v>43938</v>
      </c>
      <c r="C1508" s="1" t="n">
        <v>45761</v>
      </c>
      <c r="D1508" t="inlineStr">
        <is>
          <t>SÖDERMANLANDS LÄN</t>
        </is>
      </c>
      <c r="E1508" t="inlineStr">
        <is>
          <t>ESKILSTUNA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19475-2020</t>
        </is>
      </c>
      <c r="B1509" s="1" t="n">
        <v>43938</v>
      </c>
      <c r="C1509" s="1" t="n">
        <v>45761</v>
      </c>
      <c r="D1509" t="inlineStr">
        <is>
          <t>SÖDERMANLANDS LÄN</t>
        </is>
      </c>
      <c r="E1509" t="inlineStr">
        <is>
          <t>ESKILSTUNA</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19490-2020</t>
        </is>
      </c>
      <c r="B1510" s="1" t="n">
        <v>43938</v>
      </c>
      <c r="C1510" s="1" t="n">
        <v>45761</v>
      </c>
      <c r="D1510" t="inlineStr">
        <is>
          <t>SÖDERMANLANDS LÄN</t>
        </is>
      </c>
      <c r="E1510" t="inlineStr">
        <is>
          <t>ESKILSTUNA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19562-2020</t>
        </is>
      </c>
      <c r="B1511" s="1" t="n">
        <v>43941</v>
      </c>
      <c r="C1511" s="1" t="n">
        <v>45761</v>
      </c>
      <c r="D1511" t="inlineStr">
        <is>
          <t>SÖDERMANLANDS LÄN</t>
        </is>
      </c>
      <c r="E1511" t="inlineStr">
        <is>
          <t>ESKILSTUNA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19862-2020</t>
        </is>
      </c>
      <c r="B1512" s="1" t="n">
        <v>43942</v>
      </c>
      <c r="C1512" s="1" t="n">
        <v>45761</v>
      </c>
      <c r="D1512" t="inlineStr">
        <is>
          <t>SÖDERMANLANDS LÄN</t>
        </is>
      </c>
      <c r="E1512" t="inlineStr">
        <is>
          <t>NYKÖPING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20015-2020</t>
        </is>
      </c>
      <c r="B1513" s="1" t="n">
        <v>43942</v>
      </c>
      <c r="C1513" s="1" t="n">
        <v>45761</v>
      </c>
      <c r="D1513" t="inlineStr">
        <is>
          <t>SÖDERMANLANDS LÄN</t>
        </is>
      </c>
      <c r="E1513" t="inlineStr">
        <is>
          <t>NYKÖPING</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20012-2020</t>
        </is>
      </c>
      <c r="B1514" s="1" t="n">
        <v>43943</v>
      </c>
      <c r="C1514" s="1" t="n">
        <v>45761</v>
      </c>
      <c r="D1514" t="inlineStr">
        <is>
          <t>SÖDERMANLANDS LÄN</t>
        </is>
      </c>
      <c r="E1514" t="inlineStr">
        <is>
          <t>KATRINEHOLM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20044-2020</t>
        </is>
      </c>
      <c r="B1515" s="1" t="n">
        <v>43943</v>
      </c>
      <c r="C1515" s="1" t="n">
        <v>45761</v>
      </c>
      <c r="D1515" t="inlineStr">
        <is>
          <t>SÖDERMANLANDS LÄN</t>
        </is>
      </c>
      <c r="E1515" t="inlineStr">
        <is>
          <t>STRÄNGNÄS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20002-2020</t>
        </is>
      </c>
      <c r="B1516" s="1" t="n">
        <v>43943</v>
      </c>
      <c r="C1516" s="1" t="n">
        <v>45761</v>
      </c>
      <c r="D1516" t="inlineStr">
        <is>
          <t>SÖDERMANLANDS LÄN</t>
        </is>
      </c>
      <c r="E1516" t="inlineStr">
        <is>
          <t>FLEN</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20016-2020</t>
        </is>
      </c>
      <c r="B1517" s="1" t="n">
        <v>43943</v>
      </c>
      <c r="C1517" s="1" t="n">
        <v>45761</v>
      </c>
      <c r="D1517" t="inlineStr">
        <is>
          <t>SÖDERMANLANDS LÄN</t>
        </is>
      </c>
      <c r="E1517" t="inlineStr">
        <is>
          <t>KATRINEHOLM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20125-2020</t>
        </is>
      </c>
      <c r="B1518" s="1" t="n">
        <v>43943</v>
      </c>
      <c r="C1518" s="1" t="n">
        <v>45761</v>
      </c>
      <c r="D1518" t="inlineStr">
        <is>
          <t>SÖDERMANLANDS LÄN</t>
        </is>
      </c>
      <c r="E1518" t="inlineStr">
        <is>
          <t>NYKÖPING</t>
        </is>
      </c>
      <c r="F1518" t="inlineStr">
        <is>
          <t>Allmännings- och besparingsskogar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20004-2020</t>
        </is>
      </c>
      <c r="B1519" s="1" t="n">
        <v>43943</v>
      </c>
      <c r="C1519" s="1" t="n">
        <v>45761</v>
      </c>
      <c r="D1519" t="inlineStr">
        <is>
          <t>SÖDERMANLANDS LÄN</t>
        </is>
      </c>
      <c r="E1519" t="inlineStr">
        <is>
          <t>NYKÖPING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20114-2020</t>
        </is>
      </c>
      <c r="B1520" s="1" t="n">
        <v>43943</v>
      </c>
      <c r="C1520" s="1" t="n">
        <v>45761</v>
      </c>
      <c r="D1520" t="inlineStr">
        <is>
          <t>SÖDERMANLANDS LÄN</t>
        </is>
      </c>
      <c r="E1520" t="inlineStr">
        <is>
          <t>NYKÖPING</t>
        </is>
      </c>
      <c r="F1520" t="inlineStr">
        <is>
          <t>Allmännings- och besparingsskogar</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20145-2020</t>
        </is>
      </c>
      <c r="B1521" s="1" t="n">
        <v>43944</v>
      </c>
      <c r="C1521" s="1" t="n">
        <v>45761</v>
      </c>
      <c r="D1521" t="inlineStr">
        <is>
          <t>SÖDERMANLANDS LÄN</t>
        </is>
      </c>
      <c r="E1521" t="inlineStr">
        <is>
          <t>NYKÖPING</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20387-2020</t>
        </is>
      </c>
      <c r="B1522" s="1" t="n">
        <v>43944</v>
      </c>
      <c r="C1522" s="1" t="n">
        <v>45761</v>
      </c>
      <c r="D1522" t="inlineStr">
        <is>
          <t>SÖDERMANLANDS LÄN</t>
        </is>
      </c>
      <c r="E1522" t="inlineStr">
        <is>
          <t>NYKÖPING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20384-2020</t>
        </is>
      </c>
      <c r="B1523" s="1" t="n">
        <v>43944</v>
      </c>
      <c r="C1523" s="1" t="n">
        <v>45761</v>
      </c>
      <c r="D1523" t="inlineStr">
        <is>
          <t>SÖDERMANLANDS LÄN</t>
        </is>
      </c>
      <c r="E1523" t="inlineStr">
        <is>
          <t>NYKÖPING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20226-2020</t>
        </is>
      </c>
      <c r="B1524" s="1" t="n">
        <v>43944</v>
      </c>
      <c r="C1524" s="1" t="n">
        <v>45761</v>
      </c>
      <c r="D1524" t="inlineStr">
        <is>
          <t>SÖDERMANLANDS LÄN</t>
        </is>
      </c>
      <c r="E1524" t="inlineStr">
        <is>
          <t>NYKÖPING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20396-2020</t>
        </is>
      </c>
      <c r="B1525" s="1" t="n">
        <v>43944</v>
      </c>
      <c r="C1525" s="1" t="n">
        <v>45761</v>
      </c>
      <c r="D1525" t="inlineStr">
        <is>
          <t>SÖDERMANLANDS LÄN</t>
        </is>
      </c>
      <c r="E1525" t="inlineStr">
        <is>
          <t>NYKÖPING</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20400-2020</t>
        </is>
      </c>
      <c r="B1526" s="1" t="n">
        <v>43945</v>
      </c>
      <c r="C1526" s="1" t="n">
        <v>45761</v>
      </c>
      <c r="D1526" t="inlineStr">
        <is>
          <t>SÖDERMANLANDS LÄN</t>
        </is>
      </c>
      <c r="E1526" t="inlineStr">
        <is>
          <t>GNESTA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20527-2020</t>
        </is>
      </c>
      <c r="B1527" s="1" t="n">
        <v>43948</v>
      </c>
      <c r="C1527" s="1" t="n">
        <v>45761</v>
      </c>
      <c r="D1527" t="inlineStr">
        <is>
          <t>SÖDERMANLANDS LÄN</t>
        </is>
      </c>
      <c r="E1527" t="inlineStr">
        <is>
          <t>FLEN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20668-2020</t>
        </is>
      </c>
      <c r="B1528" s="1" t="n">
        <v>43948</v>
      </c>
      <c r="C1528" s="1" t="n">
        <v>45761</v>
      </c>
      <c r="D1528" t="inlineStr">
        <is>
          <t>SÖDERMANLANDS LÄN</t>
        </is>
      </c>
      <c r="E1528" t="inlineStr">
        <is>
          <t>VINGÅKER</t>
        </is>
      </c>
      <c r="F1528" t="inlineStr">
        <is>
          <t>Övriga Aktiebolag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20699-2020</t>
        </is>
      </c>
      <c r="B1529" s="1" t="n">
        <v>43949</v>
      </c>
      <c r="C1529" s="1" t="n">
        <v>45761</v>
      </c>
      <c r="D1529" t="inlineStr">
        <is>
          <t>SÖDERMANLANDS LÄN</t>
        </is>
      </c>
      <c r="E1529" t="inlineStr">
        <is>
          <t>NYKÖPING</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20644-2020</t>
        </is>
      </c>
      <c r="B1530" s="1" t="n">
        <v>43949</v>
      </c>
      <c r="C1530" s="1" t="n">
        <v>45761</v>
      </c>
      <c r="D1530" t="inlineStr">
        <is>
          <t>SÖDERMANLANDS LÄN</t>
        </is>
      </c>
      <c r="E1530" t="inlineStr">
        <is>
          <t>STRÄNGNÄS</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21004-2020</t>
        </is>
      </c>
      <c r="B1531" s="1" t="n">
        <v>43950</v>
      </c>
      <c r="C1531" s="1" t="n">
        <v>45761</v>
      </c>
      <c r="D1531" t="inlineStr">
        <is>
          <t>SÖDERMANLANDS LÄN</t>
        </is>
      </c>
      <c r="E1531" t="inlineStr">
        <is>
          <t>NYKÖPING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21395-2020</t>
        </is>
      </c>
      <c r="B1532" s="1" t="n">
        <v>43955</v>
      </c>
      <c r="C1532" s="1" t="n">
        <v>45761</v>
      </c>
      <c r="D1532" t="inlineStr">
        <is>
          <t>SÖDERMANLANDS LÄN</t>
        </is>
      </c>
      <c r="E1532" t="inlineStr">
        <is>
          <t>TROSA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21400-2020</t>
        </is>
      </c>
      <c r="B1533" s="1" t="n">
        <v>43955</v>
      </c>
      <c r="C1533" s="1" t="n">
        <v>45761</v>
      </c>
      <c r="D1533" t="inlineStr">
        <is>
          <t>SÖDERMANLANDS LÄN</t>
        </is>
      </c>
      <c r="E1533" t="inlineStr">
        <is>
          <t>TROSA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21401-2020</t>
        </is>
      </c>
      <c r="B1534" s="1" t="n">
        <v>43955</v>
      </c>
      <c r="C1534" s="1" t="n">
        <v>45761</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21404-2020</t>
        </is>
      </c>
      <c r="B1535" s="1" t="n">
        <v>43955</v>
      </c>
      <c r="C1535" s="1" t="n">
        <v>45761</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22206-2020</t>
        </is>
      </c>
      <c r="B1536" s="1" t="n">
        <v>43955</v>
      </c>
      <c r="C1536" s="1" t="n">
        <v>45761</v>
      </c>
      <c r="D1536" t="inlineStr">
        <is>
          <t>SÖDERMANLANDS LÄN</t>
        </is>
      </c>
      <c r="E1536" t="inlineStr">
        <is>
          <t>VINGÅKER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21683-2020</t>
        </is>
      </c>
      <c r="B1537" s="1" t="n">
        <v>43957</v>
      </c>
      <c r="C1537" s="1" t="n">
        <v>45761</v>
      </c>
      <c r="D1537" t="inlineStr">
        <is>
          <t>SÖDERMANLANDS LÄN</t>
        </is>
      </c>
      <c r="E1537" t="inlineStr">
        <is>
          <t>VINGÅKER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21733-2020</t>
        </is>
      </c>
      <c r="B1538" s="1" t="n">
        <v>43957</v>
      </c>
      <c r="C1538" s="1" t="n">
        <v>45761</v>
      </c>
      <c r="D1538" t="inlineStr">
        <is>
          <t>SÖDERMANLANDS LÄN</t>
        </is>
      </c>
      <c r="E1538" t="inlineStr">
        <is>
          <t>VINGÅKER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21755-2020</t>
        </is>
      </c>
      <c r="B1539" s="1" t="n">
        <v>43957</v>
      </c>
      <c r="C1539" s="1" t="n">
        <v>45761</v>
      </c>
      <c r="D1539" t="inlineStr">
        <is>
          <t>SÖDERMANLANDS LÄN</t>
        </is>
      </c>
      <c r="E1539" t="inlineStr">
        <is>
          <t>KATRINEHOLM</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21675-2020</t>
        </is>
      </c>
      <c r="B1540" s="1" t="n">
        <v>43957</v>
      </c>
      <c r="C1540" s="1" t="n">
        <v>45761</v>
      </c>
      <c r="D1540" t="inlineStr">
        <is>
          <t>SÖDERMANLANDS LÄN</t>
        </is>
      </c>
      <c r="E1540" t="inlineStr">
        <is>
          <t>VINGÅKER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22347-2020</t>
        </is>
      </c>
      <c r="B1541" s="1" t="n">
        <v>43957</v>
      </c>
      <c r="C1541" s="1" t="n">
        <v>45761</v>
      </c>
      <c r="D1541" t="inlineStr">
        <is>
          <t>SÖDERMANLANDS LÄN</t>
        </is>
      </c>
      <c r="E1541" t="inlineStr">
        <is>
          <t>FLEN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21902-2020</t>
        </is>
      </c>
      <c r="B1542" s="1" t="n">
        <v>43958</v>
      </c>
      <c r="C1542" s="1" t="n">
        <v>45761</v>
      </c>
      <c r="D1542" t="inlineStr">
        <is>
          <t>SÖDERMANLANDS LÄN</t>
        </is>
      </c>
      <c r="E1542" t="inlineStr">
        <is>
          <t>FLEN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21818-2020</t>
        </is>
      </c>
      <c r="B1543" s="1" t="n">
        <v>43958</v>
      </c>
      <c r="C1543" s="1" t="n">
        <v>45761</v>
      </c>
      <c r="D1543" t="inlineStr">
        <is>
          <t>SÖDERMANLANDS LÄN</t>
        </is>
      </c>
      <c r="E1543" t="inlineStr">
        <is>
          <t>KATRINEHOLM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22087-2020</t>
        </is>
      </c>
      <c r="B1544" s="1" t="n">
        <v>43959</v>
      </c>
      <c r="C1544" s="1" t="n">
        <v>45761</v>
      </c>
      <c r="D1544" t="inlineStr">
        <is>
          <t>SÖDERMANLANDS LÄN</t>
        </is>
      </c>
      <c r="E1544" t="inlineStr">
        <is>
          <t>STRÄNGNÄS</t>
        </is>
      </c>
      <c r="F1544" t="inlineStr">
        <is>
          <t>Övriga Aktiebolag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22237-2020</t>
        </is>
      </c>
      <c r="B1545" s="1" t="n">
        <v>43959</v>
      </c>
      <c r="C1545" s="1" t="n">
        <v>45761</v>
      </c>
      <c r="D1545" t="inlineStr">
        <is>
          <t>SÖDERMANLANDS LÄN</t>
        </is>
      </c>
      <c r="E1545" t="inlineStr">
        <is>
          <t>FLEN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22243-2020</t>
        </is>
      </c>
      <c r="B1546" s="1" t="n">
        <v>43959</v>
      </c>
      <c r="C1546" s="1" t="n">
        <v>45761</v>
      </c>
      <c r="D1546" t="inlineStr">
        <is>
          <t>SÖDERMANLANDS LÄN</t>
        </is>
      </c>
      <c r="E1546" t="inlineStr">
        <is>
          <t>FLEN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22241-2020</t>
        </is>
      </c>
      <c r="B1547" s="1" t="n">
        <v>43959</v>
      </c>
      <c r="C1547" s="1" t="n">
        <v>45761</v>
      </c>
      <c r="D1547" t="inlineStr">
        <is>
          <t>SÖDERMANLANDS LÄN</t>
        </is>
      </c>
      <c r="E1547" t="inlineStr">
        <is>
          <t>FLEN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22183-2020</t>
        </is>
      </c>
      <c r="B1548" s="1" t="n">
        <v>43962</v>
      </c>
      <c r="C1548" s="1" t="n">
        <v>45761</v>
      </c>
      <c r="D1548" t="inlineStr">
        <is>
          <t>SÖDERMANLANDS LÄN</t>
        </is>
      </c>
      <c r="E1548" t="inlineStr">
        <is>
          <t>VINGÅKER</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22398-2020</t>
        </is>
      </c>
      <c r="B1549" s="1" t="n">
        <v>43962</v>
      </c>
      <c r="C1549" s="1" t="n">
        <v>45761</v>
      </c>
      <c r="D1549" t="inlineStr">
        <is>
          <t>SÖDERMANLANDS LÄN</t>
        </is>
      </c>
      <c r="E1549" t="inlineStr">
        <is>
          <t>ESKILSTUNA</t>
        </is>
      </c>
      <c r="F1549" t="inlineStr">
        <is>
          <t>Kommuner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22932-2020</t>
        </is>
      </c>
      <c r="B1550" s="1" t="n">
        <v>43963</v>
      </c>
      <c r="C1550" s="1" t="n">
        <v>45761</v>
      </c>
      <c r="D1550" t="inlineStr">
        <is>
          <t>SÖDERMANLANDS LÄN</t>
        </is>
      </c>
      <c r="E1550" t="inlineStr">
        <is>
          <t>TROSA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23450-2020</t>
        </is>
      </c>
      <c r="B1551" s="1" t="n">
        <v>43966</v>
      </c>
      <c r="C1551" s="1" t="n">
        <v>45761</v>
      </c>
      <c r="D1551" t="inlineStr">
        <is>
          <t>SÖDERMANLANDS LÄN</t>
        </is>
      </c>
      <c r="E1551" t="inlineStr">
        <is>
          <t>ESKILSTUNA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23451-2020</t>
        </is>
      </c>
      <c r="B1552" s="1" t="n">
        <v>43966</v>
      </c>
      <c r="C1552" s="1" t="n">
        <v>45761</v>
      </c>
      <c r="D1552" t="inlineStr">
        <is>
          <t>SÖDERMANLANDS LÄN</t>
        </is>
      </c>
      <c r="E1552" t="inlineStr">
        <is>
          <t>ESKILSTUNA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23578-2020</t>
        </is>
      </c>
      <c r="B1553" s="1" t="n">
        <v>43969</v>
      </c>
      <c r="C1553" s="1" t="n">
        <v>45761</v>
      </c>
      <c r="D1553" t="inlineStr">
        <is>
          <t>SÖDERMANLANDS LÄN</t>
        </is>
      </c>
      <c r="E1553" t="inlineStr">
        <is>
          <t>NYKÖPING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23709-2020</t>
        </is>
      </c>
      <c r="B1554" s="1" t="n">
        <v>43969</v>
      </c>
      <c r="C1554" s="1" t="n">
        <v>45761</v>
      </c>
      <c r="D1554" t="inlineStr">
        <is>
          <t>SÖDERMANLANDS LÄN</t>
        </is>
      </c>
      <c r="E1554" t="inlineStr">
        <is>
          <t>NYKÖPING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23607-2020</t>
        </is>
      </c>
      <c r="B1555" s="1" t="n">
        <v>43969</v>
      </c>
      <c r="C1555" s="1" t="n">
        <v>45761</v>
      </c>
      <c r="D1555" t="inlineStr">
        <is>
          <t>SÖDERMANLANDS LÄN</t>
        </is>
      </c>
      <c r="E1555" t="inlineStr">
        <is>
          <t>NYKÖPING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24116-2020</t>
        </is>
      </c>
      <c r="B1556" s="1" t="n">
        <v>43973</v>
      </c>
      <c r="C1556" s="1" t="n">
        <v>45761</v>
      </c>
      <c r="D1556" t="inlineStr">
        <is>
          <t>SÖDERMANLANDS LÄN</t>
        </is>
      </c>
      <c r="E1556" t="inlineStr">
        <is>
          <t>GNESTA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24226-2020</t>
        </is>
      </c>
      <c r="B1557" s="1" t="n">
        <v>43973</v>
      </c>
      <c r="C1557" s="1" t="n">
        <v>45761</v>
      </c>
      <c r="D1557" t="inlineStr">
        <is>
          <t>SÖDERMANLANDS LÄN</t>
        </is>
      </c>
      <c r="E1557" t="inlineStr">
        <is>
          <t>NYKÖPING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24604-2020</t>
        </is>
      </c>
      <c r="B1558" s="1" t="n">
        <v>43977</v>
      </c>
      <c r="C1558" s="1" t="n">
        <v>45761</v>
      </c>
      <c r="D1558" t="inlineStr">
        <is>
          <t>SÖDERMANLANDS LÄN</t>
        </is>
      </c>
      <c r="E1558" t="inlineStr">
        <is>
          <t>GNESTA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24605-2020</t>
        </is>
      </c>
      <c r="B1559" s="1" t="n">
        <v>43977</v>
      </c>
      <c r="C1559" s="1" t="n">
        <v>45761</v>
      </c>
      <c r="D1559" t="inlineStr">
        <is>
          <t>SÖDERMANLANDS LÄN</t>
        </is>
      </c>
      <c r="E1559" t="inlineStr">
        <is>
          <t>GNESTA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24678-2020</t>
        </is>
      </c>
      <c r="B1560" s="1" t="n">
        <v>43977</v>
      </c>
      <c r="C1560" s="1" t="n">
        <v>45761</v>
      </c>
      <c r="D1560" t="inlineStr">
        <is>
          <t>SÖDERMANLANDS LÄN</t>
        </is>
      </c>
      <c r="E1560" t="inlineStr">
        <is>
          <t>STRÄNGNÄS</t>
        </is>
      </c>
      <c r="G1560" t="n">
        <v>19.9</v>
      </c>
      <c r="H1560" t="n">
        <v>0</v>
      </c>
      <c r="I1560" t="n">
        <v>0</v>
      </c>
      <c r="J1560" t="n">
        <v>0</v>
      </c>
      <c r="K1560" t="n">
        <v>0</v>
      </c>
      <c r="L1560" t="n">
        <v>0</v>
      </c>
      <c r="M1560" t="n">
        <v>0</v>
      </c>
      <c r="N1560" t="n">
        <v>0</v>
      </c>
      <c r="O1560" t="n">
        <v>0</v>
      </c>
      <c r="P1560" t="n">
        <v>0</v>
      </c>
      <c r="Q1560" t="n">
        <v>0</v>
      </c>
      <c r="R1560" s="2" t="inlineStr"/>
    </row>
    <row r="1561" ht="15" customHeight="1">
      <c r="A1561" t="inlineStr">
        <is>
          <t>A 25067-2020</t>
        </is>
      </c>
      <c r="B1561" s="1" t="n">
        <v>43979</v>
      </c>
      <c r="C1561" s="1" t="n">
        <v>45761</v>
      </c>
      <c r="D1561" t="inlineStr">
        <is>
          <t>SÖDERMANLANDS LÄN</t>
        </is>
      </c>
      <c r="E1561" t="inlineStr">
        <is>
          <t>FLEN</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25280-2020</t>
        </is>
      </c>
      <c r="B1562" s="1" t="n">
        <v>43980</v>
      </c>
      <c r="C1562" s="1" t="n">
        <v>45761</v>
      </c>
      <c r="D1562" t="inlineStr">
        <is>
          <t>SÖDERMANLANDS LÄN</t>
        </is>
      </c>
      <c r="E1562" t="inlineStr">
        <is>
          <t>FLEN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25517-2020</t>
        </is>
      </c>
      <c r="B1563" s="1" t="n">
        <v>43980</v>
      </c>
      <c r="C1563" s="1" t="n">
        <v>45761</v>
      </c>
      <c r="D1563" t="inlineStr">
        <is>
          <t>SÖDERMANLANDS LÄN</t>
        </is>
      </c>
      <c r="E1563" t="inlineStr">
        <is>
          <t>NYKÖPING</t>
        </is>
      </c>
      <c r="F1563" t="inlineStr">
        <is>
          <t>Kommuner</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25842-2020</t>
        </is>
      </c>
      <c r="B1564" s="1" t="n">
        <v>43983</v>
      </c>
      <c r="C1564" s="1" t="n">
        <v>45761</v>
      </c>
      <c r="D1564" t="inlineStr">
        <is>
          <t>SÖDERMANLANDS LÄN</t>
        </is>
      </c>
      <c r="E1564" t="inlineStr">
        <is>
          <t>FLEN</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25754-2020</t>
        </is>
      </c>
      <c r="B1565" s="1" t="n">
        <v>43983</v>
      </c>
      <c r="C1565" s="1" t="n">
        <v>45761</v>
      </c>
      <c r="D1565" t="inlineStr">
        <is>
          <t>SÖDERMANLANDS LÄN</t>
        </is>
      </c>
      <c r="E1565" t="inlineStr">
        <is>
          <t>NYKÖPING</t>
        </is>
      </c>
      <c r="F1565" t="inlineStr">
        <is>
          <t>Kommuner</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25466-2020</t>
        </is>
      </c>
      <c r="B1566" s="1" t="n">
        <v>43983</v>
      </c>
      <c r="C1566" s="1" t="n">
        <v>45761</v>
      </c>
      <c r="D1566" t="inlineStr">
        <is>
          <t>SÖDERMANLANDS LÄN</t>
        </is>
      </c>
      <c r="E1566" t="inlineStr">
        <is>
          <t>FLEN</t>
        </is>
      </c>
      <c r="G1566" t="n">
        <v>30.4</v>
      </c>
      <c r="H1566" t="n">
        <v>0</v>
      </c>
      <c r="I1566" t="n">
        <v>0</v>
      </c>
      <c r="J1566" t="n">
        <v>0</v>
      </c>
      <c r="K1566" t="n">
        <v>0</v>
      </c>
      <c r="L1566" t="n">
        <v>0</v>
      </c>
      <c r="M1566" t="n">
        <v>0</v>
      </c>
      <c r="N1566" t="n">
        <v>0</v>
      </c>
      <c r="O1566" t="n">
        <v>0</v>
      </c>
      <c r="P1566" t="n">
        <v>0</v>
      </c>
      <c r="Q1566" t="n">
        <v>0</v>
      </c>
      <c r="R1566" s="2" t="inlineStr"/>
    </row>
    <row r="1567" ht="15" customHeight="1">
      <c r="A1567" t="inlineStr">
        <is>
          <t>A 25880-2020</t>
        </is>
      </c>
      <c r="B1567" s="1" t="n">
        <v>43983</v>
      </c>
      <c r="C1567" s="1" t="n">
        <v>45761</v>
      </c>
      <c r="D1567" t="inlineStr">
        <is>
          <t>SÖDERMANLANDS LÄN</t>
        </is>
      </c>
      <c r="E1567" t="inlineStr">
        <is>
          <t>FLEN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26008-2020</t>
        </is>
      </c>
      <c r="B1568" s="1" t="n">
        <v>43985</v>
      </c>
      <c r="C1568" s="1" t="n">
        <v>45761</v>
      </c>
      <c r="D1568" t="inlineStr">
        <is>
          <t>SÖDERMANLANDS LÄN</t>
        </is>
      </c>
      <c r="E1568" t="inlineStr">
        <is>
          <t>ESKILSTUNA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26007-2020</t>
        </is>
      </c>
      <c r="B1569" s="1" t="n">
        <v>43985</v>
      </c>
      <c r="C1569" s="1" t="n">
        <v>45761</v>
      </c>
      <c r="D1569" t="inlineStr">
        <is>
          <t>SÖDERMANLANDS LÄN</t>
        </is>
      </c>
      <c r="E1569" t="inlineStr">
        <is>
          <t>ESKILSTUNA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25945-2020</t>
        </is>
      </c>
      <c r="B1570" s="1" t="n">
        <v>43985</v>
      </c>
      <c r="C1570" s="1" t="n">
        <v>45761</v>
      </c>
      <c r="D1570" t="inlineStr">
        <is>
          <t>SÖDERMANLANDS LÄN</t>
        </is>
      </c>
      <c r="E1570" t="inlineStr">
        <is>
          <t>GNESTA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26063-2020</t>
        </is>
      </c>
      <c r="B1571" s="1" t="n">
        <v>43985</v>
      </c>
      <c r="C1571" s="1" t="n">
        <v>45761</v>
      </c>
      <c r="D1571" t="inlineStr">
        <is>
          <t>SÖDERMANLANDS LÄN</t>
        </is>
      </c>
      <c r="E1571" t="inlineStr">
        <is>
          <t>FLEN</t>
        </is>
      </c>
      <c r="G1571" t="n">
        <v>22.3</v>
      </c>
      <c r="H1571" t="n">
        <v>0</v>
      </c>
      <c r="I1571" t="n">
        <v>0</v>
      </c>
      <c r="J1571" t="n">
        <v>0</v>
      </c>
      <c r="K1571" t="n">
        <v>0</v>
      </c>
      <c r="L1571" t="n">
        <v>0</v>
      </c>
      <c r="M1571" t="n">
        <v>0</v>
      </c>
      <c r="N1571" t="n">
        <v>0</v>
      </c>
      <c r="O1571" t="n">
        <v>0</v>
      </c>
      <c r="P1571" t="n">
        <v>0</v>
      </c>
      <c r="Q1571" t="n">
        <v>0</v>
      </c>
      <c r="R1571" s="2" t="inlineStr"/>
    </row>
    <row r="1572" ht="15" customHeight="1">
      <c r="A1572" t="inlineStr">
        <is>
          <t>A 26340-2020</t>
        </is>
      </c>
      <c r="B1572" s="1" t="n">
        <v>43986</v>
      </c>
      <c r="C1572" s="1" t="n">
        <v>45761</v>
      </c>
      <c r="D1572" t="inlineStr">
        <is>
          <t>SÖDERMANLANDS LÄN</t>
        </is>
      </c>
      <c r="E1572" t="inlineStr">
        <is>
          <t>ESKILSTUNA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26245-2020</t>
        </is>
      </c>
      <c r="B1573" s="1" t="n">
        <v>43986</v>
      </c>
      <c r="C1573" s="1" t="n">
        <v>45761</v>
      </c>
      <c r="D1573" t="inlineStr">
        <is>
          <t>SÖDERMANLANDS LÄN</t>
        </is>
      </c>
      <c r="E1573" t="inlineStr">
        <is>
          <t>NYKÖPING</t>
        </is>
      </c>
      <c r="F1573" t="inlineStr">
        <is>
          <t>Övriga Aktiebolag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26243-2020</t>
        </is>
      </c>
      <c r="B1574" s="1" t="n">
        <v>43986</v>
      </c>
      <c r="C1574" s="1" t="n">
        <v>45761</v>
      </c>
      <c r="D1574" t="inlineStr">
        <is>
          <t>SÖDERMANLANDS LÄN</t>
        </is>
      </c>
      <c r="E1574" t="inlineStr">
        <is>
          <t>NYKÖPING</t>
        </is>
      </c>
      <c r="F1574" t="inlineStr">
        <is>
          <t>Övriga Aktiebolag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26336-2020</t>
        </is>
      </c>
      <c r="B1575" s="1" t="n">
        <v>43986</v>
      </c>
      <c r="C1575" s="1" t="n">
        <v>45761</v>
      </c>
      <c r="D1575" t="inlineStr">
        <is>
          <t>SÖDERMANLANDS LÄN</t>
        </is>
      </c>
      <c r="E1575" t="inlineStr">
        <is>
          <t>ESKILSTUNA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26251-2020</t>
        </is>
      </c>
      <c r="B1576" s="1" t="n">
        <v>43986</v>
      </c>
      <c r="C1576" s="1" t="n">
        <v>45761</v>
      </c>
      <c r="D1576" t="inlineStr">
        <is>
          <t>SÖDERMANLANDS LÄN</t>
        </is>
      </c>
      <c r="E1576" t="inlineStr">
        <is>
          <t>VINGÅKER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26468-2020</t>
        </is>
      </c>
      <c r="B1577" s="1" t="n">
        <v>43987</v>
      </c>
      <c r="C1577" s="1" t="n">
        <v>45761</v>
      </c>
      <c r="D1577" t="inlineStr">
        <is>
          <t>SÖDERMANLANDS LÄN</t>
        </is>
      </c>
      <c r="E1577" t="inlineStr">
        <is>
          <t>VINGÅKER</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27010-2020</t>
        </is>
      </c>
      <c r="B1578" s="1" t="n">
        <v>43990</v>
      </c>
      <c r="C1578" s="1" t="n">
        <v>45761</v>
      </c>
      <c r="D1578" t="inlineStr">
        <is>
          <t>SÖDERMANLANDS LÄN</t>
        </is>
      </c>
      <c r="E1578" t="inlineStr">
        <is>
          <t>KATRINEHOLM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26773-2020</t>
        </is>
      </c>
      <c r="B1579" s="1" t="n">
        <v>43990</v>
      </c>
      <c r="C1579" s="1" t="n">
        <v>45761</v>
      </c>
      <c r="D1579" t="inlineStr">
        <is>
          <t>SÖDERMANLANDS LÄN</t>
        </is>
      </c>
      <c r="E1579" t="inlineStr">
        <is>
          <t>NYKÖPING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27228-2020</t>
        </is>
      </c>
      <c r="B1580" s="1" t="n">
        <v>43992</v>
      </c>
      <c r="C1580" s="1" t="n">
        <v>45761</v>
      </c>
      <c r="D1580" t="inlineStr">
        <is>
          <t>SÖDERMANLANDS LÄN</t>
        </is>
      </c>
      <c r="E1580" t="inlineStr">
        <is>
          <t>KATRINEHOLM</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27238-2020</t>
        </is>
      </c>
      <c r="B1581" s="1" t="n">
        <v>43992</v>
      </c>
      <c r="C1581" s="1" t="n">
        <v>45761</v>
      </c>
      <c r="D1581" t="inlineStr">
        <is>
          <t>SÖDERMANLANDS LÄN</t>
        </is>
      </c>
      <c r="E1581" t="inlineStr">
        <is>
          <t>ESKILSTUNA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27250-2020</t>
        </is>
      </c>
      <c r="B1582" s="1" t="n">
        <v>43992</v>
      </c>
      <c r="C1582" s="1" t="n">
        <v>45761</v>
      </c>
      <c r="D1582" t="inlineStr">
        <is>
          <t>SÖDERMANLANDS LÄN</t>
        </is>
      </c>
      <c r="E1582" t="inlineStr">
        <is>
          <t>ESKILSTUNA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27229-2020</t>
        </is>
      </c>
      <c r="B1583" s="1" t="n">
        <v>43992</v>
      </c>
      <c r="C1583" s="1" t="n">
        <v>45761</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27338-2020</t>
        </is>
      </c>
      <c r="B1584" s="1" t="n">
        <v>43992</v>
      </c>
      <c r="C1584" s="1" t="n">
        <v>45761</v>
      </c>
      <c r="D1584" t="inlineStr">
        <is>
          <t>SÖDERMANLANDS LÄN</t>
        </is>
      </c>
      <c r="E1584" t="inlineStr">
        <is>
          <t>NYKÖPING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27420-2020</t>
        </is>
      </c>
      <c r="B1585" s="1" t="n">
        <v>43993</v>
      </c>
      <c r="C1585" s="1" t="n">
        <v>45761</v>
      </c>
      <c r="D1585" t="inlineStr">
        <is>
          <t>SÖDERMANLANDS LÄN</t>
        </is>
      </c>
      <c r="E1585" t="inlineStr">
        <is>
          <t>KATRINEHOLM</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27449-2020</t>
        </is>
      </c>
      <c r="B1586" s="1" t="n">
        <v>43993</v>
      </c>
      <c r="C1586" s="1" t="n">
        <v>45761</v>
      </c>
      <c r="D1586" t="inlineStr">
        <is>
          <t>SÖDERMANLANDS LÄN</t>
        </is>
      </c>
      <c r="E1586" t="inlineStr">
        <is>
          <t>NYKÖPING</t>
        </is>
      </c>
      <c r="F1586" t="inlineStr">
        <is>
          <t>Övriga Aktiebolag</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27596-2020</t>
        </is>
      </c>
      <c r="B1587" s="1" t="n">
        <v>43993</v>
      </c>
      <c r="C1587" s="1" t="n">
        <v>45761</v>
      </c>
      <c r="D1587" t="inlineStr">
        <is>
          <t>SÖDERMANLANDS LÄN</t>
        </is>
      </c>
      <c r="E1587" t="inlineStr">
        <is>
          <t>NYKÖPING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27599-2020</t>
        </is>
      </c>
      <c r="B1588" s="1" t="n">
        <v>43993</v>
      </c>
      <c r="C1588" s="1" t="n">
        <v>45761</v>
      </c>
      <c r="D1588" t="inlineStr">
        <is>
          <t>SÖDERMANLANDS LÄN</t>
        </is>
      </c>
      <c r="E1588" t="inlineStr">
        <is>
          <t>NYKÖPING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28040-2020</t>
        </is>
      </c>
      <c r="B1589" s="1" t="n">
        <v>43997</v>
      </c>
      <c r="C1589" s="1" t="n">
        <v>45761</v>
      </c>
      <c r="D1589" t="inlineStr">
        <is>
          <t>SÖDERMANLANDS LÄN</t>
        </is>
      </c>
      <c r="E1589" t="inlineStr">
        <is>
          <t>NYKÖPING</t>
        </is>
      </c>
      <c r="F1589" t="inlineStr">
        <is>
          <t>Kommuner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28067-2020</t>
        </is>
      </c>
      <c r="B1590" s="1" t="n">
        <v>43997</v>
      </c>
      <c r="C1590" s="1" t="n">
        <v>45761</v>
      </c>
      <c r="D1590" t="inlineStr">
        <is>
          <t>SÖDERMANLANDS LÄN</t>
        </is>
      </c>
      <c r="E1590" t="inlineStr">
        <is>
          <t>KATRINEHOLM</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28034-2020</t>
        </is>
      </c>
      <c r="B1591" s="1" t="n">
        <v>43997</v>
      </c>
      <c r="C1591" s="1" t="n">
        <v>45761</v>
      </c>
      <c r="D1591" t="inlineStr">
        <is>
          <t>SÖDERMANLANDS LÄN</t>
        </is>
      </c>
      <c r="E1591" t="inlineStr">
        <is>
          <t>NYKÖPING</t>
        </is>
      </c>
      <c r="F1591" t="inlineStr">
        <is>
          <t>Kommuner</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28079-2020</t>
        </is>
      </c>
      <c r="B1592" s="1" t="n">
        <v>43997</v>
      </c>
      <c r="C1592" s="1" t="n">
        <v>45761</v>
      </c>
      <c r="D1592" t="inlineStr">
        <is>
          <t>SÖDERMANLANDS LÄN</t>
        </is>
      </c>
      <c r="E1592" t="inlineStr">
        <is>
          <t>NYKÖPING</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28137-2020</t>
        </is>
      </c>
      <c r="B1593" s="1" t="n">
        <v>43997</v>
      </c>
      <c r="C1593" s="1" t="n">
        <v>45761</v>
      </c>
      <c r="D1593" t="inlineStr">
        <is>
          <t>SÖDERMANLANDS LÄN</t>
        </is>
      </c>
      <c r="E1593" t="inlineStr">
        <is>
          <t>TROSA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28141-2020</t>
        </is>
      </c>
      <c r="B1594" s="1" t="n">
        <v>43997</v>
      </c>
      <c r="C1594" s="1" t="n">
        <v>45761</v>
      </c>
      <c r="D1594" t="inlineStr">
        <is>
          <t>SÖDERMANLANDS LÄN</t>
        </is>
      </c>
      <c r="E1594" t="inlineStr">
        <is>
          <t>TROSA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28154-2020</t>
        </is>
      </c>
      <c r="B1595" s="1" t="n">
        <v>43997</v>
      </c>
      <c r="C1595" s="1" t="n">
        <v>45761</v>
      </c>
      <c r="D1595" t="inlineStr">
        <is>
          <t>SÖDERMANLANDS LÄN</t>
        </is>
      </c>
      <c r="E1595" t="inlineStr">
        <is>
          <t>GNESTA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28324-2020</t>
        </is>
      </c>
      <c r="B1596" s="1" t="n">
        <v>43997</v>
      </c>
      <c r="C1596" s="1" t="n">
        <v>45761</v>
      </c>
      <c r="D1596" t="inlineStr">
        <is>
          <t>SÖDERMANLANDS LÄN</t>
        </is>
      </c>
      <c r="E1596" t="inlineStr">
        <is>
          <t>ESKILSTUNA</t>
        </is>
      </c>
      <c r="F1596" t="inlineStr">
        <is>
          <t>Kyrkan</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28331-2020</t>
        </is>
      </c>
      <c r="B1597" s="1" t="n">
        <v>43997</v>
      </c>
      <c r="C1597" s="1" t="n">
        <v>45761</v>
      </c>
      <c r="D1597" t="inlineStr">
        <is>
          <t>SÖDERMANLANDS LÄN</t>
        </is>
      </c>
      <c r="E1597" t="inlineStr">
        <is>
          <t>ESKILSTUNA</t>
        </is>
      </c>
      <c r="F1597" t="inlineStr">
        <is>
          <t>Kyrkan</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28255-2020</t>
        </is>
      </c>
      <c r="B1598" s="1" t="n">
        <v>43998</v>
      </c>
      <c r="C1598" s="1" t="n">
        <v>45761</v>
      </c>
      <c r="D1598" t="inlineStr">
        <is>
          <t>SÖDERMANLANDS LÄN</t>
        </is>
      </c>
      <c r="E1598" t="inlineStr">
        <is>
          <t>KATRINEHOLM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28341-2020</t>
        </is>
      </c>
      <c r="B1599" s="1" t="n">
        <v>43998</v>
      </c>
      <c r="C1599" s="1" t="n">
        <v>45761</v>
      </c>
      <c r="D1599" t="inlineStr">
        <is>
          <t>SÖDERMANLANDS LÄN</t>
        </is>
      </c>
      <c r="E1599" t="inlineStr">
        <is>
          <t>NYKÖPING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28433-2020</t>
        </is>
      </c>
      <c r="B1600" s="1" t="n">
        <v>43998</v>
      </c>
      <c r="C1600" s="1" t="n">
        <v>45761</v>
      </c>
      <c r="D1600" t="inlineStr">
        <is>
          <t>SÖDERMANLANDS LÄN</t>
        </is>
      </c>
      <c r="E1600" t="inlineStr">
        <is>
          <t>VINGÅKER</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28442-2020</t>
        </is>
      </c>
      <c r="B1601" s="1" t="n">
        <v>43998</v>
      </c>
      <c r="C1601" s="1" t="n">
        <v>45761</v>
      </c>
      <c r="D1601" t="inlineStr">
        <is>
          <t>SÖDERMANLANDS LÄN</t>
        </is>
      </c>
      <c r="E1601" t="inlineStr">
        <is>
          <t>VINGÅKER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28394-2020</t>
        </is>
      </c>
      <c r="B1602" s="1" t="n">
        <v>43998</v>
      </c>
      <c r="C1602" s="1" t="n">
        <v>45761</v>
      </c>
      <c r="D1602" t="inlineStr">
        <is>
          <t>SÖDERMANLANDS LÄN</t>
        </is>
      </c>
      <c r="E1602" t="inlineStr">
        <is>
          <t>VINGÅKER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28426-2020</t>
        </is>
      </c>
      <c r="B1603" s="1" t="n">
        <v>43998</v>
      </c>
      <c r="C1603" s="1" t="n">
        <v>45761</v>
      </c>
      <c r="D1603" t="inlineStr">
        <is>
          <t>SÖDERMANLANDS LÄN</t>
        </is>
      </c>
      <c r="E1603" t="inlineStr">
        <is>
          <t>VINGÅKER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28444-2020</t>
        </is>
      </c>
      <c r="B1604" s="1" t="n">
        <v>43998</v>
      </c>
      <c r="C1604" s="1" t="n">
        <v>45761</v>
      </c>
      <c r="D1604" t="inlineStr">
        <is>
          <t>SÖDERMANLANDS LÄN</t>
        </is>
      </c>
      <c r="E1604" t="inlineStr">
        <is>
          <t>VINGÅKER</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28491-2020</t>
        </is>
      </c>
      <c r="B1605" s="1" t="n">
        <v>43998</v>
      </c>
      <c r="C1605" s="1" t="n">
        <v>45761</v>
      </c>
      <c r="D1605" t="inlineStr">
        <is>
          <t>SÖDERMANLANDS LÄN</t>
        </is>
      </c>
      <c r="E1605" t="inlineStr">
        <is>
          <t>KATRINEHOLM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28440-2020</t>
        </is>
      </c>
      <c r="B1606" s="1" t="n">
        <v>43998</v>
      </c>
      <c r="C1606" s="1" t="n">
        <v>45761</v>
      </c>
      <c r="D1606" t="inlineStr">
        <is>
          <t>SÖDERMANLANDS LÄN</t>
        </is>
      </c>
      <c r="E1606" t="inlineStr">
        <is>
          <t>VINGÅKER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28430-2020</t>
        </is>
      </c>
      <c r="B1607" s="1" t="n">
        <v>43998</v>
      </c>
      <c r="C1607" s="1" t="n">
        <v>45761</v>
      </c>
      <c r="D1607" t="inlineStr">
        <is>
          <t>SÖDERMANLANDS LÄN</t>
        </is>
      </c>
      <c r="E1607" t="inlineStr">
        <is>
          <t>VINGÅKER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28439-2020</t>
        </is>
      </c>
      <c r="B1608" s="1" t="n">
        <v>43998</v>
      </c>
      <c r="C1608" s="1" t="n">
        <v>45761</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28445-2020</t>
        </is>
      </c>
      <c r="B1609" s="1" t="n">
        <v>43998</v>
      </c>
      <c r="C1609" s="1" t="n">
        <v>45761</v>
      </c>
      <c r="D1609" t="inlineStr">
        <is>
          <t>SÖDERMANLANDS LÄN</t>
        </is>
      </c>
      <c r="E1609" t="inlineStr">
        <is>
          <t>VINGÅKER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28463-2020</t>
        </is>
      </c>
      <c r="B1610" s="1" t="n">
        <v>43998</v>
      </c>
      <c r="C1610" s="1" t="n">
        <v>45761</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28981-2020</t>
        </is>
      </c>
      <c r="B1611" s="1" t="n">
        <v>43998</v>
      </c>
      <c r="C1611" s="1" t="n">
        <v>45761</v>
      </c>
      <c r="D1611" t="inlineStr">
        <is>
          <t>SÖDERMANLANDS LÄN</t>
        </is>
      </c>
      <c r="E1611" t="inlineStr">
        <is>
          <t>FLEN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28467-2020</t>
        </is>
      </c>
      <c r="B1612" s="1" t="n">
        <v>43998</v>
      </c>
      <c r="C1612" s="1" t="n">
        <v>45761</v>
      </c>
      <c r="D1612" t="inlineStr">
        <is>
          <t>SÖDERMANLANDS LÄN</t>
        </is>
      </c>
      <c r="E1612" t="inlineStr">
        <is>
          <t>NYKÖPING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28562-2020</t>
        </is>
      </c>
      <c r="B1613" s="1" t="n">
        <v>43999</v>
      </c>
      <c r="C1613" s="1" t="n">
        <v>45761</v>
      </c>
      <c r="D1613" t="inlineStr">
        <is>
          <t>SÖDERMANLANDS LÄN</t>
        </is>
      </c>
      <c r="E1613" t="inlineStr">
        <is>
          <t>FLEN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28589-2020</t>
        </is>
      </c>
      <c r="B1614" s="1" t="n">
        <v>43999</v>
      </c>
      <c r="C1614" s="1" t="n">
        <v>45761</v>
      </c>
      <c r="D1614" t="inlineStr">
        <is>
          <t>SÖDERMANLANDS LÄN</t>
        </is>
      </c>
      <c r="E1614" t="inlineStr">
        <is>
          <t>KATRINEHOLM</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28676-2020</t>
        </is>
      </c>
      <c r="B1615" s="1" t="n">
        <v>43999</v>
      </c>
      <c r="C1615" s="1" t="n">
        <v>45761</v>
      </c>
      <c r="D1615" t="inlineStr">
        <is>
          <t>SÖDERMANLANDS LÄN</t>
        </is>
      </c>
      <c r="E1615" t="inlineStr">
        <is>
          <t>FLEN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29130-2020</t>
        </is>
      </c>
      <c r="B1616" s="1" t="n">
        <v>43999</v>
      </c>
      <c r="C1616" s="1" t="n">
        <v>45761</v>
      </c>
      <c r="D1616" t="inlineStr">
        <is>
          <t>SÖDERMANLANDS LÄN</t>
        </is>
      </c>
      <c r="E1616" t="inlineStr">
        <is>
          <t>VINGÅKER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28785-2020</t>
        </is>
      </c>
      <c r="B1617" s="1" t="n">
        <v>44000</v>
      </c>
      <c r="C1617" s="1" t="n">
        <v>45761</v>
      </c>
      <c r="D1617" t="inlineStr">
        <is>
          <t>SÖDERMANLANDS LÄN</t>
        </is>
      </c>
      <c r="E1617" t="inlineStr">
        <is>
          <t>NYKÖPING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29015-2020</t>
        </is>
      </c>
      <c r="B1618" s="1" t="n">
        <v>44000</v>
      </c>
      <c r="C1618" s="1" t="n">
        <v>45761</v>
      </c>
      <c r="D1618" t="inlineStr">
        <is>
          <t>SÖDERMANLANDS LÄN</t>
        </is>
      </c>
      <c r="E1618" t="inlineStr">
        <is>
          <t>ESKILSTUNA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29021-2020</t>
        </is>
      </c>
      <c r="B1619" s="1" t="n">
        <v>44000</v>
      </c>
      <c r="C1619" s="1" t="n">
        <v>45761</v>
      </c>
      <c r="D1619" t="inlineStr">
        <is>
          <t>SÖDERMANLANDS LÄN</t>
        </is>
      </c>
      <c r="E1619" t="inlineStr">
        <is>
          <t>ESKILSTUNA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29241-2020</t>
        </is>
      </c>
      <c r="B1620" s="1" t="n">
        <v>44004</v>
      </c>
      <c r="C1620" s="1" t="n">
        <v>45761</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29269-2020</t>
        </is>
      </c>
      <c r="B1621" s="1" t="n">
        <v>44004</v>
      </c>
      <c r="C1621" s="1" t="n">
        <v>45761</v>
      </c>
      <c r="D1621" t="inlineStr">
        <is>
          <t>SÖDERMANLANDS LÄN</t>
        </is>
      </c>
      <c r="E1621" t="inlineStr">
        <is>
          <t>NYKÖPING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29354-2020</t>
        </is>
      </c>
      <c r="B1622" s="1" t="n">
        <v>44004</v>
      </c>
      <c r="C1622" s="1" t="n">
        <v>45761</v>
      </c>
      <c r="D1622" t="inlineStr">
        <is>
          <t>SÖDERMANLANDS LÄN</t>
        </is>
      </c>
      <c r="E1622" t="inlineStr">
        <is>
          <t>NYKÖPING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29369-2020</t>
        </is>
      </c>
      <c r="B1623" s="1" t="n">
        <v>44004</v>
      </c>
      <c r="C1623" s="1" t="n">
        <v>45761</v>
      </c>
      <c r="D1623" t="inlineStr">
        <is>
          <t>SÖDERMANLANDS LÄN</t>
        </is>
      </c>
      <c r="E1623" t="inlineStr">
        <is>
          <t>NYKÖPING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29410-2020</t>
        </is>
      </c>
      <c r="B1624" s="1" t="n">
        <v>44004</v>
      </c>
      <c r="C1624" s="1" t="n">
        <v>45761</v>
      </c>
      <c r="D1624" t="inlineStr">
        <is>
          <t>SÖDERMANLANDS LÄN</t>
        </is>
      </c>
      <c r="E1624" t="inlineStr">
        <is>
          <t>TROSA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29463-2020</t>
        </is>
      </c>
      <c r="B1625" s="1" t="n">
        <v>44004</v>
      </c>
      <c r="C1625" s="1" t="n">
        <v>45761</v>
      </c>
      <c r="D1625" t="inlineStr">
        <is>
          <t>SÖDERMANLANDS LÄN</t>
        </is>
      </c>
      <c r="E1625" t="inlineStr">
        <is>
          <t>KATRINEHOLM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29455-2020</t>
        </is>
      </c>
      <c r="B1626" s="1" t="n">
        <v>44004</v>
      </c>
      <c r="C1626" s="1" t="n">
        <v>45761</v>
      </c>
      <c r="D1626" t="inlineStr">
        <is>
          <t>SÖDERMANLANDS LÄN</t>
        </is>
      </c>
      <c r="E1626" t="inlineStr">
        <is>
          <t>FLEN</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29557-2020</t>
        </is>
      </c>
      <c r="B1627" s="1" t="n">
        <v>44005</v>
      </c>
      <c r="C1627" s="1" t="n">
        <v>45761</v>
      </c>
      <c r="D1627" t="inlineStr">
        <is>
          <t>SÖDERMANLANDS LÄN</t>
        </is>
      </c>
      <c r="E1627" t="inlineStr">
        <is>
          <t>FLEN</t>
        </is>
      </c>
      <c r="F1627" t="inlineStr">
        <is>
          <t>Övriga statliga verk och myndigheter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29690-2020</t>
        </is>
      </c>
      <c r="B1628" s="1" t="n">
        <v>44005</v>
      </c>
      <c r="C1628" s="1" t="n">
        <v>45761</v>
      </c>
      <c r="D1628" t="inlineStr">
        <is>
          <t>SÖDERMANLANDS LÄN</t>
        </is>
      </c>
      <c r="E1628" t="inlineStr">
        <is>
          <t>NYKÖPING</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29601-2020</t>
        </is>
      </c>
      <c r="B1629" s="1" t="n">
        <v>44005</v>
      </c>
      <c r="C1629" s="1" t="n">
        <v>45761</v>
      </c>
      <c r="D1629" t="inlineStr">
        <is>
          <t>SÖDERMANLANDS LÄN</t>
        </is>
      </c>
      <c r="E1629" t="inlineStr">
        <is>
          <t>GNESTA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29694-2020</t>
        </is>
      </c>
      <c r="B1630" s="1" t="n">
        <v>44005</v>
      </c>
      <c r="C1630" s="1" t="n">
        <v>45761</v>
      </c>
      <c r="D1630" t="inlineStr">
        <is>
          <t>SÖDERMANLANDS LÄN</t>
        </is>
      </c>
      <c r="E1630" t="inlineStr">
        <is>
          <t>NYKÖPING</t>
        </is>
      </c>
      <c r="F1630" t="inlineStr">
        <is>
          <t>Övriga Aktiebolag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29714-2020</t>
        </is>
      </c>
      <c r="B1631" s="1" t="n">
        <v>44005</v>
      </c>
      <c r="C1631" s="1" t="n">
        <v>45761</v>
      </c>
      <c r="D1631" t="inlineStr">
        <is>
          <t>SÖDERMANLANDS LÄN</t>
        </is>
      </c>
      <c r="E1631" t="inlineStr">
        <is>
          <t>NYKÖPING</t>
        </is>
      </c>
      <c r="F1631" t="inlineStr">
        <is>
          <t>Övriga Aktiebolag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29701-2020</t>
        </is>
      </c>
      <c r="B1632" s="1" t="n">
        <v>44005</v>
      </c>
      <c r="C1632" s="1" t="n">
        <v>45761</v>
      </c>
      <c r="D1632" t="inlineStr">
        <is>
          <t>SÖDERMANLANDS LÄN</t>
        </is>
      </c>
      <c r="E1632" t="inlineStr">
        <is>
          <t>NYKÖPING</t>
        </is>
      </c>
      <c r="F1632" t="inlineStr">
        <is>
          <t>Övriga Aktiebolag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29847-2020</t>
        </is>
      </c>
      <c r="B1633" s="1" t="n">
        <v>44006</v>
      </c>
      <c r="C1633" s="1" t="n">
        <v>45761</v>
      </c>
      <c r="D1633" t="inlineStr">
        <is>
          <t>SÖDERMANLANDS LÄN</t>
        </is>
      </c>
      <c r="E1633" t="inlineStr">
        <is>
          <t>GNESTA</t>
        </is>
      </c>
      <c r="F1633" t="inlineStr">
        <is>
          <t>Övriga Aktiebolag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30052-2020</t>
        </is>
      </c>
      <c r="B1634" s="1" t="n">
        <v>44006</v>
      </c>
      <c r="C1634" s="1" t="n">
        <v>45761</v>
      </c>
      <c r="D1634" t="inlineStr">
        <is>
          <t>SÖDERMANLANDS LÄN</t>
        </is>
      </c>
      <c r="E1634" t="inlineStr">
        <is>
          <t>STRÄNGNÄS</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30133-2020</t>
        </is>
      </c>
      <c r="B1635" s="1" t="n">
        <v>44006</v>
      </c>
      <c r="C1635" s="1" t="n">
        <v>45761</v>
      </c>
      <c r="D1635" t="inlineStr">
        <is>
          <t>SÖDERMANLANDS LÄN</t>
        </is>
      </c>
      <c r="E1635" t="inlineStr">
        <is>
          <t>ESKILSTUNA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30209-2020</t>
        </is>
      </c>
      <c r="B1636" s="1" t="n">
        <v>44007</v>
      </c>
      <c r="C1636" s="1" t="n">
        <v>45761</v>
      </c>
      <c r="D1636" t="inlineStr">
        <is>
          <t>SÖDERMANLANDS LÄN</t>
        </is>
      </c>
      <c r="E1636" t="inlineStr">
        <is>
          <t>FLEN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30261-2020</t>
        </is>
      </c>
      <c r="B1637" s="1" t="n">
        <v>44007</v>
      </c>
      <c r="C1637" s="1" t="n">
        <v>45761</v>
      </c>
      <c r="D1637" t="inlineStr">
        <is>
          <t>SÖDERMANLANDS LÄN</t>
        </is>
      </c>
      <c r="E1637" t="inlineStr">
        <is>
          <t>NYKÖPING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30361-2020</t>
        </is>
      </c>
      <c r="B1638" s="1" t="n">
        <v>44007</v>
      </c>
      <c r="C1638" s="1" t="n">
        <v>45761</v>
      </c>
      <c r="D1638" t="inlineStr">
        <is>
          <t>SÖDERMANLANDS LÄN</t>
        </is>
      </c>
      <c r="E1638" t="inlineStr">
        <is>
          <t>NYKÖPING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30391-2020</t>
        </is>
      </c>
      <c r="B1639" s="1" t="n">
        <v>44007</v>
      </c>
      <c r="C1639" s="1" t="n">
        <v>45761</v>
      </c>
      <c r="D1639" t="inlineStr">
        <is>
          <t>SÖDERMANLANDS LÄN</t>
        </is>
      </c>
      <c r="E1639" t="inlineStr">
        <is>
          <t>NYKÖPING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30429-2020</t>
        </is>
      </c>
      <c r="B1640" s="1" t="n">
        <v>44007</v>
      </c>
      <c r="C1640" s="1" t="n">
        <v>45761</v>
      </c>
      <c r="D1640" t="inlineStr">
        <is>
          <t>SÖDERMANLANDS LÄN</t>
        </is>
      </c>
      <c r="E1640" t="inlineStr">
        <is>
          <t>NYKÖPING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30720-2020</t>
        </is>
      </c>
      <c r="B1641" s="1" t="n">
        <v>44008</v>
      </c>
      <c r="C1641" s="1" t="n">
        <v>45761</v>
      </c>
      <c r="D1641" t="inlineStr">
        <is>
          <t>SÖDERMANLANDS LÄN</t>
        </is>
      </c>
      <c r="E1641" t="inlineStr">
        <is>
          <t>KATRINEHOLM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30721-2020</t>
        </is>
      </c>
      <c r="B1642" s="1" t="n">
        <v>44008</v>
      </c>
      <c r="C1642" s="1" t="n">
        <v>45761</v>
      </c>
      <c r="D1642" t="inlineStr">
        <is>
          <t>SÖDERMANLANDS LÄN</t>
        </is>
      </c>
      <c r="E1642" t="inlineStr">
        <is>
          <t>NYKÖPING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30879-2020</t>
        </is>
      </c>
      <c r="B1643" s="1" t="n">
        <v>44011</v>
      </c>
      <c r="C1643" s="1" t="n">
        <v>45761</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31011-2020</t>
        </is>
      </c>
      <c r="B1644" s="1" t="n">
        <v>44011</v>
      </c>
      <c r="C1644" s="1" t="n">
        <v>45761</v>
      </c>
      <c r="D1644" t="inlineStr">
        <is>
          <t>SÖDERMANLANDS LÄN</t>
        </is>
      </c>
      <c r="E1644" t="inlineStr">
        <is>
          <t>NYKÖPING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30871-2020</t>
        </is>
      </c>
      <c r="B1645" s="1" t="n">
        <v>44011</v>
      </c>
      <c r="C1645" s="1" t="n">
        <v>45761</v>
      </c>
      <c r="D1645" t="inlineStr">
        <is>
          <t>SÖDERMANLANDS LÄN</t>
        </is>
      </c>
      <c r="E1645" t="inlineStr">
        <is>
          <t>FLEN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31010-2020</t>
        </is>
      </c>
      <c r="B1646" s="1" t="n">
        <v>44011</v>
      </c>
      <c r="C1646" s="1" t="n">
        <v>45761</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31009-2020</t>
        </is>
      </c>
      <c r="B1647" s="1" t="n">
        <v>44011</v>
      </c>
      <c r="C1647" s="1" t="n">
        <v>45761</v>
      </c>
      <c r="D1647" t="inlineStr">
        <is>
          <t>SÖDERMANLANDS LÄN</t>
        </is>
      </c>
      <c r="E1647" t="inlineStr">
        <is>
          <t>NYKÖPING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31118-2020</t>
        </is>
      </c>
      <c r="B1648" s="1" t="n">
        <v>44012</v>
      </c>
      <c r="C1648" s="1" t="n">
        <v>45761</v>
      </c>
      <c r="D1648" t="inlineStr">
        <is>
          <t>SÖDERMANLANDS LÄN</t>
        </is>
      </c>
      <c r="E1648" t="inlineStr">
        <is>
          <t>FLEN</t>
        </is>
      </c>
      <c r="F1648" t="inlineStr">
        <is>
          <t>Övriga statliga verk och myndigheter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31393-2020</t>
        </is>
      </c>
      <c r="B1649" s="1" t="n">
        <v>44012</v>
      </c>
      <c r="C1649" s="1" t="n">
        <v>45761</v>
      </c>
      <c r="D1649" t="inlineStr">
        <is>
          <t>SÖDERMANLANDS LÄN</t>
        </is>
      </c>
      <c r="E1649" t="inlineStr">
        <is>
          <t>VINGÅKER</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31392-2020</t>
        </is>
      </c>
      <c r="B1650" s="1" t="n">
        <v>44012</v>
      </c>
      <c r="C1650" s="1" t="n">
        <v>45761</v>
      </c>
      <c r="D1650" t="inlineStr">
        <is>
          <t>SÖDERMANLANDS LÄN</t>
        </is>
      </c>
      <c r="E1650" t="inlineStr">
        <is>
          <t>VINGÅKER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31387-2020</t>
        </is>
      </c>
      <c r="B1651" s="1" t="n">
        <v>44012</v>
      </c>
      <c r="C1651" s="1" t="n">
        <v>45761</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31619-2020</t>
        </is>
      </c>
      <c r="B1652" s="1" t="n">
        <v>44013</v>
      </c>
      <c r="C1652" s="1" t="n">
        <v>45761</v>
      </c>
      <c r="D1652" t="inlineStr">
        <is>
          <t>SÖDERMANLANDS LÄN</t>
        </is>
      </c>
      <c r="E1652" t="inlineStr">
        <is>
          <t>ESKILSTUNA</t>
        </is>
      </c>
      <c r="F1652" t="inlineStr">
        <is>
          <t>Allmännings- och besparingsskogar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31627-2020</t>
        </is>
      </c>
      <c r="B1653" s="1" t="n">
        <v>44013</v>
      </c>
      <c r="C1653" s="1" t="n">
        <v>45761</v>
      </c>
      <c r="D1653" t="inlineStr">
        <is>
          <t>SÖDERMANLANDS LÄN</t>
        </is>
      </c>
      <c r="E1653" t="inlineStr">
        <is>
          <t>STRÄNGNÄS</t>
        </is>
      </c>
      <c r="F1653" t="inlineStr">
        <is>
          <t>Allmännings- och besparingsskogar</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31950-2020</t>
        </is>
      </c>
      <c r="B1654" s="1" t="n">
        <v>44014</v>
      </c>
      <c r="C1654" s="1" t="n">
        <v>45761</v>
      </c>
      <c r="D1654" t="inlineStr">
        <is>
          <t>SÖDERMANLANDS LÄN</t>
        </is>
      </c>
      <c r="E1654" t="inlineStr">
        <is>
          <t>ESKILSTUNA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32142-2020</t>
        </is>
      </c>
      <c r="B1655" s="1" t="n">
        <v>44015</v>
      </c>
      <c r="C1655" s="1" t="n">
        <v>45761</v>
      </c>
      <c r="D1655" t="inlineStr">
        <is>
          <t>SÖDERMANLANDS LÄN</t>
        </is>
      </c>
      <c r="E1655" t="inlineStr">
        <is>
          <t>FLEN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32220-2020</t>
        </is>
      </c>
      <c r="B1656" s="1" t="n">
        <v>44015</v>
      </c>
      <c r="C1656" s="1" t="n">
        <v>45761</v>
      </c>
      <c r="D1656" t="inlineStr">
        <is>
          <t>SÖDERMANLANDS LÄN</t>
        </is>
      </c>
      <c r="E1656" t="inlineStr">
        <is>
          <t>STRÄNGNÄS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32364-2020</t>
        </is>
      </c>
      <c r="B1657" s="1" t="n">
        <v>44017</v>
      </c>
      <c r="C1657" s="1" t="n">
        <v>45761</v>
      </c>
      <c r="D1657" t="inlineStr">
        <is>
          <t>SÖDERMANLANDS LÄN</t>
        </is>
      </c>
      <c r="E1657" t="inlineStr">
        <is>
          <t>KATRINEHOLM</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32366-2020</t>
        </is>
      </c>
      <c r="B1658" s="1" t="n">
        <v>44018</v>
      </c>
      <c r="C1658" s="1" t="n">
        <v>45761</v>
      </c>
      <c r="D1658" t="inlineStr">
        <is>
          <t>SÖDERMANLANDS LÄN</t>
        </is>
      </c>
      <c r="E1658" t="inlineStr">
        <is>
          <t>FLEN</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32546-2020</t>
        </is>
      </c>
      <c r="B1659" s="1" t="n">
        <v>44018</v>
      </c>
      <c r="C1659" s="1" t="n">
        <v>45761</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32558-2020</t>
        </is>
      </c>
      <c r="B1660" s="1" t="n">
        <v>44018</v>
      </c>
      <c r="C1660" s="1" t="n">
        <v>45761</v>
      </c>
      <c r="D1660" t="inlineStr">
        <is>
          <t>SÖDERMANLANDS LÄN</t>
        </is>
      </c>
      <c r="E1660" t="inlineStr">
        <is>
          <t>NYKÖPING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32585-2020</t>
        </is>
      </c>
      <c r="B1661" s="1" t="n">
        <v>44018</v>
      </c>
      <c r="C1661" s="1" t="n">
        <v>45761</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32626-2020</t>
        </is>
      </c>
      <c r="B1662" s="1" t="n">
        <v>44019</v>
      </c>
      <c r="C1662" s="1" t="n">
        <v>45761</v>
      </c>
      <c r="D1662" t="inlineStr">
        <is>
          <t>SÖDERMANLANDS LÄN</t>
        </is>
      </c>
      <c r="E1662" t="inlineStr">
        <is>
          <t>ESKILSTUNA</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33146-2020</t>
        </is>
      </c>
      <c r="B1663" s="1" t="n">
        <v>44021</v>
      </c>
      <c r="C1663" s="1" t="n">
        <v>45761</v>
      </c>
      <c r="D1663" t="inlineStr">
        <is>
          <t>SÖDERMANLANDS LÄN</t>
        </is>
      </c>
      <c r="E1663" t="inlineStr">
        <is>
          <t>FLEN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33232-2020</t>
        </is>
      </c>
      <c r="B1664" s="1" t="n">
        <v>44021</v>
      </c>
      <c r="C1664" s="1" t="n">
        <v>45761</v>
      </c>
      <c r="D1664" t="inlineStr">
        <is>
          <t>SÖDERMANLANDS LÄN</t>
        </is>
      </c>
      <c r="E1664" t="inlineStr">
        <is>
          <t>KATRINEHOLM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33464-2020</t>
        </is>
      </c>
      <c r="B1665" s="1" t="n">
        <v>44023</v>
      </c>
      <c r="C1665" s="1" t="n">
        <v>45761</v>
      </c>
      <c r="D1665" t="inlineStr">
        <is>
          <t>SÖDERMANLANDS LÄN</t>
        </is>
      </c>
      <c r="E1665" t="inlineStr">
        <is>
          <t>FLEN</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33471-2020</t>
        </is>
      </c>
      <c r="B1666" s="1" t="n">
        <v>44023</v>
      </c>
      <c r="C1666" s="1" t="n">
        <v>45761</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33488-2020</t>
        </is>
      </c>
      <c r="B1667" s="1" t="n">
        <v>44024</v>
      </c>
      <c r="C1667" s="1" t="n">
        <v>45761</v>
      </c>
      <c r="D1667" t="inlineStr">
        <is>
          <t>SÖDERMANLANDS LÄN</t>
        </is>
      </c>
      <c r="E1667" t="inlineStr">
        <is>
          <t>STRÄNGNÄS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33510-2020</t>
        </is>
      </c>
      <c r="B1668" s="1" t="n">
        <v>44025</v>
      </c>
      <c r="C1668" s="1" t="n">
        <v>45761</v>
      </c>
      <c r="D1668" t="inlineStr">
        <is>
          <t>SÖDERMANLANDS LÄN</t>
        </is>
      </c>
      <c r="E1668" t="inlineStr">
        <is>
          <t>STRÄNGNÄS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33743-2020</t>
        </is>
      </c>
      <c r="B1669" s="1" t="n">
        <v>44026</v>
      </c>
      <c r="C1669" s="1" t="n">
        <v>45761</v>
      </c>
      <c r="D1669" t="inlineStr">
        <is>
          <t>SÖDERMANLANDS LÄN</t>
        </is>
      </c>
      <c r="E1669" t="inlineStr">
        <is>
          <t>STRÄNGNÄS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33738-2020</t>
        </is>
      </c>
      <c r="B1670" s="1" t="n">
        <v>44026</v>
      </c>
      <c r="C1670" s="1" t="n">
        <v>45761</v>
      </c>
      <c r="D1670" t="inlineStr">
        <is>
          <t>SÖDERMANLANDS LÄN</t>
        </is>
      </c>
      <c r="E1670" t="inlineStr">
        <is>
          <t>STRÄNGNÄS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33682-2020</t>
        </is>
      </c>
      <c r="B1671" s="1" t="n">
        <v>44026</v>
      </c>
      <c r="C1671" s="1" t="n">
        <v>45761</v>
      </c>
      <c r="D1671" t="inlineStr">
        <is>
          <t>SÖDERMANLANDS LÄN</t>
        </is>
      </c>
      <c r="E1671" t="inlineStr">
        <is>
          <t>FLEN</t>
        </is>
      </c>
      <c r="F1671" t="inlineStr">
        <is>
          <t>Övriga statliga verk och myndigheter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34066-2020</t>
        </is>
      </c>
      <c r="B1672" s="1" t="n">
        <v>44027</v>
      </c>
      <c r="C1672" s="1" t="n">
        <v>45761</v>
      </c>
      <c r="D1672" t="inlineStr">
        <is>
          <t>SÖDERMANLANDS LÄN</t>
        </is>
      </c>
      <c r="E1672" t="inlineStr">
        <is>
          <t>FLEN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33976-2020</t>
        </is>
      </c>
      <c r="B1673" s="1" t="n">
        <v>44028</v>
      </c>
      <c r="C1673" s="1" t="n">
        <v>45761</v>
      </c>
      <c r="D1673" t="inlineStr">
        <is>
          <t>SÖDERMANLANDS LÄN</t>
        </is>
      </c>
      <c r="E1673" t="inlineStr">
        <is>
          <t>KATRINEHOLM</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34070-2020</t>
        </is>
      </c>
      <c r="B1674" s="1" t="n">
        <v>44028</v>
      </c>
      <c r="C1674" s="1" t="n">
        <v>45761</v>
      </c>
      <c r="D1674" t="inlineStr">
        <is>
          <t>SÖDERMANLANDS LÄN</t>
        </is>
      </c>
      <c r="E1674" t="inlineStr">
        <is>
          <t>KATRINEHOLM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34072-2020</t>
        </is>
      </c>
      <c r="B1675" s="1" t="n">
        <v>44028</v>
      </c>
      <c r="C1675" s="1" t="n">
        <v>45761</v>
      </c>
      <c r="D1675" t="inlineStr">
        <is>
          <t>SÖDERMANLANDS LÄN</t>
        </is>
      </c>
      <c r="E1675" t="inlineStr">
        <is>
          <t>FLEN</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34224-2020</t>
        </is>
      </c>
      <c r="B1676" s="1" t="n">
        <v>44029</v>
      </c>
      <c r="C1676" s="1" t="n">
        <v>45761</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34438-2020</t>
        </is>
      </c>
      <c r="B1677" s="1" t="n">
        <v>44029</v>
      </c>
      <c r="C1677" s="1" t="n">
        <v>45761</v>
      </c>
      <c r="D1677" t="inlineStr">
        <is>
          <t>SÖDERMANLANDS LÄN</t>
        </is>
      </c>
      <c r="E1677" t="inlineStr">
        <is>
          <t>NYKÖPING</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34109-2020</t>
        </is>
      </c>
      <c r="B1678" s="1" t="n">
        <v>44029</v>
      </c>
      <c r="C1678" s="1" t="n">
        <v>45761</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34129-2020</t>
        </is>
      </c>
      <c r="B1679" s="1" t="n">
        <v>44029</v>
      </c>
      <c r="C1679" s="1" t="n">
        <v>45761</v>
      </c>
      <c r="D1679" t="inlineStr">
        <is>
          <t>SÖDERMANLANDS LÄN</t>
        </is>
      </c>
      <c r="E1679" t="inlineStr">
        <is>
          <t>NYKÖPING</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34489-2020</t>
        </is>
      </c>
      <c r="B1680" s="1" t="n">
        <v>44029</v>
      </c>
      <c r="C1680" s="1" t="n">
        <v>45761</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34108-2020</t>
        </is>
      </c>
      <c r="B1681" s="1" t="n">
        <v>44029</v>
      </c>
      <c r="C1681" s="1" t="n">
        <v>45761</v>
      </c>
      <c r="D1681" t="inlineStr">
        <is>
          <t>SÖDERMANLANDS LÄN</t>
        </is>
      </c>
      <c r="E1681" t="inlineStr">
        <is>
          <t>NYKÖPING</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34122-2020</t>
        </is>
      </c>
      <c r="B1682" s="1" t="n">
        <v>44029</v>
      </c>
      <c r="C1682" s="1" t="n">
        <v>45761</v>
      </c>
      <c r="D1682" t="inlineStr">
        <is>
          <t>SÖDERMANLANDS LÄN</t>
        </is>
      </c>
      <c r="E1682" t="inlineStr">
        <is>
          <t>NYKÖPING</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34536-2020</t>
        </is>
      </c>
      <c r="B1683" s="1" t="n">
        <v>44032</v>
      </c>
      <c r="C1683" s="1" t="n">
        <v>45761</v>
      </c>
      <c r="D1683" t="inlineStr">
        <is>
          <t>SÖDERMANLANDS LÄN</t>
        </is>
      </c>
      <c r="E1683" t="inlineStr">
        <is>
          <t>GNESTA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34530-2020</t>
        </is>
      </c>
      <c r="B1684" s="1" t="n">
        <v>44033</v>
      </c>
      <c r="C1684" s="1" t="n">
        <v>45761</v>
      </c>
      <c r="D1684" t="inlineStr">
        <is>
          <t>SÖDERMANLANDS LÄN</t>
        </is>
      </c>
      <c r="E1684" t="inlineStr">
        <is>
          <t>NYKÖPING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34676-2020</t>
        </is>
      </c>
      <c r="B1685" s="1" t="n">
        <v>44035</v>
      </c>
      <c r="C1685" s="1" t="n">
        <v>45761</v>
      </c>
      <c r="D1685" t="inlineStr">
        <is>
          <t>SÖDERMANLANDS LÄN</t>
        </is>
      </c>
      <c r="E1685" t="inlineStr">
        <is>
          <t>GNESTA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34709-2020</t>
        </is>
      </c>
      <c r="B1686" s="1" t="n">
        <v>44035</v>
      </c>
      <c r="C1686" s="1" t="n">
        <v>45761</v>
      </c>
      <c r="D1686" t="inlineStr">
        <is>
          <t>SÖDERMANLANDS LÄN</t>
        </is>
      </c>
      <c r="E1686" t="inlineStr">
        <is>
          <t>ESKILSTUNA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34717-2020</t>
        </is>
      </c>
      <c r="B1687" s="1" t="n">
        <v>44035</v>
      </c>
      <c r="C1687" s="1" t="n">
        <v>45761</v>
      </c>
      <c r="D1687" t="inlineStr">
        <is>
          <t>SÖDERMANLANDS LÄN</t>
        </is>
      </c>
      <c r="E1687" t="inlineStr">
        <is>
          <t>VINGÅKER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34957-2020</t>
        </is>
      </c>
      <c r="B1688" s="1" t="n">
        <v>44036</v>
      </c>
      <c r="C1688" s="1" t="n">
        <v>45761</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34992-2020</t>
        </is>
      </c>
      <c r="B1689" s="1" t="n">
        <v>44039</v>
      </c>
      <c r="C1689" s="1" t="n">
        <v>45761</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35093-2020</t>
        </is>
      </c>
      <c r="B1690" s="1" t="n">
        <v>44039</v>
      </c>
      <c r="C1690" s="1" t="n">
        <v>45761</v>
      </c>
      <c r="D1690" t="inlineStr">
        <is>
          <t>SÖDERMANLANDS LÄN</t>
        </is>
      </c>
      <c r="E1690" t="inlineStr">
        <is>
          <t>FLEN</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35054-2020</t>
        </is>
      </c>
      <c r="B1691" s="1" t="n">
        <v>44039</v>
      </c>
      <c r="C1691" s="1" t="n">
        <v>45761</v>
      </c>
      <c r="D1691" t="inlineStr">
        <is>
          <t>SÖDERMANLANDS LÄN</t>
        </is>
      </c>
      <c r="E1691" t="inlineStr">
        <is>
          <t>ESKILSTUNA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35176-2020</t>
        </is>
      </c>
      <c r="B1692" s="1" t="n">
        <v>44040</v>
      </c>
      <c r="C1692" s="1" t="n">
        <v>45761</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35186-2020</t>
        </is>
      </c>
      <c r="B1693" s="1" t="n">
        <v>44040</v>
      </c>
      <c r="C1693" s="1" t="n">
        <v>45761</v>
      </c>
      <c r="D1693" t="inlineStr">
        <is>
          <t>SÖDERMANLANDS LÄN</t>
        </is>
      </c>
      <c r="E1693" t="inlineStr">
        <is>
          <t>STRÄNGNÄS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35302-2020</t>
        </is>
      </c>
      <c r="B1694" s="1" t="n">
        <v>44041</v>
      </c>
      <c r="C1694" s="1" t="n">
        <v>45761</v>
      </c>
      <c r="D1694" t="inlineStr">
        <is>
          <t>SÖDERMANLANDS LÄN</t>
        </is>
      </c>
      <c r="E1694" t="inlineStr">
        <is>
          <t>ESKILSTUNA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35383-2020</t>
        </is>
      </c>
      <c r="B1695" s="1" t="n">
        <v>44042</v>
      </c>
      <c r="C1695" s="1" t="n">
        <v>45761</v>
      </c>
      <c r="D1695" t="inlineStr">
        <is>
          <t>SÖDERMANLANDS LÄN</t>
        </is>
      </c>
      <c r="E1695" t="inlineStr">
        <is>
          <t>STRÄNGNÄS</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35398-2020</t>
        </is>
      </c>
      <c r="B1696" s="1" t="n">
        <v>44042</v>
      </c>
      <c r="C1696" s="1" t="n">
        <v>45761</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35501-2020</t>
        </is>
      </c>
      <c r="B1697" s="1" t="n">
        <v>44042</v>
      </c>
      <c r="C1697" s="1" t="n">
        <v>45761</v>
      </c>
      <c r="D1697" t="inlineStr">
        <is>
          <t>SÖDERMANLANDS LÄN</t>
        </is>
      </c>
      <c r="E1697" t="inlineStr">
        <is>
          <t>FLEN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35506-2020</t>
        </is>
      </c>
      <c r="B1698" s="1" t="n">
        <v>44042</v>
      </c>
      <c r="C1698" s="1" t="n">
        <v>45761</v>
      </c>
      <c r="D1698" t="inlineStr">
        <is>
          <t>SÖDERMANLANDS LÄN</t>
        </is>
      </c>
      <c r="E1698" t="inlineStr">
        <is>
          <t>ESKILSTUNA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35443-2020</t>
        </is>
      </c>
      <c r="B1699" s="1" t="n">
        <v>44042</v>
      </c>
      <c r="C1699" s="1" t="n">
        <v>45761</v>
      </c>
      <c r="D1699" t="inlineStr">
        <is>
          <t>SÖDERMANLANDS LÄN</t>
        </is>
      </c>
      <c r="E1699" t="inlineStr">
        <is>
          <t>VINGÅKER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35563-2020</t>
        </is>
      </c>
      <c r="B1700" s="1" t="n">
        <v>44043</v>
      </c>
      <c r="C1700" s="1" t="n">
        <v>45761</v>
      </c>
      <c r="D1700" t="inlineStr">
        <is>
          <t>SÖDERMANLANDS LÄN</t>
        </is>
      </c>
      <c r="E1700" t="inlineStr">
        <is>
          <t>FLEN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35560-2020</t>
        </is>
      </c>
      <c r="B1701" s="1" t="n">
        <v>44043</v>
      </c>
      <c r="C1701" s="1" t="n">
        <v>45761</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35583-2020</t>
        </is>
      </c>
      <c r="B1702" s="1" t="n">
        <v>44043</v>
      </c>
      <c r="C1702" s="1" t="n">
        <v>45761</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35788-2020</t>
        </is>
      </c>
      <c r="B1703" s="1" t="n">
        <v>44046</v>
      </c>
      <c r="C1703" s="1" t="n">
        <v>45761</v>
      </c>
      <c r="D1703" t="inlineStr">
        <is>
          <t>SÖDERMANLANDS LÄN</t>
        </is>
      </c>
      <c r="E1703" t="inlineStr">
        <is>
          <t>STRÄNGNÄS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35698-2020</t>
        </is>
      </c>
      <c r="B1704" s="1" t="n">
        <v>44046</v>
      </c>
      <c r="C1704" s="1" t="n">
        <v>45761</v>
      </c>
      <c r="D1704" t="inlineStr">
        <is>
          <t>SÖDERMANLANDS LÄN</t>
        </is>
      </c>
      <c r="E1704" t="inlineStr">
        <is>
          <t>NYKÖPING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35855-2020</t>
        </is>
      </c>
      <c r="B1705" s="1" t="n">
        <v>44047</v>
      </c>
      <c r="C1705" s="1" t="n">
        <v>45761</v>
      </c>
      <c r="D1705" t="inlineStr">
        <is>
          <t>SÖDERMANLANDS LÄN</t>
        </is>
      </c>
      <c r="E1705" t="inlineStr">
        <is>
          <t>NYKÖPING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35970-2020</t>
        </is>
      </c>
      <c r="B1706" s="1" t="n">
        <v>44047</v>
      </c>
      <c r="C1706" s="1" t="n">
        <v>45761</v>
      </c>
      <c r="D1706" t="inlineStr">
        <is>
          <t>SÖDERMANLANDS LÄN</t>
        </is>
      </c>
      <c r="E1706" t="inlineStr">
        <is>
          <t>KATRINEHOLM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35817-2020</t>
        </is>
      </c>
      <c r="B1707" s="1" t="n">
        <v>44047</v>
      </c>
      <c r="C1707" s="1" t="n">
        <v>45761</v>
      </c>
      <c r="D1707" t="inlineStr">
        <is>
          <t>SÖDERMANLANDS LÄN</t>
        </is>
      </c>
      <c r="E1707" t="inlineStr">
        <is>
          <t>FLEN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36108-2020</t>
        </is>
      </c>
      <c r="B1708" s="1" t="n">
        <v>44048</v>
      </c>
      <c r="C1708" s="1" t="n">
        <v>45761</v>
      </c>
      <c r="D1708" t="inlineStr">
        <is>
          <t>SÖDERMANLANDS LÄN</t>
        </is>
      </c>
      <c r="E1708" t="inlineStr">
        <is>
          <t>NYKÖPING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36096-2020</t>
        </is>
      </c>
      <c r="B1709" s="1" t="n">
        <v>44048</v>
      </c>
      <c r="C1709" s="1" t="n">
        <v>45761</v>
      </c>
      <c r="D1709" t="inlineStr">
        <is>
          <t>SÖDERMANLANDS LÄN</t>
        </is>
      </c>
      <c r="E1709" t="inlineStr">
        <is>
          <t>VINGÅKER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36120-2020</t>
        </is>
      </c>
      <c r="B1710" s="1" t="n">
        <v>44048</v>
      </c>
      <c r="C1710" s="1" t="n">
        <v>45761</v>
      </c>
      <c r="D1710" t="inlineStr">
        <is>
          <t>SÖDERMANLANDS LÄN</t>
        </is>
      </c>
      <c r="E1710" t="inlineStr">
        <is>
          <t>ESKILSTUNA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36236-2020</t>
        </is>
      </c>
      <c r="B1711" s="1" t="n">
        <v>44048</v>
      </c>
      <c r="C1711" s="1" t="n">
        <v>45761</v>
      </c>
      <c r="D1711" t="inlineStr">
        <is>
          <t>SÖDERMANLANDS LÄN</t>
        </is>
      </c>
      <c r="E1711" t="inlineStr">
        <is>
          <t>ESKILSTUNA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36317-2020</t>
        </is>
      </c>
      <c r="B1712" s="1" t="n">
        <v>44049</v>
      </c>
      <c r="C1712" s="1" t="n">
        <v>45761</v>
      </c>
      <c r="D1712" t="inlineStr">
        <is>
          <t>SÖDERMANLANDS LÄN</t>
        </is>
      </c>
      <c r="E1712" t="inlineStr">
        <is>
          <t>FLEN</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36424-2020</t>
        </is>
      </c>
      <c r="B1713" s="1" t="n">
        <v>44049</v>
      </c>
      <c r="C1713" s="1" t="n">
        <v>45761</v>
      </c>
      <c r="D1713" t="inlineStr">
        <is>
          <t>SÖDERMANLANDS LÄN</t>
        </is>
      </c>
      <c r="E1713" t="inlineStr">
        <is>
          <t>KATRINEHOLM</t>
        </is>
      </c>
      <c r="F1713" t="inlineStr">
        <is>
          <t>Allmännings- och besparingsskogar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36366-2020</t>
        </is>
      </c>
      <c r="B1714" s="1" t="n">
        <v>44049</v>
      </c>
      <c r="C1714" s="1" t="n">
        <v>45761</v>
      </c>
      <c r="D1714" t="inlineStr">
        <is>
          <t>SÖDERMANLANDS LÄN</t>
        </is>
      </c>
      <c r="E1714" t="inlineStr">
        <is>
          <t>FLEN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36766-2020</t>
        </is>
      </c>
      <c r="B1715" s="1" t="n">
        <v>44053</v>
      </c>
      <c r="C1715" s="1" t="n">
        <v>45761</v>
      </c>
      <c r="D1715" t="inlineStr">
        <is>
          <t>SÖDERMANLANDS LÄN</t>
        </is>
      </c>
      <c r="E1715" t="inlineStr">
        <is>
          <t>NYKÖPING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36880-2020</t>
        </is>
      </c>
      <c r="B1716" s="1" t="n">
        <v>44053</v>
      </c>
      <c r="C1716" s="1" t="n">
        <v>45761</v>
      </c>
      <c r="D1716" t="inlineStr">
        <is>
          <t>SÖDERMANLANDS LÄN</t>
        </is>
      </c>
      <c r="E1716" t="inlineStr">
        <is>
          <t>FLEN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36891-2020</t>
        </is>
      </c>
      <c r="B1717" s="1" t="n">
        <v>44053</v>
      </c>
      <c r="C1717" s="1" t="n">
        <v>45761</v>
      </c>
      <c r="D1717" t="inlineStr">
        <is>
          <t>SÖDERMANLANDS LÄN</t>
        </is>
      </c>
      <c r="E1717" t="inlineStr">
        <is>
          <t>FLEN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37028-2020</t>
        </is>
      </c>
      <c r="B1718" s="1" t="n">
        <v>44053</v>
      </c>
      <c r="C1718" s="1" t="n">
        <v>45761</v>
      </c>
      <c r="D1718" t="inlineStr">
        <is>
          <t>SÖDERMANLANDS LÄN</t>
        </is>
      </c>
      <c r="E1718" t="inlineStr">
        <is>
          <t>NYKÖPING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36897-2020</t>
        </is>
      </c>
      <c r="B1719" s="1" t="n">
        <v>44053</v>
      </c>
      <c r="C1719" s="1" t="n">
        <v>45761</v>
      </c>
      <c r="D1719" t="inlineStr">
        <is>
          <t>SÖDERMANLANDS LÄN</t>
        </is>
      </c>
      <c r="E1719" t="inlineStr">
        <is>
          <t>NYKÖPING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37029-2020</t>
        </is>
      </c>
      <c r="B1720" s="1" t="n">
        <v>44053</v>
      </c>
      <c r="C1720" s="1" t="n">
        <v>45761</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36998-2020</t>
        </is>
      </c>
      <c r="B1721" s="1" t="n">
        <v>44054</v>
      </c>
      <c r="C1721" s="1" t="n">
        <v>45761</v>
      </c>
      <c r="D1721" t="inlineStr">
        <is>
          <t>SÖDERMANLANDS LÄN</t>
        </is>
      </c>
      <c r="E1721" t="inlineStr">
        <is>
          <t>STRÄNGNÄS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37092-2020</t>
        </is>
      </c>
      <c r="B1722" s="1" t="n">
        <v>44054</v>
      </c>
      <c r="C1722" s="1" t="n">
        <v>45761</v>
      </c>
      <c r="D1722" t="inlineStr">
        <is>
          <t>SÖDERMANLANDS LÄN</t>
        </is>
      </c>
      <c r="E1722" t="inlineStr">
        <is>
          <t>VINGÅKER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37214-2020</t>
        </is>
      </c>
      <c r="B1723" s="1" t="n">
        <v>44054</v>
      </c>
      <c r="C1723" s="1" t="n">
        <v>45761</v>
      </c>
      <c r="D1723" t="inlineStr">
        <is>
          <t>SÖDERMANLANDS LÄN</t>
        </is>
      </c>
      <c r="E1723" t="inlineStr">
        <is>
          <t>FLEN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37274-2020</t>
        </is>
      </c>
      <c r="B1724" s="1" t="n">
        <v>44054</v>
      </c>
      <c r="C1724" s="1" t="n">
        <v>45761</v>
      </c>
      <c r="D1724" t="inlineStr">
        <is>
          <t>SÖDERMANLANDS LÄN</t>
        </is>
      </c>
      <c r="E1724" t="inlineStr">
        <is>
          <t>FLEN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37267-2020</t>
        </is>
      </c>
      <c r="B1725" s="1" t="n">
        <v>44055</v>
      </c>
      <c r="C1725" s="1" t="n">
        <v>45761</v>
      </c>
      <c r="D1725" t="inlineStr">
        <is>
          <t>SÖDERMANLANDS LÄN</t>
        </is>
      </c>
      <c r="E1725" t="inlineStr">
        <is>
          <t>ESKILSTUNA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37435-2020</t>
        </is>
      </c>
      <c r="B1726" s="1" t="n">
        <v>44055</v>
      </c>
      <c r="C1726" s="1" t="n">
        <v>45761</v>
      </c>
      <c r="D1726" t="inlineStr">
        <is>
          <t>SÖDERMANLANDS LÄN</t>
        </is>
      </c>
      <c r="E1726" t="inlineStr">
        <is>
          <t>STRÄNGNÄS</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37272-2020</t>
        </is>
      </c>
      <c r="B1727" s="1" t="n">
        <v>44055</v>
      </c>
      <c r="C1727" s="1" t="n">
        <v>45761</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37438-2020</t>
        </is>
      </c>
      <c r="B1728" s="1" t="n">
        <v>44055</v>
      </c>
      <c r="C1728" s="1" t="n">
        <v>45761</v>
      </c>
      <c r="D1728" t="inlineStr">
        <is>
          <t>SÖDERMANLANDS LÄN</t>
        </is>
      </c>
      <c r="E1728" t="inlineStr">
        <is>
          <t>STRÄNGNÄS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37261-2020</t>
        </is>
      </c>
      <c r="B1729" s="1" t="n">
        <v>44055</v>
      </c>
      <c r="C1729" s="1" t="n">
        <v>45761</v>
      </c>
      <c r="D1729" t="inlineStr">
        <is>
          <t>SÖDERMANLANDS LÄN</t>
        </is>
      </c>
      <c r="E1729" t="inlineStr">
        <is>
          <t>ESKILSTUNA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37573-2020</t>
        </is>
      </c>
      <c r="B1730" s="1" t="n">
        <v>44056</v>
      </c>
      <c r="C1730" s="1" t="n">
        <v>45761</v>
      </c>
      <c r="D1730" t="inlineStr">
        <is>
          <t>SÖDERMANLANDS LÄN</t>
        </is>
      </c>
      <c r="E1730" t="inlineStr">
        <is>
          <t>NYKÖPING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37736-2020</t>
        </is>
      </c>
      <c r="B1731" s="1" t="n">
        <v>44056</v>
      </c>
      <c r="C1731" s="1" t="n">
        <v>45761</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37763-2020</t>
        </is>
      </c>
      <c r="B1732" s="1" t="n">
        <v>44056</v>
      </c>
      <c r="C1732" s="1" t="n">
        <v>45761</v>
      </c>
      <c r="D1732" t="inlineStr">
        <is>
          <t>SÖDERMANLANDS LÄN</t>
        </is>
      </c>
      <c r="E1732" t="inlineStr">
        <is>
          <t>NYKÖPING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37838-2020</t>
        </is>
      </c>
      <c r="B1733" s="1" t="n">
        <v>44057</v>
      </c>
      <c r="C1733" s="1" t="n">
        <v>45761</v>
      </c>
      <c r="D1733" t="inlineStr">
        <is>
          <t>SÖDERMANLANDS LÄN</t>
        </is>
      </c>
      <c r="E1733" t="inlineStr">
        <is>
          <t>NYKÖPING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37897-2020</t>
        </is>
      </c>
      <c r="B1734" s="1" t="n">
        <v>44057</v>
      </c>
      <c r="C1734" s="1" t="n">
        <v>45761</v>
      </c>
      <c r="D1734" t="inlineStr">
        <is>
          <t>SÖDERMANLANDS LÄN</t>
        </is>
      </c>
      <c r="E1734" t="inlineStr">
        <is>
          <t>FLEN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38126-2020</t>
        </is>
      </c>
      <c r="B1735" s="1" t="n">
        <v>44059</v>
      </c>
      <c r="C1735" s="1" t="n">
        <v>45761</v>
      </c>
      <c r="D1735" t="inlineStr">
        <is>
          <t>SÖDERMANLANDS LÄN</t>
        </is>
      </c>
      <c r="E1735" t="inlineStr">
        <is>
          <t>NYKÖPING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38279-2020</t>
        </is>
      </c>
      <c r="B1736" s="1" t="n">
        <v>44060</v>
      </c>
      <c r="C1736" s="1" t="n">
        <v>45761</v>
      </c>
      <c r="D1736" t="inlineStr">
        <is>
          <t>SÖDERMANLANDS LÄN</t>
        </is>
      </c>
      <c r="E1736" t="inlineStr">
        <is>
          <t>NYKÖPING</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38244-2020</t>
        </is>
      </c>
      <c r="B1737" s="1" t="n">
        <v>44060</v>
      </c>
      <c r="C1737" s="1" t="n">
        <v>45761</v>
      </c>
      <c r="D1737" t="inlineStr">
        <is>
          <t>SÖDERMANLANDS LÄN</t>
        </is>
      </c>
      <c r="E1737" t="inlineStr">
        <is>
          <t>GNESTA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38450-2020</t>
        </is>
      </c>
      <c r="B1738" s="1" t="n">
        <v>44060</v>
      </c>
      <c r="C1738" s="1" t="n">
        <v>45761</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38301-2020</t>
        </is>
      </c>
      <c r="B1739" s="1" t="n">
        <v>44060</v>
      </c>
      <c r="C1739" s="1" t="n">
        <v>45761</v>
      </c>
      <c r="D1739" t="inlineStr">
        <is>
          <t>SÖDERMANLANDS LÄN</t>
        </is>
      </c>
      <c r="E1739" t="inlineStr">
        <is>
          <t>KATRINEHOLM</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38584-2020</t>
        </is>
      </c>
      <c r="B1740" s="1" t="n">
        <v>44061</v>
      </c>
      <c r="C1740" s="1" t="n">
        <v>45761</v>
      </c>
      <c r="D1740" t="inlineStr">
        <is>
          <t>SÖDERMANLANDS LÄN</t>
        </is>
      </c>
      <c r="E1740" t="inlineStr">
        <is>
          <t>KATRINEHOLM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38613-2020</t>
        </is>
      </c>
      <c r="B1741" s="1" t="n">
        <v>44061</v>
      </c>
      <c r="C1741" s="1" t="n">
        <v>45761</v>
      </c>
      <c r="D1741" t="inlineStr">
        <is>
          <t>SÖDERMANLANDS LÄN</t>
        </is>
      </c>
      <c r="E1741" t="inlineStr">
        <is>
          <t>FLEN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38625-2020</t>
        </is>
      </c>
      <c r="B1742" s="1" t="n">
        <v>44061</v>
      </c>
      <c r="C1742" s="1" t="n">
        <v>45761</v>
      </c>
      <c r="D1742" t="inlineStr">
        <is>
          <t>SÖDERMANLANDS LÄN</t>
        </is>
      </c>
      <c r="E1742" t="inlineStr">
        <is>
          <t>KATRINEHOLM</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38778-2020</t>
        </is>
      </c>
      <c r="B1743" s="1" t="n">
        <v>44061</v>
      </c>
      <c r="C1743" s="1" t="n">
        <v>45761</v>
      </c>
      <c r="D1743" t="inlineStr">
        <is>
          <t>SÖDERMANLANDS LÄN</t>
        </is>
      </c>
      <c r="E1743" t="inlineStr">
        <is>
          <t>GNESTA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38849-2020</t>
        </is>
      </c>
      <c r="B1744" s="1" t="n">
        <v>44062</v>
      </c>
      <c r="C1744" s="1" t="n">
        <v>45761</v>
      </c>
      <c r="D1744" t="inlineStr">
        <is>
          <t>SÖDERMANLANDS LÄN</t>
        </is>
      </c>
      <c r="E1744" t="inlineStr">
        <is>
          <t>FLEN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38877-2020</t>
        </is>
      </c>
      <c r="B1745" s="1" t="n">
        <v>44062</v>
      </c>
      <c r="C1745" s="1" t="n">
        <v>45761</v>
      </c>
      <c r="D1745" t="inlineStr">
        <is>
          <t>SÖDERMANLANDS LÄN</t>
        </is>
      </c>
      <c r="E1745" t="inlineStr">
        <is>
          <t>TROSA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38845-2020</t>
        </is>
      </c>
      <c r="B1746" s="1" t="n">
        <v>44062</v>
      </c>
      <c r="C1746" s="1" t="n">
        <v>45761</v>
      </c>
      <c r="D1746" t="inlineStr">
        <is>
          <t>SÖDERMANLANDS LÄN</t>
        </is>
      </c>
      <c r="E1746" t="inlineStr">
        <is>
          <t>NYKÖPING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38854-2020</t>
        </is>
      </c>
      <c r="B1747" s="1" t="n">
        <v>44062</v>
      </c>
      <c r="C1747" s="1" t="n">
        <v>45761</v>
      </c>
      <c r="D1747" t="inlineStr">
        <is>
          <t>SÖDERMANLANDS LÄN</t>
        </is>
      </c>
      <c r="E1747" t="inlineStr">
        <is>
          <t>FLEN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38883-2020</t>
        </is>
      </c>
      <c r="B1748" s="1" t="n">
        <v>44062</v>
      </c>
      <c r="C1748" s="1" t="n">
        <v>45761</v>
      </c>
      <c r="D1748" t="inlineStr">
        <is>
          <t>SÖDERMANLANDS LÄN</t>
        </is>
      </c>
      <c r="E1748" t="inlineStr">
        <is>
          <t>KATRINEHOLM</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39197-2020</t>
        </is>
      </c>
      <c r="B1749" s="1" t="n">
        <v>44063</v>
      </c>
      <c r="C1749" s="1" t="n">
        <v>45761</v>
      </c>
      <c r="D1749" t="inlineStr">
        <is>
          <t>SÖDERMANLANDS LÄN</t>
        </is>
      </c>
      <c r="E1749" t="inlineStr">
        <is>
          <t>NYKÖPING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39866-2020</t>
        </is>
      </c>
      <c r="B1750" s="1" t="n">
        <v>44064</v>
      </c>
      <c r="C1750" s="1" t="n">
        <v>45761</v>
      </c>
      <c r="D1750" t="inlineStr">
        <is>
          <t>SÖDERMANLANDS LÄN</t>
        </is>
      </c>
      <c r="E1750" t="inlineStr">
        <is>
          <t>VINGÅKER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39963-2020</t>
        </is>
      </c>
      <c r="B1751" s="1" t="n">
        <v>44067</v>
      </c>
      <c r="C1751" s="1" t="n">
        <v>45761</v>
      </c>
      <c r="D1751" t="inlineStr">
        <is>
          <t>SÖDERMANLANDS LÄN</t>
        </is>
      </c>
      <c r="E1751" t="inlineStr">
        <is>
          <t>TROSA</t>
        </is>
      </c>
      <c r="F1751" t="inlineStr">
        <is>
          <t>Kommuner</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39772-2020</t>
        </is>
      </c>
      <c r="B1752" s="1" t="n">
        <v>44067</v>
      </c>
      <c r="C1752" s="1" t="n">
        <v>45761</v>
      </c>
      <c r="D1752" t="inlineStr">
        <is>
          <t>SÖDERMANLANDS LÄN</t>
        </is>
      </c>
      <c r="E1752" t="inlineStr">
        <is>
          <t>NYKÖPING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39938-2020</t>
        </is>
      </c>
      <c r="B1753" s="1" t="n">
        <v>44067</v>
      </c>
      <c r="C1753" s="1" t="n">
        <v>45761</v>
      </c>
      <c r="D1753" t="inlineStr">
        <is>
          <t>SÖDERMANLANDS LÄN</t>
        </is>
      </c>
      <c r="E1753" t="inlineStr">
        <is>
          <t>NYKÖPING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40693-2020</t>
        </is>
      </c>
      <c r="B1754" s="1" t="n">
        <v>44067</v>
      </c>
      <c r="C1754" s="1" t="n">
        <v>45761</v>
      </c>
      <c r="D1754" t="inlineStr">
        <is>
          <t>SÖDERMANLANDS LÄN</t>
        </is>
      </c>
      <c r="E1754" t="inlineStr">
        <is>
          <t>FLEN</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40352-2020</t>
        </is>
      </c>
      <c r="B1755" s="1" t="n">
        <v>44068</v>
      </c>
      <c r="C1755" s="1" t="n">
        <v>45761</v>
      </c>
      <c r="D1755" t="inlineStr">
        <is>
          <t>SÖDERMANLANDS LÄN</t>
        </is>
      </c>
      <c r="E1755" t="inlineStr">
        <is>
          <t>GNESTA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40230-2020</t>
        </is>
      </c>
      <c r="B1756" s="1" t="n">
        <v>44068</v>
      </c>
      <c r="C1756" s="1" t="n">
        <v>45761</v>
      </c>
      <c r="D1756" t="inlineStr">
        <is>
          <t>SÖDERMANLANDS LÄN</t>
        </is>
      </c>
      <c r="E1756" t="inlineStr">
        <is>
          <t>KATRINEHOLM</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40259-2020</t>
        </is>
      </c>
      <c r="B1757" s="1" t="n">
        <v>44068</v>
      </c>
      <c r="C1757" s="1" t="n">
        <v>45761</v>
      </c>
      <c r="D1757" t="inlineStr">
        <is>
          <t>SÖDERMANLANDS LÄN</t>
        </is>
      </c>
      <c r="E1757" t="inlineStr">
        <is>
          <t>KATRINEHOLM</t>
        </is>
      </c>
      <c r="F1757" t="inlineStr">
        <is>
          <t>Kommuner</t>
        </is>
      </c>
      <c r="G1757" t="n">
        <v>1.9</v>
      </c>
      <c r="H1757" t="n">
        <v>0</v>
      </c>
      <c r="I1757" t="n">
        <v>0</v>
      </c>
      <c r="J1757" t="n">
        <v>0</v>
      </c>
      <c r="K1757" t="n">
        <v>0</v>
      </c>
      <c r="L1757" t="n">
        <v>0</v>
      </c>
      <c r="M1757" t="n">
        <v>0</v>
      </c>
      <c r="N1757" t="n">
        <v>0</v>
      </c>
      <c r="O1757" t="n">
        <v>0</v>
      </c>
      <c r="P1757" t="n">
        <v>0</v>
      </c>
      <c r="Q1757" t="n">
        <v>0</v>
      </c>
      <c r="R1757" s="2" t="inlineStr"/>
      <c r="U1757">
        <f>HYPERLINK("https://klasma.github.io/Logging_0483/knärot/A 40259-2020 karta knärot.png", "A 40259-2020")</f>
        <v/>
      </c>
      <c r="V1757">
        <f>HYPERLINK("https://klasma.github.io/Logging_0483/klagomål/A 40259-2020 FSC-klagomål.docx", "A 40259-2020")</f>
        <v/>
      </c>
      <c r="W1757">
        <f>HYPERLINK("https://klasma.github.io/Logging_0483/klagomålsmail/A 40259-2020 FSC-klagomål mail.docx", "A 40259-2020")</f>
        <v/>
      </c>
      <c r="X1757">
        <f>HYPERLINK("https://klasma.github.io/Logging_0483/tillsyn/A 40259-2020 tillsynsbegäran.docx", "A 40259-2020")</f>
        <v/>
      </c>
      <c r="Y1757">
        <f>HYPERLINK("https://klasma.github.io/Logging_0483/tillsynsmail/A 40259-2020 tillsynsbegäran mail.docx", "A 40259-2020")</f>
        <v/>
      </c>
    </row>
    <row r="1758" ht="15" customHeight="1">
      <c r="A1758" t="inlineStr">
        <is>
          <t>A 40358-2020</t>
        </is>
      </c>
      <c r="B1758" s="1" t="n">
        <v>44068</v>
      </c>
      <c r="C1758" s="1" t="n">
        <v>45761</v>
      </c>
      <c r="D1758" t="inlineStr">
        <is>
          <t>SÖDERMANLANDS LÄN</t>
        </is>
      </c>
      <c r="E1758" t="inlineStr">
        <is>
          <t>ESKILSTUNA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40362-2020</t>
        </is>
      </c>
      <c r="B1759" s="1" t="n">
        <v>44068</v>
      </c>
      <c r="C1759" s="1" t="n">
        <v>45761</v>
      </c>
      <c r="D1759" t="inlineStr">
        <is>
          <t>SÖDERMANLANDS LÄN</t>
        </is>
      </c>
      <c r="E1759" t="inlineStr">
        <is>
          <t>ESKILSTUNA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40503-2020</t>
        </is>
      </c>
      <c r="B1760" s="1" t="n">
        <v>44069</v>
      </c>
      <c r="C1760" s="1" t="n">
        <v>45761</v>
      </c>
      <c r="D1760" t="inlineStr">
        <is>
          <t>SÖDERMANLANDS LÄN</t>
        </is>
      </c>
      <c r="E1760" t="inlineStr">
        <is>
          <t>NYKÖPING</t>
        </is>
      </c>
      <c r="G1760" t="n">
        <v>12.8</v>
      </c>
      <c r="H1760" t="n">
        <v>0</v>
      </c>
      <c r="I1760" t="n">
        <v>0</v>
      </c>
      <c r="J1760" t="n">
        <v>0</v>
      </c>
      <c r="K1760" t="n">
        <v>0</v>
      </c>
      <c r="L1760" t="n">
        <v>0</v>
      </c>
      <c r="M1760" t="n">
        <v>0</v>
      </c>
      <c r="N1760" t="n">
        <v>0</v>
      </c>
      <c r="O1760" t="n">
        <v>0</v>
      </c>
      <c r="P1760" t="n">
        <v>0</v>
      </c>
      <c r="Q1760" t="n">
        <v>0</v>
      </c>
      <c r="R1760" s="2" t="inlineStr"/>
    </row>
    <row r="1761" ht="15" customHeight="1">
      <c r="A1761" t="inlineStr">
        <is>
          <t>A 40428-2020</t>
        </is>
      </c>
      <c r="B1761" s="1" t="n">
        <v>44069</v>
      </c>
      <c r="C1761" s="1" t="n">
        <v>45761</v>
      </c>
      <c r="D1761" t="inlineStr">
        <is>
          <t>SÖDERMANLANDS LÄN</t>
        </is>
      </c>
      <c r="E1761" t="inlineStr">
        <is>
          <t>STRÄNGNÄS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40498-2020</t>
        </is>
      </c>
      <c r="B1762" s="1" t="n">
        <v>44069</v>
      </c>
      <c r="C1762" s="1" t="n">
        <v>45761</v>
      </c>
      <c r="D1762" t="inlineStr">
        <is>
          <t>SÖDERMANLANDS LÄN</t>
        </is>
      </c>
      <c r="E1762" t="inlineStr">
        <is>
          <t>TROSA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41266-2020</t>
        </is>
      </c>
      <c r="B1763" s="1" t="n">
        <v>44069</v>
      </c>
      <c r="C1763" s="1" t="n">
        <v>45761</v>
      </c>
      <c r="D1763" t="inlineStr">
        <is>
          <t>SÖDERMANLANDS LÄN</t>
        </is>
      </c>
      <c r="E1763" t="inlineStr">
        <is>
          <t>ESKILSTUNA</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40710-2020</t>
        </is>
      </c>
      <c r="B1764" s="1" t="n">
        <v>44069</v>
      </c>
      <c r="C1764" s="1" t="n">
        <v>45761</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40722-2020</t>
        </is>
      </c>
      <c r="B1765" s="1" t="n">
        <v>44069</v>
      </c>
      <c r="C1765" s="1" t="n">
        <v>45761</v>
      </c>
      <c r="D1765" t="inlineStr">
        <is>
          <t>SÖDERMANLANDS LÄN</t>
        </is>
      </c>
      <c r="E1765" t="inlineStr">
        <is>
          <t>STRÄNGNÄS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41140-2020</t>
        </is>
      </c>
      <c r="B1766" s="1" t="n">
        <v>44069</v>
      </c>
      <c r="C1766" s="1" t="n">
        <v>45761</v>
      </c>
      <c r="D1766" t="inlineStr">
        <is>
          <t>SÖDERMANLANDS LÄN</t>
        </is>
      </c>
      <c r="E1766" t="inlineStr">
        <is>
          <t>STRÄNGNÄS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41293-2020</t>
        </is>
      </c>
      <c r="B1767" s="1" t="n">
        <v>44069</v>
      </c>
      <c r="C1767" s="1" t="n">
        <v>45761</v>
      </c>
      <c r="D1767" t="inlineStr">
        <is>
          <t>SÖDERMANLANDS LÄN</t>
        </is>
      </c>
      <c r="E1767" t="inlineStr">
        <is>
          <t>ESKILSTUNA</t>
        </is>
      </c>
      <c r="G1767" t="n">
        <v>29.8</v>
      </c>
      <c r="H1767" t="n">
        <v>0</v>
      </c>
      <c r="I1767" t="n">
        <v>0</v>
      </c>
      <c r="J1767" t="n">
        <v>0</v>
      </c>
      <c r="K1767" t="n">
        <v>0</v>
      </c>
      <c r="L1767" t="n">
        <v>0</v>
      </c>
      <c r="M1767" t="n">
        <v>0</v>
      </c>
      <c r="N1767" t="n">
        <v>0</v>
      </c>
      <c r="O1767" t="n">
        <v>0</v>
      </c>
      <c r="P1767" t="n">
        <v>0</v>
      </c>
      <c r="Q1767" t="n">
        <v>0</v>
      </c>
      <c r="R1767" s="2" t="inlineStr"/>
    </row>
    <row r="1768" ht="15" customHeight="1">
      <c r="A1768" t="inlineStr">
        <is>
          <t>A 40922-2020</t>
        </is>
      </c>
      <c r="B1768" s="1" t="n">
        <v>44070</v>
      </c>
      <c r="C1768" s="1" t="n">
        <v>45761</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41479-2020</t>
        </is>
      </c>
      <c r="B1769" s="1" t="n">
        <v>44070</v>
      </c>
      <c r="C1769" s="1" t="n">
        <v>45761</v>
      </c>
      <c r="D1769" t="inlineStr">
        <is>
          <t>SÖDERMANLANDS LÄN</t>
        </is>
      </c>
      <c r="E1769" t="inlineStr">
        <is>
          <t>NYKÖPING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40840-2020</t>
        </is>
      </c>
      <c r="B1770" s="1" t="n">
        <v>44070</v>
      </c>
      <c r="C1770" s="1" t="n">
        <v>45761</v>
      </c>
      <c r="D1770" t="inlineStr">
        <is>
          <t>SÖDERMANLANDS LÄN</t>
        </is>
      </c>
      <c r="E1770" t="inlineStr">
        <is>
          <t>VINGÅKER</t>
        </is>
      </c>
      <c r="F1770" t="inlineStr">
        <is>
          <t>Övriga Aktiebolag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41318-2020</t>
        </is>
      </c>
      <c r="B1771" s="1" t="n">
        <v>44071</v>
      </c>
      <c r="C1771" s="1" t="n">
        <v>45761</v>
      </c>
      <c r="D1771" t="inlineStr">
        <is>
          <t>SÖDERMANLANDS LÄN</t>
        </is>
      </c>
      <c r="E1771" t="inlineStr">
        <is>
          <t>STRÄNGNÄS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41597-2020</t>
        </is>
      </c>
      <c r="B1772" s="1" t="n">
        <v>44074</v>
      </c>
      <c r="C1772" s="1" t="n">
        <v>45761</v>
      </c>
      <c r="D1772" t="inlineStr">
        <is>
          <t>SÖDERMANLANDS LÄN</t>
        </is>
      </c>
      <c r="E1772" t="inlineStr">
        <is>
          <t>ESKILSTUNA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41821-2020</t>
        </is>
      </c>
      <c r="B1773" s="1" t="n">
        <v>44074</v>
      </c>
      <c r="C1773" s="1" t="n">
        <v>45761</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41837-2020</t>
        </is>
      </c>
      <c r="B1774" s="1" t="n">
        <v>44074</v>
      </c>
      <c r="C1774" s="1" t="n">
        <v>45761</v>
      </c>
      <c r="D1774" t="inlineStr">
        <is>
          <t>SÖDERMANLANDS LÄN</t>
        </is>
      </c>
      <c r="E1774" t="inlineStr">
        <is>
          <t>NYKÖPING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41790-2020</t>
        </is>
      </c>
      <c r="B1775" s="1" t="n">
        <v>44074</v>
      </c>
      <c r="C1775" s="1" t="n">
        <v>45761</v>
      </c>
      <c r="D1775" t="inlineStr">
        <is>
          <t>SÖDERMANLANDS LÄN</t>
        </is>
      </c>
      <c r="E1775" t="inlineStr">
        <is>
          <t>NYKÖPING</t>
        </is>
      </c>
      <c r="F1775" t="inlineStr">
        <is>
          <t>Holmen skog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41950-2020</t>
        </is>
      </c>
      <c r="B1776" s="1" t="n">
        <v>44075</v>
      </c>
      <c r="C1776" s="1" t="n">
        <v>45761</v>
      </c>
      <c r="D1776" t="inlineStr">
        <is>
          <t>SÖDERMANLANDS LÄN</t>
        </is>
      </c>
      <c r="E1776" t="inlineStr">
        <is>
          <t>ESKILSTUNA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42641-2020</t>
        </is>
      </c>
      <c r="B1777" s="1" t="n">
        <v>44075</v>
      </c>
      <c r="C1777" s="1" t="n">
        <v>45761</v>
      </c>
      <c r="D1777" t="inlineStr">
        <is>
          <t>SÖDERMANLANDS LÄN</t>
        </is>
      </c>
      <c r="E1777" t="inlineStr">
        <is>
          <t>KATRINEHOLM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42689-2020</t>
        </is>
      </c>
      <c r="B1778" s="1" t="n">
        <v>44075</v>
      </c>
      <c r="C1778" s="1" t="n">
        <v>45761</v>
      </c>
      <c r="D1778" t="inlineStr">
        <is>
          <t>SÖDERMANLANDS LÄN</t>
        </is>
      </c>
      <c r="E1778" t="inlineStr">
        <is>
          <t>KATRINEHOLM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42827-2020</t>
        </is>
      </c>
      <c r="B1779" s="1" t="n">
        <v>44078</v>
      </c>
      <c r="C1779" s="1" t="n">
        <v>45761</v>
      </c>
      <c r="D1779" t="inlineStr">
        <is>
          <t>SÖDERMANLANDS LÄN</t>
        </is>
      </c>
      <c r="E1779" t="inlineStr">
        <is>
          <t>NYKÖPING</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42820-2020</t>
        </is>
      </c>
      <c r="B1780" s="1" t="n">
        <v>44078</v>
      </c>
      <c r="C1780" s="1" t="n">
        <v>45761</v>
      </c>
      <c r="D1780" t="inlineStr">
        <is>
          <t>SÖDERMANLANDS LÄN</t>
        </is>
      </c>
      <c r="E1780" t="inlineStr">
        <is>
          <t>NYKÖPING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42825-2020</t>
        </is>
      </c>
      <c r="B1781" s="1" t="n">
        <v>44078</v>
      </c>
      <c r="C1781" s="1" t="n">
        <v>45761</v>
      </c>
      <c r="D1781" t="inlineStr">
        <is>
          <t>SÖDERMANLANDS LÄN</t>
        </is>
      </c>
      <c r="E1781" t="inlineStr">
        <is>
          <t>NYKÖPING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42832-2020</t>
        </is>
      </c>
      <c r="B1782" s="1" t="n">
        <v>44078</v>
      </c>
      <c r="C1782" s="1" t="n">
        <v>45761</v>
      </c>
      <c r="D1782" t="inlineStr">
        <is>
          <t>SÖDERMANLANDS LÄN</t>
        </is>
      </c>
      <c r="E1782" t="inlineStr">
        <is>
          <t>NYKÖPING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42822-2020</t>
        </is>
      </c>
      <c r="B1783" s="1" t="n">
        <v>44078</v>
      </c>
      <c r="C1783" s="1" t="n">
        <v>45761</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42824-2020</t>
        </is>
      </c>
      <c r="B1784" s="1" t="n">
        <v>44078</v>
      </c>
      <c r="C1784" s="1" t="n">
        <v>45761</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42829-2020</t>
        </is>
      </c>
      <c r="B1785" s="1" t="n">
        <v>44078</v>
      </c>
      <c r="C1785" s="1" t="n">
        <v>45761</v>
      </c>
      <c r="D1785" t="inlineStr">
        <is>
          <t>SÖDERMANLANDS LÄN</t>
        </is>
      </c>
      <c r="E1785" t="inlineStr">
        <is>
          <t>NYKÖPING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43583-2020</t>
        </is>
      </c>
      <c r="B1786" s="1" t="n">
        <v>44078</v>
      </c>
      <c r="C1786" s="1" t="n">
        <v>45761</v>
      </c>
      <c r="D1786" t="inlineStr">
        <is>
          <t>SÖDERMANLANDS LÄN</t>
        </is>
      </c>
      <c r="E1786" t="inlineStr">
        <is>
          <t>NYKÖPING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43378-2020</t>
        </is>
      </c>
      <c r="B1787" s="1" t="n">
        <v>44081</v>
      </c>
      <c r="C1787" s="1" t="n">
        <v>45761</v>
      </c>
      <c r="D1787" t="inlineStr">
        <is>
          <t>SÖDERMANLANDS LÄN</t>
        </is>
      </c>
      <c r="E1787" t="inlineStr">
        <is>
          <t>STRÄNGNÄS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43411-2020</t>
        </is>
      </c>
      <c r="B1788" s="1" t="n">
        <v>44081</v>
      </c>
      <c r="C1788" s="1" t="n">
        <v>45761</v>
      </c>
      <c r="D1788" t="inlineStr">
        <is>
          <t>SÖDERMANLANDS LÄN</t>
        </is>
      </c>
      <c r="E1788" t="inlineStr">
        <is>
          <t>ESKILSTUNA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43639-2020</t>
        </is>
      </c>
      <c r="B1789" s="1" t="n">
        <v>44082</v>
      </c>
      <c r="C1789" s="1" t="n">
        <v>45761</v>
      </c>
      <c r="D1789" t="inlineStr">
        <is>
          <t>SÖDERMANLANDS LÄN</t>
        </is>
      </c>
      <c r="E1789" t="inlineStr">
        <is>
          <t>NYKÖPING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43569-2020</t>
        </is>
      </c>
      <c r="B1790" s="1" t="n">
        <v>44082</v>
      </c>
      <c r="C1790" s="1" t="n">
        <v>45761</v>
      </c>
      <c r="D1790" t="inlineStr">
        <is>
          <t>SÖDERMANLANDS LÄN</t>
        </is>
      </c>
      <c r="E1790" t="inlineStr">
        <is>
          <t>NYKÖPING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43642-2020</t>
        </is>
      </c>
      <c r="B1791" s="1" t="n">
        <v>44082</v>
      </c>
      <c r="C1791" s="1" t="n">
        <v>45761</v>
      </c>
      <c r="D1791" t="inlineStr">
        <is>
          <t>SÖDERMANLANDS LÄN</t>
        </is>
      </c>
      <c r="E1791" t="inlineStr">
        <is>
          <t>NYKÖPING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43693-2020</t>
        </is>
      </c>
      <c r="B1792" s="1" t="n">
        <v>44082</v>
      </c>
      <c r="C1792" s="1" t="n">
        <v>45761</v>
      </c>
      <c r="D1792" t="inlineStr">
        <is>
          <t>SÖDERMANLANDS LÄN</t>
        </is>
      </c>
      <c r="E1792" t="inlineStr">
        <is>
          <t>NYKÖPING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43597-2020</t>
        </is>
      </c>
      <c r="B1793" s="1" t="n">
        <v>44082</v>
      </c>
      <c r="C1793" s="1" t="n">
        <v>45761</v>
      </c>
      <c r="D1793" t="inlineStr">
        <is>
          <t>SÖDERMANLANDS LÄN</t>
        </is>
      </c>
      <c r="E1793" t="inlineStr">
        <is>
          <t>VINGÅKER</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43886-2020</t>
        </is>
      </c>
      <c r="B1794" s="1" t="n">
        <v>44082</v>
      </c>
      <c r="C1794" s="1" t="n">
        <v>45761</v>
      </c>
      <c r="D1794" t="inlineStr">
        <is>
          <t>SÖDERMANLANDS LÄN</t>
        </is>
      </c>
      <c r="E1794" t="inlineStr">
        <is>
          <t>NYKÖPING</t>
        </is>
      </c>
      <c r="F1794" t="inlineStr">
        <is>
          <t>Kyrkan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44252-2020</t>
        </is>
      </c>
      <c r="B1795" s="1" t="n">
        <v>44082</v>
      </c>
      <c r="C1795" s="1" t="n">
        <v>45761</v>
      </c>
      <c r="D1795" t="inlineStr">
        <is>
          <t>SÖDERMANLANDS LÄN</t>
        </is>
      </c>
      <c r="E1795" t="inlineStr">
        <is>
          <t>VINGÅKER</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43649-2020</t>
        </is>
      </c>
      <c r="B1796" s="1" t="n">
        <v>44082</v>
      </c>
      <c r="C1796" s="1" t="n">
        <v>45761</v>
      </c>
      <c r="D1796" t="inlineStr">
        <is>
          <t>SÖDERMANLANDS LÄN</t>
        </is>
      </c>
      <c r="E1796" t="inlineStr">
        <is>
          <t>KATRINEHOLM</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44254-2020</t>
        </is>
      </c>
      <c r="B1797" s="1" t="n">
        <v>44084</v>
      </c>
      <c r="C1797" s="1" t="n">
        <v>45761</v>
      </c>
      <c r="D1797" t="inlineStr">
        <is>
          <t>SÖDERMANLANDS LÄN</t>
        </is>
      </c>
      <c r="E1797" t="inlineStr">
        <is>
          <t>NYKÖPING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44528-2020</t>
        </is>
      </c>
      <c r="B1798" s="1" t="n">
        <v>44084</v>
      </c>
      <c r="C1798" s="1" t="n">
        <v>45761</v>
      </c>
      <c r="D1798" t="inlineStr">
        <is>
          <t>SÖDERMANLANDS LÄN</t>
        </is>
      </c>
      <c r="E1798" t="inlineStr">
        <is>
          <t>GNESTA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44594-2020</t>
        </is>
      </c>
      <c r="B1799" s="1" t="n">
        <v>44085</v>
      </c>
      <c r="C1799" s="1" t="n">
        <v>45761</v>
      </c>
      <c r="D1799" t="inlineStr">
        <is>
          <t>SÖDERMANLANDS LÄN</t>
        </is>
      </c>
      <c r="E1799" t="inlineStr">
        <is>
          <t>STRÄNGNÄS</t>
        </is>
      </c>
      <c r="F1799" t="inlineStr">
        <is>
          <t>Övriga Aktiebolag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44691-2020</t>
        </is>
      </c>
      <c r="B1800" s="1" t="n">
        <v>44085</v>
      </c>
      <c r="C1800" s="1" t="n">
        <v>45761</v>
      </c>
      <c r="D1800" t="inlineStr">
        <is>
          <t>SÖDERMANLANDS LÄN</t>
        </is>
      </c>
      <c r="E1800" t="inlineStr">
        <is>
          <t>KATRINEHOLM</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44808-2020</t>
        </is>
      </c>
      <c r="B1801" s="1" t="n">
        <v>44085</v>
      </c>
      <c r="C1801" s="1" t="n">
        <v>45761</v>
      </c>
      <c r="D1801" t="inlineStr">
        <is>
          <t>SÖDERMANLANDS LÄN</t>
        </is>
      </c>
      <c r="E1801" t="inlineStr">
        <is>
          <t>GNESTA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45305-2020</t>
        </is>
      </c>
      <c r="B1802" s="1" t="n">
        <v>44085</v>
      </c>
      <c r="C1802" s="1" t="n">
        <v>45761</v>
      </c>
      <c r="D1802" t="inlineStr">
        <is>
          <t>SÖDERMANLANDS LÄN</t>
        </is>
      </c>
      <c r="E1802" t="inlineStr">
        <is>
          <t>FLEN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44803-2020</t>
        </is>
      </c>
      <c r="B1803" s="1" t="n">
        <v>44085</v>
      </c>
      <c r="C1803" s="1" t="n">
        <v>45761</v>
      </c>
      <c r="D1803" t="inlineStr">
        <is>
          <t>SÖDERMANLANDS LÄN</t>
        </is>
      </c>
      <c r="E1803" t="inlineStr">
        <is>
          <t>GNESTA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44783-2020</t>
        </is>
      </c>
      <c r="B1804" s="1" t="n">
        <v>44085</v>
      </c>
      <c r="C1804" s="1" t="n">
        <v>45761</v>
      </c>
      <c r="D1804" t="inlineStr">
        <is>
          <t>SÖDERMANLANDS LÄN</t>
        </is>
      </c>
      <c r="E1804" t="inlineStr">
        <is>
          <t>KATRINEHOLM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45303-2020</t>
        </is>
      </c>
      <c r="B1805" s="1" t="n">
        <v>44085</v>
      </c>
      <c r="C1805" s="1" t="n">
        <v>45761</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45315-2020</t>
        </is>
      </c>
      <c r="B1806" s="1" t="n">
        <v>44085</v>
      </c>
      <c r="C1806" s="1" t="n">
        <v>45761</v>
      </c>
      <c r="D1806" t="inlineStr">
        <is>
          <t>SÖDERMANLANDS LÄN</t>
        </is>
      </c>
      <c r="E1806" t="inlineStr">
        <is>
          <t>FLEN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44768-2020</t>
        </is>
      </c>
      <c r="B1807" s="1" t="n">
        <v>44085</v>
      </c>
      <c r="C1807" s="1" t="n">
        <v>45761</v>
      </c>
      <c r="D1807" t="inlineStr">
        <is>
          <t>SÖDERMANLANDS LÄN</t>
        </is>
      </c>
      <c r="E1807" t="inlineStr">
        <is>
          <t>ESKILSTUNA</t>
        </is>
      </c>
      <c r="F1807" t="inlineStr">
        <is>
          <t>Allmännings- och besparingsskogar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44870-2020</t>
        </is>
      </c>
      <c r="B1808" s="1" t="n">
        <v>44087</v>
      </c>
      <c r="C1808" s="1" t="n">
        <v>45761</v>
      </c>
      <c r="D1808" t="inlineStr">
        <is>
          <t>SÖDERMANLANDS LÄN</t>
        </is>
      </c>
      <c r="E1808" t="inlineStr">
        <is>
          <t>ESKILSTUNA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44951-2020</t>
        </is>
      </c>
      <c r="B1809" s="1" t="n">
        <v>44088</v>
      </c>
      <c r="C1809" s="1" t="n">
        <v>45761</v>
      </c>
      <c r="D1809" t="inlineStr">
        <is>
          <t>SÖDERMANLANDS LÄN</t>
        </is>
      </c>
      <c r="E1809" t="inlineStr">
        <is>
          <t>ESKILSTUNA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45043-2020</t>
        </is>
      </c>
      <c r="B1810" s="1" t="n">
        <v>44088</v>
      </c>
      <c r="C1810" s="1" t="n">
        <v>45761</v>
      </c>
      <c r="D1810" t="inlineStr">
        <is>
          <t>SÖDERMANLANDS LÄN</t>
        </is>
      </c>
      <c r="E1810" t="inlineStr">
        <is>
          <t>TROSA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45107-2020</t>
        </is>
      </c>
      <c r="B1811" s="1" t="n">
        <v>44088</v>
      </c>
      <c r="C1811" s="1" t="n">
        <v>45761</v>
      </c>
      <c r="D1811" t="inlineStr">
        <is>
          <t>SÖDERMANLANDS LÄN</t>
        </is>
      </c>
      <c r="E1811" t="inlineStr">
        <is>
          <t>TROSA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45144-2020</t>
        </is>
      </c>
      <c r="B1812" s="1" t="n">
        <v>44088</v>
      </c>
      <c r="C1812" s="1" t="n">
        <v>45761</v>
      </c>
      <c r="D1812" t="inlineStr">
        <is>
          <t>SÖDERMANLANDS LÄN</t>
        </is>
      </c>
      <c r="E1812" t="inlineStr">
        <is>
          <t>ESKILSTUNA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45161-2020</t>
        </is>
      </c>
      <c r="B1813" s="1" t="n">
        <v>44088</v>
      </c>
      <c r="C1813" s="1" t="n">
        <v>45761</v>
      </c>
      <c r="D1813" t="inlineStr">
        <is>
          <t>SÖDERMANLANDS LÄN</t>
        </is>
      </c>
      <c r="E1813" t="inlineStr">
        <is>
          <t>TROSA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45016-2020</t>
        </is>
      </c>
      <c r="B1814" s="1" t="n">
        <v>44088</v>
      </c>
      <c r="C1814" s="1" t="n">
        <v>45761</v>
      </c>
      <c r="D1814" t="inlineStr">
        <is>
          <t>SÖDERMANLANDS LÄN</t>
        </is>
      </c>
      <c r="E1814" t="inlineStr">
        <is>
          <t>TROSA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45071-2020</t>
        </is>
      </c>
      <c r="B1815" s="1" t="n">
        <v>44088</v>
      </c>
      <c r="C1815" s="1" t="n">
        <v>45761</v>
      </c>
      <c r="D1815" t="inlineStr">
        <is>
          <t>SÖDERMANLANDS LÄN</t>
        </is>
      </c>
      <c r="E1815" t="inlineStr">
        <is>
          <t>TROSA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45089-2020</t>
        </is>
      </c>
      <c r="B1816" s="1" t="n">
        <v>44088</v>
      </c>
      <c r="C1816" s="1" t="n">
        <v>45761</v>
      </c>
      <c r="D1816" t="inlineStr">
        <is>
          <t>SÖDERMANLANDS LÄN</t>
        </is>
      </c>
      <c r="E1816" t="inlineStr">
        <is>
          <t>TROSA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45132-2020</t>
        </is>
      </c>
      <c r="B1817" s="1" t="n">
        <v>44088</v>
      </c>
      <c r="C1817" s="1" t="n">
        <v>45761</v>
      </c>
      <c r="D1817" t="inlineStr">
        <is>
          <t>SÖDERMANLANDS LÄN</t>
        </is>
      </c>
      <c r="E1817" t="inlineStr">
        <is>
          <t>TROSA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45167-2020</t>
        </is>
      </c>
      <c r="B1818" s="1" t="n">
        <v>44088</v>
      </c>
      <c r="C1818" s="1" t="n">
        <v>45761</v>
      </c>
      <c r="D1818" t="inlineStr">
        <is>
          <t>SÖDERMANLANDS LÄN</t>
        </is>
      </c>
      <c r="E1818" t="inlineStr">
        <is>
          <t>VINGÅKER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45169-2020</t>
        </is>
      </c>
      <c r="B1819" s="1" t="n">
        <v>44088</v>
      </c>
      <c r="C1819" s="1" t="n">
        <v>45761</v>
      </c>
      <c r="D1819" t="inlineStr">
        <is>
          <t>SÖDERMANLANDS LÄN</t>
        </is>
      </c>
      <c r="E1819" t="inlineStr">
        <is>
          <t>TROSA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45280-2020</t>
        </is>
      </c>
      <c r="B1820" s="1" t="n">
        <v>44088</v>
      </c>
      <c r="C1820" s="1" t="n">
        <v>45761</v>
      </c>
      <c r="D1820" t="inlineStr">
        <is>
          <t>SÖDERMANLANDS LÄN</t>
        </is>
      </c>
      <c r="E1820" t="inlineStr">
        <is>
          <t>TROSA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45265-2020</t>
        </is>
      </c>
      <c r="B1821" s="1" t="n">
        <v>44089</v>
      </c>
      <c r="C1821" s="1" t="n">
        <v>45761</v>
      </c>
      <c r="D1821" t="inlineStr">
        <is>
          <t>SÖDERMANLANDS LÄN</t>
        </is>
      </c>
      <c r="E1821" t="inlineStr">
        <is>
          <t>FLEN</t>
        </is>
      </c>
      <c r="F1821" t="inlineStr">
        <is>
          <t>Kommuner</t>
        </is>
      </c>
      <c r="G1821" t="n">
        <v>1</v>
      </c>
      <c r="H1821" t="n">
        <v>0</v>
      </c>
      <c r="I1821" t="n">
        <v>0</v>
      </c>
      <c r="J1821" t="n">
        <v>0</v>
      </c>
      <c r="K1821" t="n">
        <v>0</v>
      </c>
      <c r="L1821" t="n">
        <v>0</v>
      </c>
      <c r="M1821" t="n">
        <v>0</v>
      </c>
      <c r="N1821" t="n">
        <v>0</v>
      </c>
      <c r="O1821" t="n">
        <v>0</v>
      </c>
      <c r="P1821" t="n">
        <v>0</v>
      </c>
      <c r="Q1821" t="n">
        <v>0</v>
      </c>
      <c r="R1821" s="2" t="inlineStr"/>
      <c r="U1821">
        <f>HYPERLINK("https://klasma.github.io/Logging_0482/knärot/A 45265-2020 karta knärot.png", "A 45265-2020")</f>
        <v/>
      </c>
      <c r="V1821">
        <f>HYPERLINK("https://klasma.github.io/Logging_0482/klagomål/A 45265-2020 FSC-klagomål.docx", "A 45265-2020")</f>
        <v/>
      </c>
      <c r="W1821">
        <f>HYPERLINK("https://klasma.github.io/Logging_0482/klagomålsmail/A 45265-2020 FSC-klagomål mail.docx", "A 45265-2020")</f>
        <v/>
      </c>
      <c r="X1821">
        <f>HYPERLINK("https://klasma.github.io/Logging_0482/tillsyn/A 45265-2020 tillsynsbegäran.docx", "A 45265-2020")</f>
        <v/>
      </c>
      <c r="Y1821">
        <f>HYPERLINK("https://klasma.github.io/Logging_0482/tillsynsmail/A 45265-2020 tillsynsbegäran mail.docx", "A 45265-2020")</f>
        <v/>
      </c>
    </row>
    <row r="1822" ht="15" customHeight="1">
      <c r="A1822" t="inlineStr">
        <is>
          <t>A 45500-2020</t>
        </is>
      </c>
      <c r="B1822" s="1" t="n">
        <v>44089</v>
      </c>
      <c r="C1822" s="1" t="n">
        <v>45761</v>
      </c>
      <c r="D1822" t="inlineStr">
        <is>
          <t>SÖDERMANLANDS LÄN</t>
        </is>
      </c>
      <c r="E1822" t="inlineStr">
        <is>
          <t>VINGÅKER</t>
        </is>
      </c>
      <c r="G1822" t="n">
        <v>17.4</v>
      </c>
      <c r="H1822" t="n">
        <v>0</v>
      </c>
      <c r="I1822" t="n">
        <v>0</v>
      </c>
      <c r="J1822" t="n">
        <v>0</v>
      </c>
      <c r="K1822" t="n">
        <v>0</v>
      </c>
      <c r="L1822" t="n">
        <v>0</v>
      </c>
      <c r="M1822" t="n">
        <v>0</v>
      </c>
      <c r="N1822" t="n">
        <v>0</v>
      </c>
      <c r="O1822" t="n">
        <v>0</v>
      </c>
      <c r="P1822" t="n">
        <v>0</v>
      </c>
      <c r="Q1822" t="n">
        <v>0</v>
      </c>
      <c r="R1822" s="2" t="inlineStr"/>
    </row>
    <row r="1823" ht="15" customHeight="1">
      <c r="A1823" t="inlineStr">
        <is>
          <t>A 45474-2020</t>
        </is>
      </c>
      <c r="B1823" s="1" t="n">
        <v>44089</v>
      </c>
      <c r="C1823" s="1" t="n">
        <v>45761</v>
      </c>
      <c r="D1823" t="inlineStr">
        <is>
          <t>SÖDERMANLANDS LÄN</t>
        </is>
      </c>
      <c r="E1823" t="inlineStr">
        <is>
          <t>ESKILSTUNA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45431-2020</t>
        </is>
      </c>
      <c r="B1824" s="1" t="n">
        <v>44089</v>
      </c>
      <c r="C1824" s="1" t="n">
        <v>45761</v>
      </c>
      <c r="D1824" t="inlineStr">
        <is>
          <t>SÖDERMANLANDS LÄN</t>
        </is>
      </c>
      <c r="E1824" t="inlineStr">
        <is>
          <t>VINGÅKER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45461-2020</t>
        </is>
      </c>
      <c r="B1825" s="1" t="n">
        <v>44089</v>
      </c>
      <c r="C1825" s="1" t="n">
        <v>45761</v>
      </c>
      <c r="D1825" t="inlineStr">
        <is>
          <t>SÖDERMANLANDS LÄN</t>
        </is>
      </c>
      <c r="E1825" t="inlineStr">
        <is>
          <t>VINGÅKER</t>
        </is>
      </c>
      <c r="G1825" t="n">
        <v>57.8</v>
      </c>
      <c r="H1825" t="n">
        <v>0</v>
      </c>
      <c r="I1825" t="n">
        <v>0</v>
      </c>
      <c r="J1825" t="n">
        <v>0</v>
      </c>
      <c r="K1825" t="n">
        <v>0</v>
      </c>
      <c r="L1825" t="n">
        <v>0</v>
      </c>
      <c r="M1825" t="n">
        <v>0</v>
      </c>
      <c r="N1825" t="n">
        <v>0</v>
      </c>
      <c r="O1825" t="n">
        <v>0</v>
      </c>
      <c r="P1825" t="n">
        <v>0</v>
      </c>
      <c r="Q1825" t="n">
        <v>0</v>
      </c>
      <c r="R1825" s="2" t="inlineStr"/>
    </row>
    <row r="1826" ht="15" customHeight="1">
      <c r="A1826" t="inlineStr">
        <is>
          <t>A 45387-2020</t>
        </is>
      </c>
      <c r="B1826" s="1" t="n">
        <v>44089</v>
      </c>
      <c r="C1826" s="1" t="n">
        <v>45761</v>
      </c>
      <c r="D1826" t="inlineStr">
        <is>
          <t>SÖDERMANLANDS LÄN</t>
        </is>
      </c>
      <c r="E1826" t="inlineStr">
        <is>
          <t>VINGÅKER</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45531-2020</t>
        </is>
      </c>
      <c r="B1827" s="1" t="n">
        <v>44089</v>
      </c>
      <c r="C1827" s="1" t="n">
        <v>45761</v>
      </c>
      <c r="D1827" t="inlineStr">
        <is>
          <t>SÖDERMANLANDS LÄN</t>
        </is>
      </c>
      <c r="E1827" t="inlineStr">
        <is>
          <t>NYKÖPING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46833-2020</t>
        </is>
      </c>
      <c r="B1828" s="1" t="n">
        <v>44089</v>
      </c>
      <c r="C1828" s="1" t="n">
        <v>45761</v>
      </c>
      <c r="D1828" t="inlineStr">
        <is>
          <t>SÖDERMANLANDS LÄN</t>
        </is>
      </c>
      <c r="E1828" t="inlineStr">
        <is>
          <t>KATRINEHOLM</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46830-2020</t>
        </is>
      </c>
      <c r="B1829" s="1" t="n">
        <v>44089</v>
      </c>
      <c r="C1829" s="1" t="n">
        <v>45761</v>
      </c>
      <c r="D1829" t="inlineStr">
        <is>
          <t>SÖDERMANLANDS LÄN</t>
        </is>
      </c>
      <c r="E1829" t="inlineStr">
        <is>
          <t>KATRINEHOLM</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45759-2020</t>
        </is>
      </c>
      <c r="B1830" s="1" t="n">
        <v>44090</v>
      </c>
      <c r="C1830" s="1" t="n">
        <v>45761</v>
      </c>
      <c r="D1830" t="inlineStr">
        <is>
          <t>SÖDERMANLANDS LÄN</t>
        </is>
      </c>
      <c r="E1830" t="inlineStr">
        <is>
          <t>ESKILSTUNA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46806-2020</t>
        </is>
      </c>
      <c r="B1831" s="1" t="n">
        <v>44090</v>
      </c>
      <c r="C1831" s="1" t="n">
        <v>45761</v>
      </c>
      <c r="D1831" t="inlineStr">
        <is>
          <t>SÖDERMANLANDS LÄN</t>
        </is>
      </c>
      <c r="E1831" t="inlineStr">
        <is>
          <t>KATRINEHOLM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47188-2020</t>
        </is>
      </c>
      <c r="B1832" s="1" t="n">
        <v>44091</v>
      </c>
      <c r="C1832" s="1" t="n">
        <v>45761</v>
      </c>
      <c r="D1832" t="inlineStr">
        <is>
          <t>SÖDERMANLANDS LÄN</t>
        </is>
      </c>
      <c r="E1832" t="inlineStr">
        <is>
          <t>GNESTA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46249-2020</t>
        </is>
      </c>
      <c r="B1833" s="1" t="n">
        <v>44092</v>
      </c>
      <c r="C1833" s="1" t="n">
        <v>45761</v>
      </c>
      <c r="D1833" t="inlineStr">
        <is>
          <t>SÖDERMANLANDS LÄN</t>
        </is>
      </c>
      <c r="E1833" t="inlineStr">
        <is>
          <t>NYKÖPING</t>
        </is>
      </c>
      <c r="F1833" t="inlineStr">
        <is>
          <t>Övriga Aktiebolag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46471-2020</t>
        </is>
      </c>
      <c r="B1834" s="1" t="n">
        <v>44092</v>
      </c>
      <c r="C1834" s="1" t="n">
        <v>45761</v>
      </c>
      <c r="D1834" t="inlineStr">
        <is>
          <t>SÖDERMANLANDS LÄN</t>
        </is>
      </c>
      <c r="E1834" t="inlineStr">
        <is>
          <t>GNESTA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46408-2020</t>
        </is>
      </c>
      <c r="B1835" s="1" t="n">
        <v>44094</v>
      </c>
      <c r="C1835" s="1" t="n">
        <v>45761</v>
      </c>
      <c r="D1835" t="inlineStr">
        <is>
          <t>SÖDERMANLANDS LÄN</t>
        </is>
      </c>
      <c r="E1835" t="inlineStr">
        <is>
          <t>ESKILSTUNA</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46401-2020</t>
        </is>
      </c>
      <c r="B1836" s="1" t="n">
        <v>44094</v>
      </c>
      <c r="C1836" s="1" t="n">
        <v>45761</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46402-2020</t>
        </is>
      </c>
      <c r="B1837" s="1" t="n">
        <v>44094</v>
      </c>
      <c r="C1837" s="1" t="n">
        <v>45761</v>
      </c>
      <c r="D1837" t="inlineStr">
        <is>
          <t>SÖDERMANLANDS LÄN</t>
        </is>
      </c>
      <c r="E1837" t="inlineStr">
        <is>
          <t>VINGÅKER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46839-2020</t>
        </is>
      </c>
      <c r="B1838" s="1" t="n">
        <v>44095</v>
      </c>
      <c r="C1838" s="1" t="n">
        <v>45761</v>
      </c>
      <c r="D1838" t="inlineStr">
        <is>
          <t>SÖDERMANLANDS LÄN</t>
        </is>
      </c>
      <c r="E1838" t="inlineStr">
        <is>
          <t>GNESTA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47085-2020</t>
        </is>
      </c>
      <c r="B1839" s="1" t="n">
        <v>44096</v>
      </c>
      <c r="C1839" s="1" t="n">
        <v>45761</v>
      </c>
      <c r="D1839" t="inlineStr">
        <is>
          <t>SÖDERMANLANDS LÄN</t>
        </is>
      </c>
      <c r="E1839" t="inlineStr">
        <is>
          <t>GNESTA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47084-2020</t>
        </is>
      </c>
      <c r="B1840" s="1" t="n">
        <v>44096</v>
      </c>
      <c r="C1840" s="1" t="n">
        <v>45761</v>
      </c>
      <c r="D1840" t="inlineStr">
        <is>
          <t>SÖDERMANLANDS LÄN</t>
        </is>
      </c>
      <c r="E1840" t="inlineStr">
        <is>
          <t>NYKÖPING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47095-2020</t>
        </is>
      </c>
      <c r="B1841" s="1" t="n">
        <v>44096</v>
      </c>
      <c r="C1841" s="1" t="n">
        <v>45761</v>
      </c>
      <c r="D1841" t="inlineStr">
        <is>
          <t>SÖDERMANLANDS LÄN</t>
        </is>
      </c>
      <c r="E1841" t="inlineStr">
        <is>
          <t>GNESTA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47098-2020</t>
        </is>
      </c>
      <c r="B1842" s="1" t="n">
        <v>44096</v>
      </c>
      <c r="C1842" s="1" t="n">
        <v>45761</v>
      </c>
      <c r="D1842" t="inlineStr">
        <is>
          <t>SÖDERMANLANDS LÄN</t>
        </is>
      </c>
      <c r="E1842" t="inlineStr">
        <is>
          <t>ESKILSTUNA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47228-2020</t>
        </is>
      </c>
      <c r="B1843" s="1" t="n">
        <v>44097</v>
      </c>
      <c r="C1843" s="1" t="n">
        <v>45761</v>
      </c>
      <c r="D1843" t="inlineStr">
        <is>
          <t>SÖDERMANLANDS LÄN</t>
        </is>
      </c>
      <c r="E1843" t="inlineStr">
        <is>
          <t>TROSA</t>
        </is>
      </c>
      <c r="F1843" t="inlineStr">
        <is>
          <t>Övriga Aktiebolag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47249-2020</t>
        </is>
      </c>
      <c r="B1844" s="1" t="n">
        <v>44097</v>
      </c>
      <c r="C1844" s="1" t="n">
        <v>45761</v>
      </c>
      <c r="D1844" t="inlineStr">
        <is>
          <t>SÖDERMANLANDS LÄN</t>
        </is>
      </c>
      <c r="E1844" t="inlineStr">
        <is>
          <t>TROSA</t>
        </is>
      </c>
      <c r="F1844" t="inlineStr">
        <is>
          <t>Övriga Aktiebolag</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47401-2020</t>
        </is>
      </c>
      <c r="B1845" s="1" t="n">
        <v>44097</v>
      </c>
      <c r="C1845" s="1" t="n">
        <v>45761</v>
      </c>
      <c r="D1845" t="inlineStr">
        <is>
          <t>SÖDERMANLANDS LÄN</t>
        </is>
      </c>
      <c r="E1845" t="inlineStr">
        <is>
          <t>FLEN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47442-2020</t>
        </is>
      </c>
      <c r="B1846" s="1" t="n">
        <v>44097</v>
      </c>
      <c r="C1846" s="1" t="n">
        <v>45761</v>
      </c>
      <c r="D1846" t="inlineStr">
        <is>
          <t>SÖDERMANLANDS LÄN</t>
        </is>
      </c>
      <c r="E1846" t="inlineStr">
        <is>
          <t>NYKÖPING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48323-2020</t>
        </is>
      </c>
      <c r="B1847" s="1" t="n">
        <v>44097</v>
      </c>
      <c r="C1847" s="1" t="n">
        <v>45761</v>
      </c>
      <c r="D1847" t="inlineStr">
        <is>
          <t>SÖDERMANLANDS LÄN</t>
        </is>
      </c>
      <c r="E1847" t="inlineStr">
        <is>
          <t>GNESTA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47669-2020</t>
        </is>
      </c>
      <c r="B1848" s="1" t="n">
        <v>44098</v>
      </c>
      <c r="C1848" s="1" t="n">
        <v>45761</v>
      </c>
      <c r="D1848" t="inlineStr">
        <is>
          <t>SÖDERMANLANDS LÄN</t>
        </is>
      </c>
      <c r="E1848" t="inlineStr">
        <is>
          <t>FLEN</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47681-2020</t>
        </is>
      </c>
      <c r="B1849" s="1" t="n">
        <v>44098</v>
      </c>
      <c r="C1849" s="1" t="n">
        <v>45761</v>
      </c>
      <c r="D1849" t="inlineStr">
        <is>
          <t>SÖDERMANLANDS LÄN</t>
        </is>
      </c>
      <c r="E1849" t="inlineStr">
        <is>
          <t>FLEN</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47886-2020</t>
        </is>
      </c>
      <c r="B1850" s="1" t="n">
        <v>44099</v>
      </c>
      <c r="C1850" s="1" t="n">
        <v>45761</v>
      </c>
      <c r="D1850" t="inlineStr">
        <is>
          <t>SÖDERMANLANDS LÄN</t>
        </is>
      </c>
      <c r="E1850" t="inlineStr">
        <is>
          <t>ESKILSTUNA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47916-2020</t>
        </is>
      </c>
      <c r="B1851" s="1" t="n">
        <v>44099</v>
      </c>
      <c r="C1851" s="1" t="n">
        <v>45761</v>
      </c>
      <c r="D1851" t="inlineStr">
        <is>
          <t>SÖDERMANLANDS LÄN</t>
        </is>
      </c>
      <c r="E1851" t="inlineStr">
        <is>
          <t>ESKILSTUNA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48838-2020</t>
        </is>
      </c>
      <c r="B1852" s="1" t="n">
        <v>44099</v>
      </c>
      <c r="C1852" s="1" t="n">
        <v>45761</v>
      </c>
      <c r="D1852" t="inlineStr">
        <is>
          <t>SÖDERMANLANDS LÄN</t>
        </is>
      </c>
      <c r="E1852" t="inlineStr">
        <is>
          <t>KATRINEHOLM</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48757-2020</t>
        </is>
      </c>
      <c r="B1853" s="1" t="n">
        <v>44099</v>
      </c>
      <c r="C1853" s="1" t="n">
        <v>45761</v>
      </c>
      <c r="D1853" t="inlineStr">
        <is>
          <t>SÖDERMANLANDS LÄN</t>
        </is>
      </c>
      <c r="E1853" t="inlineStr">
        <is>
          <t>STRÄNGNÄS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48834-2020</t>
        </is>
      </c>
      <c r="B1854" s="1" t="n">
        <v>44099</v>
      </c>
      <c r="C1854" s="1" t="n">
        <v>45761</v>
      </c>
      <c r="D1854" t="inlineStr">
        <is>
          <t>SÖDERMANLANDS LÄN</t>
        </is>
      </c>
      <c r="E1854" t="inlineStr">
        <is>
          <t>KATRINEHOLM</t>
        </is>
      </c>
      <c r="G1854" t="n">
        <v>12.9</v>
      </c>
      <c r="H1854" t="n">
        <v>0</v>
      </c>
      <c r="I1854" t="n">
        <v>0</v>
      </c>
      <c r="J1854" t="n">
        <v>0</v>
      </c>
      <c r="K1854" t="n">
        <v>0</v>
      </c>
      <c r="L1854" t="n">
        <v>0</v>
      </c>
      <c r="M1854" t="n">
        <v>0</v>
      </c>
      <c r="N1854" t="n">
        <v>0</v>
      </c>
      <c r="O1854" t="n">
        <v>0</v>
      </c>
      <c r="P1854" t="n">
        <v>0</v>
      </c>
      <c r="Q1854" t="n">
        <v>0</v>
      </c>
      <c r="R1854" s="2" t="inlineStr"/>
    </row>
    <row r="1855" ht="15" customHeight="1">
      <c r="A1855" t="inlineStr">
        <is>
          <t>A 48727-2020</t>
        </is>
      </c>
      <c r="B1855" s="1" t="n">
        <v>44099</v>
      </c>
      <c r="C1855" s="1" t="n">
        <v>45761</v>
      </c>
      <c r="D1855" t="inlineStr">
        <is>
          <t>SÖDERMANLANDS LÄN</t>
        </is>
      </c>
      <c r="E1855" t="inlineStr">
        <is>
          <t>ESKILSTUNA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48925-2020</t>
        </is>
      </c>
      <c r="B1856" s="1" t="n">
        <v>44099</v>
      </c>
      <c r="C1856" s="1" t="n">
        <v>45761</v>
      </c>
      <c r="D1856" t="inlineStr">
        <is>
          <t>SÖDERMANLANDS LÄN</t>
        </is>
      </c>
      <c r="E1856" t="inlineStr">
        <is>
          <t>KATRINEHOLM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48254-2020</t>
        </is>
      </c>
      <c r="B1857" s="1" t="n">
        <v>44102</v>
      </c>
      <c r="C1857" s="1" t="n">
        <v>45761</v>
      </c>
      <c r="D1857" t="inlineStr">
        <is>
          <t>SÖDERMANLANDS LÄN</t>
        </is>
      </c>
      <c r="E1857" t="inlineStr">
        <is>
          <t>TROSA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48225-2020</t>
        </is>
      </c>
      <c r="B1858" s="1" t="n">
        <v>44102</v>
      </c>
      <c r="C1858" s="1" t="n">
        <v>45761</v>
      </c>
      <c r="D1858" t="inlineStr">
        <is>
          <t>SÖDERMANLANDS LÄN</t>
        </is>
      </c>
      <c r="E1858" t="inlineStr">
        <is>
          <t>TROSA</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48247-2020</t>
        </is>
      </c>
      <c r="B1859" s="1" t="n">
        <v>44102</v>
      </c>
      <c r="C1859" s="1" t="n">
        <v>45761</v>
      </c>
      <c r="D1859" t="inlineStr">
        <is>
          <t>SÖDERMANLANDS LÄN</t>
        </is>
      </c>
      <c r="E1859" t="inlineStr">
        <is>
          <t>TROSA</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48279-2020</t>
        </is>
      </c>
      <c r="B1860" s="1" t="n">
        <v>44102</v>
      </c>
      <c r="C1860" s="1" t="n">
        <v>45761</v>
      </c>
      <c r="D1860" t="inlineStr">
        <is>
          <t>SÖDERMANLANDS LÄN</t>
        </is>
      </c>
      <c r="E1860" t="inlineStr">
        <is>
          <t>TROSA</t>
        </is>
      </c>
      <c r="G1860" t="n">
        <v>32.8</v>
      </c>
      <c r="H1860" t="n">
        <v>0</v>
      </c>
      <c r="I1860" t="n">
        <v>0</v>
      </c>
      <c r="J1860" t="n">
        <v>0</v>
      </c>
      <c r="K1860" t="n">
        <v>0</v>
      </c>
      <c r="L1860" t="n">
        <v>0</v>
      </c>
      <c r="M1860" t="n">
        <v>0</v>
      </c>
      <c r="N1860" t="n">
        <v>0</v>
      </c>
      <c r="O1860" t="n">
        <v>0</v>
      </c>
      <c r="P1860" t="n">
        <v>0</v>
      </c>
      <c r="Q1860" t="n">
        <v>0</v>
      </c>
      <c r="R1860" s="2" t="inlineStr"/>
    </row>
    <row r="1861" ht="15" customHeight="1">
      <c r="A1861" t="inlineStr">
        <is>
          <t>A 48926-2020</t>
        </is>
      </c>
      <c r="B1861" s="1" t="n">
        <v>44102</v>
      </c>
      <c r="C1861" s="1" t="n">
        <v>45761</v>
      </c>
      <c r="D1861" t="inlineStr">
        <is>
          <t>SÖDERMANLANDS LÄN</t>
        </is>
      </c>
      <c r="E1861" t="inlineStr">
        <is>
          <t>NYKÖPING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49089-2020</t>
        </is>
      </c>
      <c r="B1862" s="1" t="n">
        <v>44102</v>
      </c>
      <c r="C1862" s="1" t="n">
        <v>45761</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48642-2020</t>
        </is>
      </c>
      <c r="B1863" s="1" t="n">
        <v>44103</v>
      </c>
      <c r="C1863" s="1" t="n">
        <v>45761</v>
      </c>
      <c r="D1863" t="inlineStr">
        <is>
          <t>SÖDERMANLANDS LÄN</t>
        </is>
      </c>
      <c r="E1863" t="inlineStr">
        <is>
          <t>GNESTA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48576-2020</t>
        </is>
      </c>
      <c r="B1864" s="1" t="n">
        <v>44103</v>
      </c>
      <c r="C1864" s="1" t="n">
        <v>45761</v>
      </c>
      <c r="D1864" t="inlineStr">
        <is>
          <t>SÖDERMANLANDS LÄN</t>
        </is>
      </c>
      <c r="E1864" t="inlineStr">
        <is>
          <t>KATRINEHOLM</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48619-2020</t>
        </is>
      </c>
      <c r="B1865" s="1" t="n">
        <v>44103</v>
      </c>
      <c r="C1865" s="1" t="n">
        <v>45761</v>
      </c>
      <c r="D1865" t="inlineStr">
        <is>
          <t>SÖDERMANLANDS LÄN</t>
        </is>
      </c>
      <c r="E1865" t="inlineStr">
        <is>
          <t>KATRINEHOLM</t>
        </is>
      </c>
      <c r="F1865" t="inlineStr">
        <is>
          <t>Övriga statliga verk och myndigheter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49029-2020</t>
        </is>
      </c>
      <c r="B1866" s="1" t="n">
        <v>44104</v>
      </c>
      <c r="C1866" s="1" t="n">
        <v>45761</v>
      </c>
      <c r="D1866" t="inlineStr">
        <is>
          <t>SÖDERMANLANDS LÄN</t>
        </is>
      </c>
      <c r="E1866" t="inlineStr">
        <is>
          <t>NYKÖPING</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48849-2020</t>
        </is>
      </c>
      <c r="B1867" s="1" t="n">
        <v>44104</v>
      </c>
      <c r="C1867" s="1" t="n">
        <v>45761</v>
      </c>
      <c r="D1867" t="inlineStr">
        <is>
          <t>SÖDERMANLANDS LÄN</t>
        </is>
      </c>
      <c r="E1867" t="inlineStr">
        <is>
          <t>NYKÖPING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48869-2020</t>
        </is>
      </c>
      <c r="B1868" s="1" t="n">
        <v>44104</v>
      </c>
      <c r="C1868" s="1" t="n">
        <v>45761</v>
      </c>
      <c r="D1868" t="inlineStr">
        <is>
          <t>SÖDERMANLANDS LÄN</t>
        </is>
      </c>
      <c r="E1868" t="inlineStr">
        <is>
          <t>FLEN</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50176-2020</t>
        </is>
      </c>
      <c r="B1869" s="1" t="n">
        <v>44104</v>
      </c>
      <c r="C1869" s="1" t="n">
        <v>45761</v>
      </c>
      <c r="D1869" t="inlineStr">
        <is>
          <t>SÖDERMANLANDS LÄN</t>
        </is>
      </c>
      <c r="E1869" t="inlineStr">
        <is>
          <t>NYKÖPING</t>
        </is>
      </c>
      <c r="F1869" t="inlineStr">
        <is>
          <t>Holmen skog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49258-2020</t>
        </is>
      </c>
      <c r="B1870" s="1" t="n">
        <v>44105</v>
      </c>
      <c r="C1870" s="1" t="n">
        <v>45761</v>
      </c>
      <c r="D1870" t="inlineStr">
        <is>
          <t>SÖDERMANLANDS LÄN</t>
        </is>
      </c>
      <c r="E1870" t="inlineStr">
        <is>
          <t>GNESTA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49450-2020</t>
        </is>
      </c>
      <c r="B1871" s="1" t="n">
        <v>44105</v>
      </c>
      <c r="C1871" s="1" t="n">
        <v>45761</v>
      </c>
      <c r="D1871" t="inlineStr">
        <is>
          <t>SÖDERMANLANDS LÄN</t>
        </is>
      </c>
      <c r="E1871" t="inlineStr">
        <is>
          <t>ESKILSTUNA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49412-2020</t>
        </is>
      </c>
      <c r="B1872" s="1" t="n">
        <v>44105</v>
      </c>
      <c r="C1872" s="1" t="n">
        <v>45761</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49444-2020</t>
        </is>
      </c>
      <c r="B1873" s="1" t="n">
        <v>44105</v>
      </c>
      <c r="C1873" s="1" t="n">
        <v>45761</v>
      </c>
      <c r="D1873" t="inlineStr">
        <is>
          <t>SÖDERMANLANDS LÄN</t>
        </is>
      </c>
      <c r="E1873" t="inlineStr">
        <is>
          <t>ESKILSTUNA</t>
        </is>
      </c>
      <c r="G1873" t="n">
        <v>7.3</v>
      </c>
      <c r="H1873" t="n">
        <v>0</v>
      </c>
      <c r="I1873" t="n">
        <v>0</v>
      </c>
      <c r="J1873" t="n">
        <v>0</v>
      </c>
      <c r="K1873" t="n">
        <v>0</v>
      </c>
      <c r="L1873" t="n">
        <v>0</v>
      </c>
      <c r="M1873" t="n">
        <v>0</v>
      </c>
      <c r="N1873" t="n">
        <v>0</v>
      </c>
      <c r="O1873" t="n">
        <v>0</v>
      </c>
      <c r="P1873" t="n">
        <v>0</v>
      </c>
      <c r="Q1873" t="n">
        <v>0</v>
      </c>
      <c r="R1873" s="2" t="inlineStr"/>
      <c r="U1873">
        <f>HYPERLINK("https://klasma.github.io/Logging_0484/knärot/A 49444-2020 karta knärot.png", "A 49444-2020")</f>
        <v/>
      </c>
      <c r="V1873">
        <f>HYPERLINK("https://klasma.github.io/Logging_0484/klagomål/A 49444-2020 FSC-klagomål.docx", "A 49444-2020")</f>
        <v/>
      </c>
      <c r="W1873">
        <f>HYPERLINK("https://klasma.github.io/Logging_0484/klagomålsmail/A 49444-2020 FSC-klagomål mail.docx", "A 49444-2020")</f>
        <v/>
      </c>
      <c r="X1873">
        <f>HYPERLINK("https://klasma.github.io/Logging_0484/tillsyn/A 49444-2020 tillsynsbegäran.docx", "A 49444-2020")</f>
        <v/>
      </c>
      <c r="Y1873">
        <f>HYPERLINK("https://klasma.github.io/Logging_0484/tillsynsmail/A 49444-2020 tillsynsbegäran mail.docx", "A 49444-2020")</f>
        <v/>
      </c>
    </row>
    <row r="1874" ht="15" customHeight="1">
      <c r="A1874" t="inlineStr">
        <is>
          <t>A 49454-2020</t>
        </is>
      </c>
      <c r="B1874" s="1" t="n">
        <v>44105</v>
      </c>
      <c r="C1874" s="1" t="n">
        <v>45761</v>
      </c>
      <c r="D1874" t="inlineStr">
        <is>
          <t>SÖDERMANLANDS LÄN</t>
        </is>
      </c>
      <c r="E1874" t="inlineStr">
        <is>
          <t>ESKILSTUNA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50757-2020</t>
        </is>
      </c>
      <c r="B1875" s="1" t="n">
        <v>44105</v>
      </c>
      <c r="C1875" s="1" t="n">
        <v>45761</v>
      </c>
      <c r="D1875" t="inlineStr">
        <is>
          <t>SÖDERMANLANDS LÄN</t>
        </is>
      </c>
      <c r="E1875" t="inlineStr">
        <is>
          <t>STRÄNGNÄS</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50769-2020</t>
        </is>
      </c>
      <c r="B1876" s="1" t="n">
        <v>44105</v>
      </c>
      <c r="C1876" s="1" t="n">
        <v>45761</v>
      </c>
      <c r="D1876" t="inlineStr">
        <is>
          <t>SÖDERMANLANDS LÄN</t>
        </is>
      </c>
      <c r="E1876" t="inlineStr">
        <is>
          <t>STRÄNGNÄS</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51315-2020</t>
        </is>
      </c>
      <c r="B1877" s="1" t="n">
        <v>44106</v>
      </c>
      <c r="C1877" s="1" t="n">
        <v>45761</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50130-2020</t>
        </is>
      </c>
      <c r="B1878" s="1" t="n">
        <v>44109</v>
      </c>
      <c r="C1878" s="1" t="n">
        <v>45761</v>
      </c>
      <c r="D1878" t="inlineStr">
        <is>
          <t>SÖDERMANLANDS LÄN</t>
        </is>
      </c>
      <c r="E1878" t="inlineStr">
        <is>
          <t>NYKÖPING</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50067-2020</t>
        </is>
      </c>
      <c r="B1879" s="1" t="n">
        <v>44109</v>
      </c>
      <c r="C1879" s="1" t="n">
        <v>45761</v>
      </c>
      <c r="D1879" t="inlineStr">
        <is>
          <t>SÖDERMANLANDS LÄN</t>
        </is>
      </c>
      <c r="E1879" t="inlineStr">
        <is>
          <t>STRÄNGNÄS</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50165-2020</t>
        </is>
      </c>
      <c r="B1880" s="1" t="n">
        <v>44109</v>
      </c>
      <c r="C1880" s="1" t="n">
        <v>45761</v>
      </c>
      <c r="D1880" t="inlineStr">
        <is>
          <t>SÖDERMANLANDS LÄN</t>
        </is>
      </c>
      <c r="E1880" t="inlineStr">
        <is>
          <t>ESKILSTUNA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51836-2020</t>
        </is>
      </c>
      <c r="B1881" s="1" t="n">
        <v>44109</v>
      </c>
      <c r="C1881" s="1" t="n">
        <v>45761</v>
      </c>
      <c r="D1881" t="inlineStr">
        <is>
          <t>SÖDERMANLANDS LÄN</t>
        </is>
      </c>
      <c r="E1881" t="inlineStr">
        <is>
          <t>FLEN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51933-2020</t>
        </is>
      </c>
      <c r="B1882" s="1" t="n">
        <v>44109</v>
      </c>
      <c r="C1882" s="1" t="n">
        <v>45761</v>
      </c>
      <c r="D1882" t="inlineStr">
        <is>
          <t>SÖDERMANLANDS LÄN</t>
        </is>
      </c>
      <c r="E1882" t="inlineStr">
        <is>
          <t>FLEN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51658-2020</t>
        </is>
      </c>
      <c r="B1883" s="1" t="n">
        <v>44109</v>
      </c>
      <c r="C1883" s="1" t="n">
        <v>45761</v>
      </c>
      <c r="D1883" t="inlineStr">
        <is>
          <t>SÖDERMANLANDS LÄN</t>
        </is>
      </c>
      <c r="E1883" t="inlineStr">
        <is>
          <t>GNESTA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49933-2020</t>
        </is>
      </c>
      <c r="B1884" s="1" t="n">
        <v>44109</v>
      </c>
      <c r="C1884" s="1" t="n">
        <v>45761</v>
      </c>
      <c r="D1884" t="inlineStr">
        <is>
          <t>SÖDERMANLANDS LÄN</t>
        </is>
      </c>
      <c r="E1884" t="inlineStr">
        <is>
          <t>GNESTA</t>
        </is>
      </c>
      <c r="G1884" t="n">
        <v>18.8</v>
      </c>
      <c r="H1884" t="n">
        <v>0</v>
      </c>
      <c r="I1884" t="n">
        <v>0</v>
      </c>
      <c r="J1884" t="n">
        <v>0</v>
      </c>
      <c r="K1884" t="n">
        <v>0</v>
      </c>
      <c r="L1884" t="n">
        <v>0</v>
      </c>
      <c r="M1884" t="n">
        <v>0</v>
      </c>
      <c r="N1884" t="n">
        <v>0</v>
      </c>
      <c r="O1884" t="n">
        <v>0</v>
      </c>
      <c r="P1884" t="n">
        <v>0</v>
      </c>
      <c r="Q1884" t="n">
        <v>0</v>
      </c>
      <c r="R1884" s="2" t="inlineStr"/>
    </row>
    <row r="1885" ht="15" customHeight="1">
      <c r="A1885" t="inlineStr">
        <is>
          <t>A 50510-2020</t>
        </is>
      </c>
      <c r="B1885" s="1" t="n">
        <v>44110</v>
      </c>
      <c r="C1885" s="1" t="n">
        <v>45761</v>
      </c>
      <c r="D1885" t="inlineStr">
        <is>
          <t>SÖDERMANLANDS LÄN</t>
        </is>
      </c>
      <c r="E1885" t="inlineStr">
        <is>
          <t>NYKÖPING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50467-2020</t>
        </is>
      </c>
      <c r="B1886" s="1" t="n">
        <v>44110</v>
      </c>
      <c r="C1886" s="1" t="n">
        <v>45761</v>
      </c>
      <c r="D1886" t="inlineStr">
        <is>
          <t>SÖDERMANLANDS LÄN</t>
        </is>
      </c>
      <c r="E1886" t="inlineStr">
        <is>
          <t>FLEN</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50516-2020</t>
        </is>
      </c>
      <c r="B1887" s="1" t="n">
        <v>44110</v>
      </c>
      <c r="C1887" s="1" t="n">
        <v>45761</v>
      </c>
      <c r="D1887" t="inlineStr">
        <is>
          <t>SÖDERMANLANDS LÄN</t>
        </is>
      </c>
      <c r="E1887" t="inlineStr">
        <is>
          <t>NYKÖPING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50569-2020</t>
        </is>
      </c>
      <c r="B1888" s="1" t="n">
        <v>44110</v>
      </c>
      <c r="C1888" s="1" t="n">
        <v>45761</v>
      </c>
      <c r="D1888" t="inlineStr">
        <is>
          <t>SÖDERMANLANDS LÄN</t>
        </is>
      </c>
      <c r="E1888" t="inlineStr">
        <is>
          <t>NYKÖPING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52134-2020</t>
        </is>
      </c>
      <c r="B1889" s="1" t="n">
        <v>44110</v>
      </c>
      <c r="C1889" s="1" t="n">
        <v>45761</v>
      </c>
      <c r="D1889" t="inlineStr">
        <is>
          <t>SÖDERMANLANDS LÄN</t>
        </is>
      </c>
      <c r="E1889" t="inlineStr">
        <is>
          <t>KATRINEHOLM</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50703-2020</t>
        </is>
      </c>
      <c r="B1890" s="1" t="n">
        <v>44111</v>
      </c>
      <c r="C1890" s="1" t="n">
        <v>45761</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50948-2020</t>
        </is>
      </c>
      <c r="B1891" s="1" t="n">
        <v>44111</v>
      </c>
      <c r="C1891" s="1" t="n">
        <v>45761</v>
      </c>
      <c r="D1891" t="inlineStr">
        <is>
          <t>SÖDERMANLANDS LÄN</t>
        </is>
      </c>
      <c r="E1891" t="inlineStr">
        <is>
          <t>NYKÖPING</t>
        </is>
      </c>
      <c r="F1891" t="inlineStr">
        <is>
          <t>Övriga Aktiebolag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51218-2020</t>
        </is>
      </c>
      <c r="B1892" s="1" t="n">
        <v>44112</v>
      </c>
      <c r="C1892" s="1" t="n">
        <v>45761</v>
      </c>
      <c r="D1892" t="inlineStr">
        <is>
          <t>SÖDERMANLANDS LÄN</t>
        </is>
      </c>
      <c r="E1892" t="inlineStr">
        <is>
          <t>KATRINEHOLM</t>
        </is>
      </c>
      <c r="F1892" t="inlineStr">
        <is>
          <t>Kommuner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51864-2020</t>
        </is>
      </c>
      <c r="B1893" s="1" t="n">
        <v>44113</v>
      </c>
      <c r="C1893" s="1" t="n">
        <v>45761</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52454-2020</t>
        </is>
      </c>
      <c r="B1894" s="1" t="n">
        <v>44113</v>
      </c>
      <c r="C1894" s="1" t="n">
        <v>45761</v>
      </c>
      <c r="D1894" t="inlineStr">
        <is>
          <t>SÖDERMANLANDS LÄN</t>
        </is>
      </c>
      <c r="E1894" t="inlineStr">
        <is>
          <t>VINGÅKER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52458-2020</t>
        </is>
      </c>
      <c r="B1895" s="1" t="n">
        <v>44113</v>
      </c>
      <c r="C1895" s="1" t="n">
        <v>45761</v>
      </c>
      <c r="D1895" t="inlineStr">
        <is>
          <t>SÖDERMANLANDS LÄN</t>
        </is>
      </c>
      <c r="E1895" t="inlineStr">
        <is>
          <t>VINGÅKER</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51766-2020</t>
        </is>
      </c>
      <c r="B1896" s="1" t="n">
        <v>44115</v>
      </c>
      <c r="C1896" s="1" t="n">
        <v>45761</v>
      </c>
      <c r="D1896" t="inlineStr">
        <is>
          <t>SÖDERMANLANDS LÄN</t>
        </is>
      </c>
      <c r="E1896" t="inlineStr">
        <is>
          <t>KATRINEHOLM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52064-2020</t>
        </is>
      </c>
      <c r="B1897" s="1" t="n">
        <v>44117</v>
      </c>
      <c r="C1897" s="1" t="n">
        <v>45761</v>
      </c>
      <c r="D1897" t="inlineStr">
        <is>
          <t>SÖDERMANLANDS LÄN</t>
        </is>
      </c>
      <c r="E1897" t="inlineStr">
        <is>
          <t>VINGÅKER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52521-2020</t>
        </is>
      </c>
      <c r="B1898" s="1" t="n">
        <v>44118</v>
      </c>
      <c r="C1898" s="1" t="n">
        <v>45761</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52609-2020</t>
        </is>
      </c>
      <c r="B1899" s="1" t="n">
        <v>44118</v>
      </c>
      <c r="C1899" s="1" t="n">
        <v>45761</v>
      </c>
      <c r="D1899" t="inlineStr">
        <is>
          <t>SÖDERMANLANDS LÄN</t>
        </is>
      </c>
      <c r="E1899" t="inlineStr">
        <is>
          <t>NYKÖPING</t>
        </is>
      </c>
      <c r="F1899" t="inlineStr">
        <is>
          <t>Övriga Aktiebolag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52808-2020</t>
        </is>
      </c>
      <c r="B1900" s="1" t="n">
        <v>44119</v>
      </c>
      <c r="C1900" s="1" t="n">
        <v>45761</v>
      </c>
      <c r="D1900" t="inlineStr">
        <is>
          <t>SÖDERMANLANDS LÄN</t>
        </is>
      </c>
      <c r="E1900" t="inlineStr">
        <is>
          <t>NYKÖPING</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52834-2020</t>
        </is>
      </c>
      <c r="B1901" s="1" t="n">
        <v>44119</v>
      </c>
      <c r="C1901" s="1" t="n">
        <v>45761</v>
      </c>
      <c r="D1901" t="inlineStr">
        <is>
          <t>SÖDERMANLANDS LÄN</t>
        </is>
      </c>
      <c r="E1901" t="inlineStr">
        <is>
          <t>GNESTA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52822-2020</t>
        </is>
      </c>
      <c r="B1902" s="1" t="n">
        <v>44119</v>
      </c>
      <c r="C1902" s="1" t="n">
        <v>45761</v>
      </c>
      <c r="D1902" t="inlineStr">
        <is>
          <t>SÖDERMANLANDS LÄN</t>
        </is>
      </c>
      <c r="E1902" t="inlineStr">
        <is>
          <t>NYKÖPING</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52840-2020</t>
        </is>
      </c>
      <c r="B1903" s="1" t="n">
        <v>44119</v>
      </c>
      <c r="C1903" s="1" t="n">
        <v>45761</v>
      </c>
      <c r="D1903" t="inlineStr">
        <is>
          <t>SÖDERMANLANDS LÄN</t>
        </is>
      </c>
      <c r="E1903" t="inlineStr">
        <is>
          <t>GNESTA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53092-2020</t>
        </is>
      </c>
      <c r="B1904" s="1" t="n">
        <v>44120</v>
      </c>
      <c r="C1904" s="1" t="n">
        <v>45761</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53085-2020</t>
        </is>
      </c>
      <c r="B1905" s="1" t="n">
        <v>44120</v>
      </c>
      <c r="C1905" s="1" t="n">
        <v>45761</v>
      </c>
      <c r="D1905" t="inlineStr">
        <is>
          <t>SÖDERMANLANDS LÄN</t>
        </is>
      </c>
      <c r="E1905" t="inlineStr">
        <is>
          <t>ESKILSTUNA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53424-2020</t>
        </is>
      </c>
      <c r="B1906" s="1" t="n">
        <v>44123</v>
      </c>
      <c r="C1906" s="1" t="n">
        <v>45761</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53634-2020</t>
        </is>
      </c>
      <c r="B1907" s="1" t="n">
        <v>44124</v>
      </c>
      <c r="C1907" s="1" t="n">
        <v>45761</v>
      </c>
      <c r="D1907" t="inlineStr">
        <is>
          <t>SÖDERMANLANDS LÄN</t>
        </is>
      </c>
      <c r="E1907" t="inlineStr">
        <is>
          <t>KATRINEHOLM</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53767-2020</t>
        </is>
      </c>
      <c r="B1908" s="1" t="n">
        <v>44124</v>
      </c>
      <c r="C1908" s="1" t="n">
        <v>45761</v>
      </c>
      <c r="D1908" t="inlineStr">
        <is>
          <t>SÖDERMANLANDS LÄN</t>
        </is>
      </c>
      <c r="E1908" t="inlineStr">
        <is>
          <t>VINGÅKER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53805-2020</t>
        </is>
      </c>
      <c r="B1909" s="1" t="n">
        <v>44124</v>
      </c>
      <c r="C1909" s="1" t="n">
        <v>45761</v>
      </c>
      <c r="D1909" t="inlineStr">
        <is>
          <t>SÖDERMANLANDS LÄN</t>
        </is>
      </c>
      <c r="E1909" t="inlineStr">
        <is>
          <t>ESKILSTUNA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53812-2020</t>
        </is>
      </c>
      <c r="B1910" s="1" t="n">
        <v>44124</v>
      </c>
      <c r="C1910" s="1" t="n">
        <v>45761</v>
      </c>
      <c r="D1910" t="inlineStr">
        <is>
          <t>SÖDERMANLANDS LÄN</t>
        </is>
      </c>
      <c r="E1910" t="inlineStr">
        <is>
          <t>STRÄNGNÄS</t>
        </is>
      </c>
      <c r="F1910" t="inlineStr">
        <is>
          <t>Allmännings- och besparingsskogar</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53885-2020</t>
        </is>
      </c>
      <c r="B1911" s="1" t="n">
        <v>44124</v>
      </c>
      <c r="C1911" s="1" t="n">
        <v>45761</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54129-2020</t>
        </is>
      </c>
      <c r="B1912" s="1" t="n">
        <v>44124</v>
      </c>
      <c r="C1912" s="1" t="n">
        <v>45761</v>
      </c>
      <c r="D1912" t="inlineStr">
        <is>
          <t>SÖDERMANLANDS LÄN</t>
        </is>
      </c>
      <c r="E1912" t="inlineStr">
        <is>
          <t>VINGÅKER</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53897-2020</t>
        </is>
      </c>
      <c r="B1913" s="1" t="n">
        <v>44124</v>
      </c>
      <c r="C1913" s="1" t="n">
        <v>45761</v>
      </c>
      <c r="D1913" t="inlineStr">
        <is>
          <t>SÖDERMANLANDS LÄN</t>
        </is>
      </c>
      <c r="E1913" t="inlineStr">
        <is>
          <t>STRÄNGNÄS</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54115-2020</t>
        </is>
      </c>
      <c r="B1914" s="1" t="n">
        <v>44124</v>
      </c>
      <c r="C1914" s="1" t="n">
        <v>45761</v>
      </c>
      <c r="D1914" t="inlineStr">
        <is>
          <t>SÖDERMANLANDS LÄN</t>
        </is>
      </c>
      <c r="E1914" t="inlineStr">
        <is>
          <t>VINGÅKER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53659-2020</t>
        </is>
      </c>
      <c r="B1915" s="1" t="n">
        <v>44124</v>
      </c>
      <c r="C1915" s="1" t="n">
        <v>45761</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54341-2020</t>
        </is>
      </c>
      <c r="B1916" s="1" t="n">
        <v>44126</v>
      </c>
      <c r="C1916" s="1" t="n">
        <v>45761</v>
      </c>
      <c r="D1916" t="inlineStr">
        <is>
          <t>SÖDERMANLANDS LÄN</t>
        </is>
      </c>
      <c r="E1916" t="inlineStr">
        <is>
          <t>STRÄNGNÄS</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54353-2020</t>
        </is>
      </c>
      <c r="B1917" s="1" t="n">
        <v>44126</v>
      </c>
      <c r="C1917" s="1" t="n">
        <v>45761</v>
      </c>
      <c r="D1917" t="inlineStr">
        <is>
          <t>SÖDERMANLANDS LÄN</t>
        </is>
      </c>
      <c r="E1917" t="inlineStr">
        <is>
          <t>STRÄNGNÄS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54846-2020</t>
        </is>
      </c>
      <c r="B1918" s="1" t="n">
        <v>44126</v>
      </c>
      <c r="C1918" s="1" t="n">
        <v>45761</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54914-2020</t>
        </is>
      </c>
      <c r="B1919" s="1" t="n">
        <v>44127</v>
      </c>
      <c r="C1919" s="1" t="n">
        <v>45761</v>
      </c>
      <c r="D1919" t="inlineStr">
        <is>
          <t>SÖDERMANLANDS LÄN</t>
        </is>
      </c>
      <c r="E1919" t="inlineStr">
        <is>
          <t>VINGÅKER</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54919-2020</t>
        </is>
      </c>
      <c r="B1920" s="1" t="n">
        <v>44127</v>
      </c>
      <c r="C1920" s="1" t="n">
        <v>45761</v>
      </c>
      <c r="D1920" t="inlineStr">
        <is>
          <t>SÖDERMANLANDS LÄN</t>
        </is>
      </c>
      <c r="E1920" t="inlineStr">
        <is>
          <t>FLEN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54918-2020</t>
        </is>
      </c>
      <c r="B1921" s="1" t="n">
        <v>44127</v>
      </c>
      <c r="C1921" s="1" t="n">
        <v>45761</v>
      </c>
      <c r="D1921" t="inlineStr">
        <is>
          <t>SÖDERMANLANDS LÄN</t>
        </is>
      </c>
      <c r="E1921" t="inlineStr">
        <is>
          <t>FLEN</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54905-2020</t>
        </is>
      </c>
      <c r="B1922" s="1" t="n">
        <v>44128</v>
      </c>
      <c r="C1922" s="1" t="n">
        <v>45761</v>
      </c>
      <c r="D1922" t="inlineStr">
        <is>
          <t>SÖDERMANLANDS LÄN</t>
        </is>
      </c>
      <c r="E1922" t="inlineStr">
        <is>
          <t>KATRINEHOLM</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55038-2020</t>
        </is>
      </c>
      <c r="B1923" s="1" t="n">
        <v>44130</v>
      </c>
      <c r="C1923" s="1" t="n">
        <v>45761</v>
      </c>
      <c r="D1923" t="inlineStr">
        <is>
          <t>SÖDERMANLANDS LÄN</t>
        </is>
      </c>
      <c r="E1923" t="inlineStr">
        <is>
          <t>KATRINEHOLM</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55048-2020</t>
        </is>
      </c>
      <c r="B1924" s="1" t="n">
        <v>44130</v>
      </c>
      <c r="C1924" s="1" t="n">
        <v>45761</v>
      </c>
      <c r="D1924" t="inlineStr">
        <is>
          <t>SÖDERMANLANDS LÄN</t>
        </is>
      </c>
      <c r="E1924" t="inlineStr">
        <is>
          <t>KATRINEHOLM</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55074-2020</t>
        </is>
      </c>
      <c r="B1925" s="1" t="n">
        <v>44130</v>
      </c>
      <c r="C1925" s="1" t="n">
        <v>45761</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55040-2020</t>
        </is>
      </c>
      <c r="B1926" s="1" t="n">
        <v>44130</v>
      </c>
      <c r="C1926" s="1" t="n">
        <v>45761</v>
      </c>
      <c r="D1926" t="inlineStr">
        <is>
          <t>SÖDERMANLANDS LÄN</t>
        </is>
      </c>
      <c r="E1926" t="inlineStr">
        <is>
          <t>KATRINEHOLM</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55079-2020</t>
        </is>
      </c>
      <c r="B1927" s="1" t="n">
        <v>44130</v>
      </c>
      <c r="C1927" s="1" t="n">
        <v>45761</v>
      </c>
      <c r="D1927" t="inlineStr">
        <is>
          <t>SÖDERMANLANDS LÄN</t>
        </is>
      </c>
      <c r="E1927" t="inlineStr">
        <is>
          <t>KATRINEHOLM</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55033-2020</t>
        </is>
      </c>
      <c r="B1928" s="1" t="n">
        <v>44130</v>
      </c>
      <c r="C1928" s="1" t="n">
        <v>45761</v>
      </c>
      <c r="D1928" t="inlineStr">
        <is>
          <t>SÖDERMANLANDS LÄN</t>
        </is>
      </c>
      <c r="E1928" t="inlineStr">
        <is>
          <t>KATRINEHOLM</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55031-2020</t>
        </is>
      </c>
      <c r="B1929" s="1" t="n">
        <v>44130</v>
      </c>
      <c r="C1929" s="1" t="n">
        <v>45761</v>
      </c>
      <c r="D1929" t="inlineStr">
        <is>
          <t>SÖDERMANLANDS LÄN</t>
        </is>
      </c>
      <c r="E1929" t="inlineStr">
        <is>
          <t>KATRINEHOLM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55136-2020</t>
        </is>
      </c>
      <c r="B1930" s="1" t="n">
        <v>44130</v>
      </c>
      <c r="C1930" s="1" t="n">
        <v>45761</v>
      </c>
      <c r="D1930" t="inlineStr">
        <is>
          <t>SÖDERMANLANDS LÄN</t>
        </is>
      </c>
      <c r="E1930" t="inlineStr">
        <is>
          <t>KATRINEHOLM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55308-2020</t>
        </is>
      </c>
      <c r="B1931" s="1" t="n">
        <v>44130</v>
      </c>
      <c r="C1931" s="1" t="n">
        <v>45761</v>
      </c>
      <c r="D1931" t="inlineStr">
        <is>
          <t>SÖDERMANLANDS LÄN</t>
        </is>
      </c>
      <c r="E1931" t="inlineStr">
        <is>
          <t>ESKILSTUNA</t>
        </is>
      </c>
      <c r="F1931" t="inlineStr">
        <is>
          <t>Allmännings- och besparingsskogar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55686-2020</t>
        </is>
      </c>
      <c r="B1932" s="1" t="n">
        <v>44131</v>
      </c>
      <c r="C1932" s="1" t="n">
        <v>45761</v>
      </c>
      <c r="D1932" t="inlineStr">
        <is>
          <t>SÖDERMANLANDS LÄN</t>
        </is>
      </c>
      <c r="E1932" t="inlineStr">
        <is>
          <t>STRÄNGNÄS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55713-2020</t>
        </is>
      </c>
      <c r="B1933" s="1" t="n">
        <v>44132</v>
      </c>
      <c r="C1933" s="1" t="n">
        <v>45761</v>
      </c>
      <c r="D1933" t="inlineStr">
        <is>
          <t>SÖDERMANLANDS LÄN</t>
        </is>
      </c>
      <c r="E1933" t="inlineStr">
        <is>
          <t>NYKÖPING</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55719-2020</t>
        </is>
      </c>
      <c r="B1934" s="1" t="n">
        <v>44132</v>
      </c>
      <c r="C1934" s="1" t="n">
        <v>45761</v>
      </c>
      <c r="D1934" t="inlineStr">
        <is>
          <t>SÖDERMANLANDS LÄN</t>
        </is>
      </c>
      <c r="E1934" t="inlineStr">
        <is>
          <t>TROSA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55753-2020</t>
        </is>
      </c>
      <c r="B1935" s="1" t="n">
        <v>44132</v>
      </c>
      <c r="C1935" s="1" t="n">
        <v>45761</v>
      </c>
      <c r="D1935" t="inlineStr">
        <is>
          <t>SÖDERMANLANDS LÄN</t>
        </is>
      </c>
      <c r="E1935" t="inlineStr">
        <is>
          <t>TROSA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55696-2020</t>
        </is>
      </c>
      <c r="B1936" s="1" t="n">
        <v>44132</v>
      </c>
      <c r="C1936" s="1" t="n">
        <v>45761</v>
      </c>
      <c r="D1936" t="inlineStr">
        <is>
          <t>SÖDERMANLANDS LÄN</t>
        </is>
      </c>
      <c r="E1936" t="inlineStr">
        <is>
          <t>NYKÖPING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55746-2020</t>
        </is>
      </c>
      <c r="B1937" s="1" t="n">
        <v>44132</v>
      </c>
      <c r="C1937" s="1" t="n">
        <v>45761</v>
      </c>
      <c r="D1937" t="inlineStr">
        <is>
          <t>SÖDERMANLANDS LÄN</t>
        </is>
      </c>
      <c r="E1937" t="inlineStr">
        <is>
          <t>TROSA</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55709-2020</t>
        </is>
      </c>
      <c r="B1938" s="1" t="n">
        <v>44132</v>
      </c>
      <c r="C1938" s="1" t="n">
        <v>45761</v>
      </c>
      <c r="D1938" t="inlineStr">
        <is>
          <t>SÖDERMANLANDS LÄN</t>
        </is>
      </c>
      <c r="E1938" t="inlineStr">
        <is>
          <t>NYKÖPING</t>
        </is>
      </c>
      <c r="F1938" t="inlineStr">
        <is>
          <t>Kommuner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55716-2020</t>
        </is>
      </c>
      <c r="B1939" s="1" t="n">
        <v>44132</v>
      </c>
      <c r="C1939" s="1" t="n">
        <v>45761</v>
      </c>
      <c r="D1939" t="inlineStr">
        <is>
          <t>SÖDERMANLANDS LÄN</t>
        </is>
      </c>
      <c r="E1939" t="inlineStr">
        <is>
          <t>NYKÖPING</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55914-2020</t>
        </is>
      </c>
      <c r="B1940" s="1" t="n">
        <v>44132</v>
      </c>
      <c r="C1940" s="1" t="n">
        <v>45761</v>
      </c>
      <c r="D1940" t="inlineStr">
        <is>
          <t>SÖDERMANLANDS LÄN</t>
        </is>
      </c>
      <c r="E1940" t="inlineStr">
        <is>
          <t>ESKILSTUNA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55968-2020</t>
        </is>
      </c>
      <c r="B1941" s="1" t="n">
        <v>44132</v>
      </c>
      <c r="C1941" s="1" t="n">
        <v>45761</v>
      </c>
      <c r="D1941" t="inlineStr">
        <is>
          <t>SÖDERMANLANDS LÄN</t>
        </is>
      </c>
      <c r="E1941" t="inlineStr">
        <is>
          <t>ESKILSTUNA</t>
        </is>
      </c>
      <c r="F1941" t="inlineStr">
        <is>
          <t>Kyrkan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55877-2020</t>
        </is>
      </c>
      <c r="B1942" s="1" t="n">
        <v>44132</v>
      </c>
      <c r="C1942" s="1" t="n">
        <v>45761</v>
      </c>
      <c r="D1942" t="inlineStr">
        <is>
          <t>SÖDERMANLANDS LÄN</t>
        </is>
      </c>
      <c r="E1942" t="inlineStr">
        <is>
          <t>STRÄNGNÄS</t>
        </is>
      </c>
      <c r="F1942" t="inlineStr">
        <is>
          <t>Allmännings- och besparingsskogar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55976-2020</t>
        </is>
      </c>
      <c r="B1943" s="1" t="n">
        <v>44132</v>
      </c>
      <c r="C1943" s="1" t="n">
        <v>45761</v>
      </c>
      <c r="D1943" t="inlineStr">
        <is>
          <t>SÖDERMANLANDS LÄN</t>
        </is>
      </c>
      <c r="E1943" t="inlineStr">
        <is>
          <t>ESKILSTUNA</t>
        </is>
      </c>
      <c r="F1943" t="inlineStr">
        <is>
          <t>Kyrkan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55971-2020</t>
        </is>
      </c>
      <c r="B1944" s="1" t="n">
        <v>44132</v>
      </c>
      <c r="C1944" s="1" t="n">
        <v>45761</v>
      </c>
      <c r="D1944" t="inlineStr">
        <is>
          <t>SÖDERMANLANDS LÄN</t>
        </is>
      </c>
      <c r="E1944" t="inlineStr">
        <is>
          <t>ESKILSTUNA</t>
        </is>
      </c>
      <c r="F1944" t="inlineStr">
        <is>
          <t>Kyrkan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56179-2020</t>
        </is>
      </c>
      <c r="B1945" s="1" t="n">
        <v>44133</v>
      </c>
      <c r="C1945" s="1" t="n">
        <v>45761</v>
      </c>
      <c r="D1945" t="inlineStr">
        <is>
          <t>SÖDERMANLANDS LÄN</t>
        </is>
      </c>
      <c r="E1945" t="inlineStr">
        <is>
          <t>TROSA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56133-2020</t>
        </is>
      </c>
      <c r="B1946" s="1" t="n">
        <v>44133</v>
      </c>
      <c r="C1946" s="1" t="n">
        <v>45761</v>
      </c>
      <c r="D1946" t="inlineStr">
        <is>
          <t>SÖDERMANLANDS LÄN</t>
        </is>
      </c>
      <c r="E1946" t="inlineStr">
        <is>
          <t>VINGÅKER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56556-2020</t>
        </is>
      </c>
      <c r="B1947" s="1" t="n">
        <v>44134</v>
      </c>
      <c r="C1947" s="1" t="n">
        <v>45761</v>
      </c>
      <c r="D1947" t="inlineStr">
        <is>
          <t>SÖDERMANLANDS LÄN</t>
        </is>
      </c>
      <c r="E1947" t="inlineStr">
        <is>
          <t>ESKILSTUNA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56449-2020</t>
        </is>
      </c>
      <c r="B1948" s="1" t="n">
        <v>44134</v>
      </c>
      <c r="C1948" s="1" t="n">
        <v>45761</v>
      </c>
      <c r="D1948" t="inlineStr">
        <is>
          <t>SÖDERMANLANDS LÄN</t>
        </is>
      </c>
      <c r="E1948" t="inlineStr">
        <is>
          <t>ESKILSTUNA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56390-2020</t>
        </is>
      </c>
      <c r="B1949" s="1" t="n">
        <v>44136</v>
      </c>
      <c r="C1949" s="1" t="n">
        <v>45761</v>
      </c>
      <c r="D1949" t="inlineStr">
        <is>
          <t>SÖDERMANLANDS LÄN</t>
        </is>
      </c>
      <c r="E1949" t="inlineStr">
        <is>
          <t>GNESTA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56617-2020</t>
        </is>
      </c>
      <c r="B1950" s="1" t="n">
        <v>44137</v>
      </c>
      <c r="C1950" s="1" t="n">
        <v>45761</v>
      </c>
      <c r="D1950" t="inlineStr">
        <is>
          <t>SÖDERMANLANDS LÄN</t>
        </is>
      </c>
      <c r="E1950" t="inlineStr">
        <is>
          <t>NYKÖPING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56615-2020</t>
        </is>
      </c>
      <c r="B1951" s="1" t="n">
        <v>44137</v>
      </c>
      <c r="C1951" s="1" t="n">
        <v>45761</v>
      </c>
      <c r="D1951" t="inlineStr">
        <is>
          <t>SÖDERMANLANDS LÄN</t>
        </is>
      </c>
      <c r="E1951" t="inlineStr">
        <is>
          <t>NYKÖPING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57125-2020</t>
        </is>
      </c>
      <c r="B1952" s="1" t="n">
        <v>44138</v>
      </c>
      <c r="C1952" s="1" t="n">
        <v>45761</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56905-2020</t>
        </is>
      </c>
      <c r="B1953" s="1" t="n">
        <v>44138</v>
      </c>
      <c r="C1953" s="1" t="n">
        <v>45761</v>
      </c>
      <c r="D1953" t="inlineStr">
        <is>
          <t>SÖDERMANLANDS LÄN</t>
        </is>
      </c>
      <c r="E1953" t="inlineStr">
        <is>
          <t>STRÄNGNÄS</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56930-2020</t>
        </is>
      </c>
      <c r="B1954" s="1" t="n">
        <v>44138</v>
      </c>
      <c r="C1954" s="1" t="n">
        <v>45761</v>
      </c>
      <c r="D1954" t="inlineStr">
        <is>
          <t>SÖDERMANLANDS LÄN</t>
        </is>
      </c>
      <c r="E1954" t="inlineStr">
        <is>
          <t>FLEN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57128-2020</t>
        </is>
      </c>
      <c r="B1955" s="1" t="n">
        <v>44138</v>
      </c>
      <c r="C1955" s="1" t="n">
        <v>45761</v>
      </c>
      <c r="D1955" t="inlineStr">
        <is>
          <t>SÖDERMANLANDS LÄN</t>
        </is>
      </c>
      <c r="E1955" t="inlineStr">
        <is>
          <t>NYKÖPING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56863-2020</t>
        </is>
      </c>
      <c r="B1956" s="1" t="n">
        <v>44138</v>
      </c>
      <c r="C1956" s="1" t="n">
        <v>45761</v>
      </c>
      <c r="D1956" t="inlineStr">
        <is>
          <t>SÖDERMANLANDS LÄN</t>
        </is>
      </c>
      <c r="E1956" t="inlineStr">
        <is>
          <t>FLEN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57140-2020</t>
        </is>
      </c>
      <c r="B1957" s="1" t="n">
        <v>44138</v>
      </c>
      <c r="C1957" s="1" t="n">
        <v>45761</v>
      </c>
      <c r="D1957" t="inlineStr">
        <is>
          <t>SÖDERMANLANDS LÄN</t>
        </is>
      </c>
      <c r="E1957" t="inlineStr">
        <is>
          <t>NYKÖPING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57165-2020</t>
        </is>
      </c>
      <c r="B1958" s="1" t="n">
        <v>44138</v>
      </c>
      <c r="C1958" s="1" t="n">
        <v>45761</v>
      </c>
      <c r="D1958" t="inlineStr">
        <is>
          <t>SÖDERMANLANDS LÄN</t>
        </is>
      </c>
      <c r="E1958" t="inlineStr">
        <is>
          <t>FLEN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57156-2020</t>
        </is>
      </c>
      <c r="B1959" s="1" t="n">
        <v>44138</v>
      </c>
      <c r="C1959" s="1" t="n">
        <v>45761</v>
      </c>
      <c r="D1959" t="inlineStr">
        <is>
          <t>SÖDERMANLANDS LÄN</t>
        </is>
      </c>
      <c r="E1959" t="inlineStr">
        <is>
          <t>NYKÖPING</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57123-2020</t>
        </is>
      </c>
      <c r="B1960" s="1" t="n">
        <v>44138</v>
      </c>
      <c r="C1960" s="1" t="n">
        <v>45761</v>
      </c>
      <c r="D1960" t="inlineStr">
        <is>
          <t>SÖDERMANLANDS LÄN</t>
        </is>
      </c>
      <c r="E1960" t="inlineStr">
        <is>
          <t>NYKÖPING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57148-2020</t>
        </is>
      </c>
      <c r="B1961" s="1" t="n">
        <v>44138</v>
      </c>
      <c r="C1961" s="1" t="n">
        <v>45761</v>
      </c>
      <c r="D1961" t="inlineStr">
        <is>
          <t>SÖDERMANLANDS LÄN</t>
        </is>
      </c>
      <c r="E1961" t="inlineStr">
        <is>
          <t>NYKÖPING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57118-2020</t>
        </is>
      </c>
      <c r="B1962" s="1" t="n">
        <v>44139</v>
      </c>
      <c r="C1962" s="1" t="n">
        <v>45761</v>
      </c>
      <c r="D1962" t="inlineStr">
        <is>
          <t>SÖDERMANLANDS LÄN</t>
        </is>
      </c>
      <c r="E1962" t="inlineStr">
        <is>
          <t>GNESTA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57132-2020</t>
        </is>
      </c>
      <c r="B1963" s="1" t="n">
        <v>44139</v>
      </c>
      <c r="C1963" s="1" t="n">
        <v>45761</v>
      </c>
      <c r="D1963" t="inlineStr">
        <is>
          <t>SÖDERMANLANDS LÄN</t>
        </is>
      </c>
      <c r="E1963" t="inlineStr">
        <is>
          <t>KATRINEHOLM</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57251-2020</t>
        </is>
      </c>
      <c r="B1964" s="1" t="n">
        <v>44139</v>
      </c>
      <c r="C1964" s="1" t="n">
        <v>45761</v>
      </c>
      <c r="D1964" t="inlineStr">
        <is>
          <t>SÖDERMANLANDS LÄN</t>
        </is>
      </c>
      <c r="E1964" t="inlineStr">
        <is>
          <t>FLEN</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57591-2020</t>
        </is>
      </c>
      <c r="B1965" s="1" t="n">
        <v>44139</v>
      </c>
      <c r="C1965" s="1" t="n">
        <v>45761</v>
      </c>
      <c r="D1965" t="inlineStr">
        <is>
          <t>SÖDERMANLANDS LÄN</t>
        </is>
      </c>
      <c r="E1965" t="inlineStr">
        <is>
          <t>VINGÅKER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57462-2020</t>
        </is>
      </c>
      <c r="B1966" s="1" t="n">
        <v>44140</v>
      </c>
      <c r="C1966" s="1" t="n">
        <v>45761</v>
      </c>
      <c r="D1966" t="inlineStr">
        <is>
          <t>SÖDERMANLANDS LÄN</t>
        </is>
      </c>
      <c r="E1966" t="inlineStr">
        <is>
          <t>KATRINEHOLM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57642-2020</t>
        </is>
      </c>
      <c r="B1967" s="1" t="n">
        <v>44140</v>
      </c>
      <c r="C1967" s="1" t="n">
        <v>45761</v>
      </c>
      <c r="D1967" t="inlineStr">
        <is>
          <t>SÖDERMANLANDS LÄN</t>
        </is>
      </c>
      <c r="E1967" t="inlineStr">
        <is>
          <t>STRÄNGNÄS</t>
        </is>
      </c>
      <c r="F1967" t="inlineStr">
        <is>
          <t>Allmännings- och besparingsskogar</t>
        </is>
      </c>
      <c r="G1967" t="n">
        <v>5.9</v>
      </c>
      <c r="H1967" t="n">
        <v>0</v>
      </c>
      <c r="I1967" t="n">
        <v>0</v>
      </c>
      <c r="J1967" t="n">
        <v>0</v>
      </c>
      <c r="K1967" t="n">
        <v>0</v>
      </c>
      <c r="L1967" t="n">
        <v>0</v>
      </c>
      <c r="M1967" t="n">
        <v>0</v>
      </c>
      <c r="N1967" t="n">
        <v>0</v>
      </c>
      <c r="O1967" t="n">
        <v>0</v>
      </c>
      <c r="P1967" t="n">
        <v>0</v>
      </c>
      <c r="Q1967" t="n">
        <v>0</v>
      </c>
      <c r="R1967" s="2" t="inlineStr"/>
      <c r="U1967">
        <f>HYPERLINK("https://klasma.github.io/Logging_0486/knärot/A 57642-2020 karta knärot.png", "A 57642-2020")</f>
        <v/>
      </c>
      <c r="V1967">
        <f>HYPERLINK("https://klasma.github.io/Logging_0486/klagomål/A 57642-2020 FSC-klagomål.docx", "A 57642-2020")</f>
        <v/>
      </c>
      <c r="W1967">
        <f>HYPERLINK("https://klasma.github.io/Logging_0486/klagomålsmail/A 57642-2020 FSC-klagomål mail.docx", "A 57642-2020")</f>
        <v/>
      </c>
      <c r="X1967">
        <f>HYPERLINK("https://klasma.github.io/Logging_0486/tillsyn/A 57642-2020 tillsynsbegäran.docx", "A 57642-2020")</f>
        <v/>
      </c>
      <c r="Y1967">
        <f>HYPERLINK("https://klasma.github.io/Logging_0486/tillsynsmail/A 57642-2020 tillsynsbegäran mail.docx", "A 57642-2020")</f>
        <v/>
      </c>
    </row>
    <row r="1968" ht="15" customHeight="1">
      <c r="A1968" t="inlineStr">
        <is>
          <t>A 57414-2020</t>
        </is>
      </c>
      <c r="B1968" s="1" t="n">
        <v>44140</v>
      </c>
      <c r="C1968" s="1" t="n">
        <v>45761</v>
      </c>
      <c r="D1968" t="inlineStr">
        <is>
          <t>SÖDERMANLANDS LÄN</t>
        </is>
      </c>
      <c r="E1968" t="inlineStr">
        <is>
          <t>NYKÖPING</t>
        </is>
      </c>
      <c r="G1968" t="n">
        <v>12.7</v>
      </c>
      <c r="H1968" t="n">
        <v>0</v>
      </c>
      <c r="I1968" t="n">
        <v>0</v>
      </c>
      <c r="J1968" t="n">
        <v>0</v>
      </c>
      <c r="K1968" t="n">
        <v>0</v>
      </c>
      <c r="L1968" t="n">
        <v>0</v>
      </c>
      <c r="M1968" t="n">
        <v>0</v>
      </c>
      <c r="N1968" t="n">
        <v>0</v>
      </c>
      <c r="O1968" t="n">
        <v>0</v>
      </c>
      <c r="P1968" t="n">
        <v>0</v>
      </c>
      <c r="Q1968" t="n">
        <v>0</v>
      </c>
      <c r="R1968" s="2" t="inlineStr"/>
    </row>
    <row r="1969" ht="15" customHeight="1">
      <c r="A1969" t="inlineStr">
        <is>
          <t>A 57645-2020</t>
        </is>
      </c>
      <c r="B1969" s="1" t="n">
        <v>44140</v>
      </c>
      <c r="C1969" s="1" t="n">
        <v>45761</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57687-2020</t>
        </is>
      </c>
      <c r="B1970" s="1" t="n">
        <v>44140</v>
      </c>
      <c r="C1970" s="1" t="n">
        <v>45761</v>
      </c>
      <c r="D1970" t="inlineStr">
        <is>
          <t>SÖDERMANLANDS LÄN</t>
        </is>
      </c>
      <c r="E1970" t="inlineStr">
        <is>
          <t>KATRINEHOLM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57682-2020</t>
        </is>
      </c>
      <c r="B1971" s="1" t="n">
        <v>44140</v>
      </c>
      <c r="C1971" s="1" t="n">
        <v>45761</v>
      </c>
      <c r="D1971" t="inlineStr">
        <is>
          <t>SÖDERMANLANDS LÄN</t>
        </is>
      </c>
      <c r="E1971" t="inlineStr">
        <is>
          <t>FLEN</t>
        </is>
      </c>
      <c r="F1971" t="inlineStr">
        <is>
          <t>Kyrkan</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57693-2020</t>
        </is>
      </c>
      <c r="B1972" s="1" t="n">
        <v>44140</v>
      </c>
      <c r="C1972" s="1" t="n">
        <v>45761</v>
      </c>
      <c r="D1972" t="inlineStr">
        <is>
          <t>SÖDERMANLANDS LÄN</t>
        </is>
      </c>
      <c r="E1972" t="inlineStr">
        <is>
          <t>KATRINEHOLM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57648-2020</t>
        </is>
      </c>
      <c r="B1973" s="1" t="n">
        <v>44140</v>
      </c>
      <c r="C1973" s="1" t="n">
        <v>45761</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57689-2020</t>
        </is>
      </c>
      <c r="B1974" s="1" t="n">
        <v>44140</v>
      </c>
      <c r="C1974" s="1" t="n">
        <v>45761</v>
      </c>
      <c r="D1974" t="inlineStr">
        <is>
          <t>SÖDERMANLANDS LÄN</t>
        </is>
      </c>
      <c r="E1974" t="inlineStr">
        <is>
          <t>FLEN</t>
        </is>
      </c>
      <c r="F1974" t="inlineStr">
        <is>
          <t>Kyrkan</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57519-2020</t>
        </is>
      </c>
      <c r="B1975" s="1" t="n">
        <v>44140</v>
      </c>
      <c r="C1975" s="1" t="n">
        <v>45761</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57745-2020</t>
        </is>
      </c>
      <c r="B1976" s="1" t="n">
        <v>44141</v>
      </c>
      <c r="C1976" s="1" t="n">
        <v>45761</v>
      </c>
      <c r="D1976" t="inlineStr">
        <is>
          <t>SÖDERMANLANDS LÄN</t>
        </is>
      </c>
      <c r="E1976" t="inlineStr">
        <is>
          <t>KATRINEHOLM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57947-2020</t>
        </is>
      </c>
      <c r="B1977" s="1" t="n">
        <v>44142</v>
      </c>
      <c r="C1977" s="1" t="n">
        <v>45761</v>
      </c>
      <c r="D1977" t="inlineStr">
        <is>
          <t>SÖDERMANLANDS LÄN</t>
        </is>
      </c>
      <c r="E1977" t="inlineStr">
        <is>
          <t>KATRINEHOLM</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58163-2020</t>
        </is>
      </c>
      <c r="B1978" s="1" t="n">
        <v>44144</v>
      </c>
      <c r="C1978" s="1" t="n">
        <v>45761</v>
      </c>
      <c r="D1978" t="inlineStr">
        <is>
          <t>SÖDERMANLANDS LÄN</t>
        </is>
      </c>
      <c r="E1978" t="inlineStr">
        <is>
          <t>NYKÖPING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58154-2020</t>
        </is>
      </c>
      <c r="B1979" s="1" t="n">
        <v>44144</v>
      </c>
      <c r="C1979" s="1" t="n">
        <v>45761</v>
      </c>
      <c r="D1979" t="inlineStr">
        <is>
          <t>SÖDERMANLANDS LÄN</t>
        </is>
      </c>
      <c r="E1979" t="inlineStr">
        <is>
          <t>NYKÖPING</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58247-2020</t>
        </is>
      </c>
      <c r="B1980" s="1" t="n">
        <v>44144</v>
      </c>
      <c r="C1980" s="1" t="n">
        <v>45761</v>
      </c>
      <c r="D1980" t="inlineStr">
        <is>
          <t>SÖDERMANLANDS LÄN</t>
        </is>
      </c>
      <c r="E1980" t="inlineStr">
        <is>
          <t>VINGÅKER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58475-2020</t>
        </is>
      </c>
      <c r="B1981" s="1" t="n">
        <v>44144</v>
      </c>
      <c r="C1981" s="1" t="n">
        <v>45761</v>
      </c>
      <c r="D1981" t="inlineStr">
        <is>
          <t>SÖDERMANLANDS LÄN</t>
        </is>
      </c>
      <c r="E1981" t="inlineStr">
        <is>
          <t>ESKILSTUNA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58592-2020</t>
        </is>
      </c>
      <c r="B1982" s="1" t="n">
        <v>44145</v>
      </c>
      <c r="C1982" s="1" t="n">
        <v>45761</v>
      </c>
      <c r="D1982" t="inlineStr">
        <is>
          <t>SÖDERMANLANDS LÄN</t>
        </is>
      </c>
      <c r="E1982" t="inlineStr">
        <is>
          <t>FLEN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58620-2020</t>
        </is>
      </c>
      <c r="B1983" s="1" t="n">
        <v>44145</v>
      </c>
      <c r="C1983" s="1" t="n">
        <v>45761</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58436-2020</t>
        </is>
      </c>
      <c r="B1984" s="1" t="n">
        <v>44145</v>
      </c>
      <c r="C1984" s="1" t="n">
        <v>45761</v>
      </c>
      <c r="D1984" t="inlineStr">
        <is>
          <t>SÖDERMANLANDS LÄN</t>
        </is>
      </c>
      <c r="E1984" t="inlineStr">
        <is>
          <t>VINGÅKER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58624-2020</t>
        </is>
      </c>
      <c r="B1985" s="1" t="n">
        <v>44145</v>
      </c>
      <c r="C1985" s="1" t="n">
        <v>45761</v>
      </c>
      <c r="D1985" t="inlineStr">
        <is>
          <t>SÖDERMANLANDS LÄN</t>
        </is>
      </c>
      <c r="E1985" t="inlineStr">
        <is>
          <t>ESKILSTUNA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58622-2020</t>
        </is>
      </c>
      <c r="B1986" s="1" t="n">
        <v>44145</v>
      </c>
      <c r="C1986" s="1" t="n">
        <v>45761</v>
      </c>
      <c r="D1986" t="inlineStr">
        <is>
          <t>SÖDERMANLANDS LÄN</t>
        </is>
      </c>
      <c r="E1986" t="inlineStr">
        <is>
          <t>ESKILSTUNA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58686-2020</t>
        </is>
      </c>
      <c r="B1987" s="1" t="n">
        <v>44146</v>
      </c>
      <c r="C1987" s="1" t="n">
        <v>45761</v>
      </c>
      <c r="D1987" t="inlineStr">
        <is>
          <t>SÖDERMANLANDS LÄN</t>
        </is>
      </c>
      <c r="E1987" t="inlineStr">
        <is>
          <t>NYKÖPING</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58884-2020</t>
        </is>
      </c>
      <c r="B1988" s="1" t="n">
        <v>44146</v>
      </c>
      <c r="C1988" s="1" t="n">
        <v>45761</v>
      </c>
      <c r="D1988" t="inlineStr">
        <is>
          <t>SÖDERMANLANDS LÄN</t>
        </is>
      </c>
      <c r="E1988" t="inlineStr">
        <is>
          <t>NYKÖPING</t>
        </is>
      </c>
      <c r="F1988" t="inlineStr">
        <is>
          <t>Holmen skog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58899-2020</t>
        </is>
      </c>
      <c r="B1989" s="1" t="n">
        <v>44146</v>
      </c>
      <c r="C1989" s="1" t="n">
        <v>45761</v>
      </c>
      <c r="D1989" t="inlineStr">
        <is>
          <t>SÖDERMANLANDS LÄN</t>
        </is>
      </c>
      <c r="E1989" t="inlineStr">
        <is>
          <t>NYKÖPING</t>
        </is>
      </c>
      <c r="G1989" t="n">
        <v>17.4</v>
      </c>
      <c r="H1989" t="n">
        <v>0</v>
      </c>
      <c r="I1989" t="n">
        <v>0</v>
      </c>
      <c r="J1989" t="n">
        <v>0</v>
      </c>
      <c r="K1989" t="n">
        <v>0</v>
      </c>
      <c r="L1989" t="n">
        <v>0</v>
      </c>
      <c r="M1989" t="n">
        <v>0</v>
      </c>
      <c r="N1989" t="n">
        <v>0</v>
      </c>
      <c r="O1989" t="n">
        <v>0</v>
      </c>
      <c r="P1989" t="n">
        <v>0</v>
      </c>
      <c r="Q1989" t="n">
        <v>0</v>
      </c>
      <c r="R1989" s="2" t="inlineStr"/>
    </row>
    <row r="1990" ht="15" customHeight="1">
      <c r="A1990" t="inlineStr">
        <is>
          <t>A 58923-2020</t>
        </is>
      </c>
      <c r="B1990" s="1" t="n">
        <v>44146</v>
      </c>
      <c r="C1990" s="1" t="n">
        <v>45761</v>
      </c>
      <c r="D1990" t="inlineStr">
        <is>
          <t>SÖDERMANLANDS LÄN</t>
        </is>
      </c>
      <c r="E1990" t="inlineStr">
        <is>
          <t>NYKÖPING</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58948-2020</t>
        </is>
      </c>
      <c r="B1991" s="1" t="n">
        <v>44146</v>
      </c>
      <c r="C1991" s="1" t="n">
        <v>45761</v>
      </c>
      <c r="D1991" t="inlineStr">
        <is>
          <t>SÖDERMANLANDS LÄN</t>
        </is>
      </c>
      <c r="E1991" t="inlineStr">
        <is>
          <t>FLEN</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58958-2020</t>
        </is>
      </c>
      <c r="B1992" s="1" t="n">
        <v>44146</v>
      </c>
      <c r="C1992" s="1" t="n">
        <v>45761</v>
      </c>
      <c r="D1992" t="inlineStr">
        <is>
          <t>SÖDERMANLANDS LÄN</t>
        </is>
      </c>
      <c r="E1992" t="inlineStr">
        <is>
          <t>KATRINEHOLM</t>
        </is>
      </c>
      <c r="F1992" t="inlineStr">
        <is>
          <t>Holmen skog AB</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58921-2020</t>
        </is>
      </c>
      <c r="B1993" s="1" t="n">
        <v>44146</v>
      </c>
      <c r="C1993" s="1" t="n">
        <v>45761</v>
      </c>
      <c r="D1993" t="inlineStr">
        <is>
          <t>SÖDERMANLANDS LÄN</t>
        </is>
      </c>
      <c r="E1993" t="inlineStr">
        <is>
          <t>NYKÖPING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59079-2020</t>
        </is>
      </c>
      <c r="B1994" s="1" t="n">
        <v>44146</v>
      </c>
      <c r="C1994" s="1" t="n">
        <v>45761</v>
      </c>
      <c r="D1994" t="inlineStr">
        <is>
          <t>SÖDERMANLANDS LÄN</t>
        </is>
      </c>
      <c r="E1994" t="inlineStr">
        <is>
          <t>ESKILSTUNA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59117-2020</t>
        </is>
      </c>
      <c r="B1995" s="1" t="n">
        <v>44147</v>
      </c>
      <c r="C1995" s="1" t="n">
        <v>45761</v>
      </c>
      <c r="D1995" t="inlineStr">
        <is>
          <t>SÖDERMANLANDS LÄN</t>
        </is>
      </c>
      <c r="E1995" t="inlineStr">
        <is>
          <t>GNESTA</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59308-2020</t>
        </is>
      </c>
      <c r="B1996" s="1" t="n">
        <v>44147</v>
      </c>
      <c r="C1996" s="1" t="n">
        <v>45761</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59460-2020</t>
        </is>
      </c>
      <c r="B1997" s="1" t="n">
        <v>44148</v>
      </c>
      <c r="C1997" s="1" t="n">
        <v>45761</v>
      </c>
      <c r="D1997" t="inlineStr">
        <is>
          <t>SÖDERMANLANDS LÄN</t>
        </is>
      </c>
      <c r="E1997" t="inlineStr">
        <is>
          <t>VINGÅKER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59379-2020</t>
        </is>
      </c>
      <c r="B1998" s="1" t="n">
        <v>44148</v>
      </c>
      <c r="C1998" s="1" t="n">
        <v>45761</v>
      </c>
      <c r="D1998" t="inlineStr">
        <is>
          <t>SÖDERMANLANDS LÄN</t>
        </is>
      </c>
      <c r="E1998" t="inlineStr">
        <is>
          <t>ESKILSTUNA</t>
        </is>
      </c>
      <c r="F1998" t="inlineStr">
        <is>
          <t>Kyrkan</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59749-2020</t>
        </is>
      </c>
      <c r="B1999" s="1" t="n">
        <v>44151</v>
      </c>
      <c r="C1999" s="1" t="n">
        <v>45761</v>
      </c>
      <c r="D1999" t="inlineStr">
        <is>
          <t>SÖDERMANLANDS LÄN</t>
        </is>
      </c>
      <c r="E1999" t="inlineStr">
        <is>
          <t>KATRINEHOLM</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59856-2020</t>
        </is>
      </c>
      <c r="B2000" s="1" t="n">
        <v>44151</v>
      </c>
      <c r="C2000" s="1" t="n">
        <v>45761</v>
      </c>
      <c r="D2000" t="inlineStr">
        <is>
          <t>SÖDERMANLANDS LÄN</t>
        </is>
      </c>
      <c r="E2000" t="inlineStr">
        <is>
          <t>NYKÖPING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59927-2020</t>
        </is>
      </c>
      <c r="B2001" s="1" t="n">
        <v>44151</v>
      </c>
      <c r="C2001" s="1" t="n">
        <v>45761</v>
      </c>
      <c r="D2001" t="inlineStr">
        <is>
          <t>SÖDERMANLANDS LÄN</t>
        </is>
      </c>
      <c r="E2001" t="inlineStr">
        <is>
          <t>TROSA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59887-2020</t>
        </is>
      </c>
      <c r="B2002" s="1" t="n">
        <v>44151</v>
      </c>
      <c r="C2002" s="1" t="n">
        <v>45761</v>
      </c>
      <c r="D2002" t="inlineStr">
        <is>
          <t>SÖDERMANLANDS LÄN</t>
        </is>
      </c>
      <c r="E2002" t="inlineStr">
        <is>
          <t>KATRINEHOLM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59877-2020</t>
        </is>
      </c>
      <c r="B2003" s="1" t="n">
        <v>44151</v>
      </c>
      <c r="C2003" s="1" t="n">
        <v>45761</v>
      </c>
      <c r="D2003" t="inlineStr">
        <is>
          <t>SÖDERMANLANDS LÄN</t>
        </is>
      </c>
      <c r="E2003" t="inlineStr">
        <is>
          <t>KATRINEHOLM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60274-2020</t>
        </is>
      </c>
      <c r="B2004" s="1" t="n">
        <v>44152</v>
      </c>
      <c r="C2004" s="1" t="n">
        <v>45761</v>
      </c>
      <c r="D2004" t="inlineStr">
        <is>
          <t>SÖDERMANLANDS LÄN</t>
        </is>
      </c>
      <c r="E2004" t="inlineStr">
        <is>
          <t>NYKÖPING</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60232-2020</t>
        </is>
      </c>
      <c r="B2005" s="1" t="n">
        <v>44152</v>
      </c>
      <c r="C2005" s="1" t="n">
        <v>45761</v>
      </c>
      <c r="D2005" t="inlineStr">
        <is>
          <t>SÖDERMANLANDS LÄN</t>
        </is>
      </c>
      <c r="E2005" t="inlineStr">
        <is>
          <t>NYKÖPING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60409-2020</t>
        </is>
      </c>
      <c r="B2006" s="1" t="n">
        <v>44152</v>
      </c>
      <c r="C2006" s="1" t="n">
        <v>45761</v>
      </c>
      <c r="D2006" t="inlineStr">
        <is>
          <t>SÖDERMANLANDS LÄN</t>
        </is>
      </c>
      <c r="E2006" t="inlineStr">
        <is>
          <t>FLEN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60576-2020</t>
        </is>
      </c>
      <c r="B2007" s="1" t="n">
        <v>44152</v>
      </c>
      <c r="C2007" s="1" t="n">
        <v>45761</v>
      </c>
      <c r="D2007" t="inlineStr">
        <is>
          <t>SÖDERMANLANDS LÄN</t>
        </is>
      </c>
      <c r="E2007" t="inlineStr">
        <is>
          <t>ESKILSTUNA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60478-2020</t>
        </is>
      </c>
      <c r="B2008" s="1" t="n">
        <v>44153</v>
      </c>
      <c r="C2008" s="1" t="n">
        <v>45761</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60464-2020</t>
        </is>
      </c>
      <c r="B2009" s="1" t="n">
        <v>44153</v>
      </c>
      <c r="C2009" s="1" t="n">
        <v>45761</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60562-2020</t>
        </is>
      </c>
      <c r="B2010" s="1" t="n">
        <v>44153</v>
      </c>
      <c r="C2010" s="1" t="n">
        <v>45761</v>
      </c>
      <c r="D2010" t="inlineStr">
        <is>
          <t>SÖDERMANLANDS LÄN</t>
        </is>
      </c>
      <c r="E2010" t="inlineStr">
        <is>
          <t>VINGÅKER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61006-2020</t>
        </is>
      </c>
      <c r="B2011" s="1" t="n">
        <v>44153</v>
      </c>
      <c r="C2011" s="1" t="n">
        <v>45761</v>
      </c>
      <c r="D2011" t="inlineStr">
        <is>
          <t>SÖDERMANLANDS LÄN</t>
        </is>
      </c>
      <c r="E2011" t="inlineStr">
        <is>
          <t>NYKÖPING</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61003-2020</t>
        </is>
      </c>
      <c r="B2012" s="1" t="n">
        <v>44153</v>
      </c>
      <c r="C2012" s="1" t="n">
        <v>45761</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60860-2020</t>
        </is>
      </c>
      <c r="B2013" s="1" t="n">
        <v>44154</v>
      </c>
      <c r="C2013" s="1" t="n">
        <v>45761</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61167-2020</t>
        </is>
      </c>
      <c r="B2014" s="1" t="n">
        <v>44155</v>
      </c>
      <c r="C2014" s="1" t="n">
        <v>45761</v>
      </c>
      <c r="D2014" t="inlineStr">
        <is>
          <t>SÖDERMANLANDS LÄN</t>
        </is>
      </c>
      <c r="E2014" t="inlineStr">
        <is>
          <t>KATRINEHOLM</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61219-2020</t>
        </is>
      </c>
      <c r="B2015" s="1" t="n">
        <v>44155</v>
      </c>
      <c r="C2015" s="1" t="n">
        <v>45761</v>
      </c>
      <c r="D2015" t="inlineStr">
        <is>
          <t>SÖDERMANLANDS LÄN</t>
        </is>
      </c>
      <c r="E2015" t="inlineStr">
        <is>
          <t>ESKILSTUNA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61162-2020</t>
        </is>
      </c>
      <c r="B2016" s="1" t="n">
        <v>44155</v>
      </c>
      <c r="C2016" s="1" t="n">
        <v>45761</v>
      </c>
      <c r="D2016" t="inlineStr">
        <is>
          <t>SÖDERMANLANDS LÄN</t>
        </is>
      </c>
      <c r="E2016" t="inlineStr">
        <is>
          <t>ESKILSTUNA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61348-2020</t>
        </is>
      </c>
      <c r="B2017" s="1" t="n">
        <v>44155</v>
      </c>
      <c r="C2017" s="1" t="n">
        <v>45761</v>
      </c>
      <c r="D2017" t="inlineStr">
        <is>
          <t>SÖDERMANLANDS LÄN</t>
        </is>
      </c>
      <c r="E2017" t="inlineStr">
        <is>
          <t>ESKILSTUNA</t>
        </is>
      </c>
      <c r="F2017" t="inlineStr">
        <is>
          <t>Kyrkan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61697-2020</t>
        </is>
      </c>
      <c r="B2018" s="1" t="n">
        <v>44158</v>
      </c>
      <c r="C2018" s="1" t="n">
        <v>45761</v>
      </c>
      <c r="D2018" t="inlineStr">
        <is>
          <t>SÖDERMANLANDS LÄN</t>
        </is>
      </c>
      <c r="E2018" t="inlineStr">
        <is>
          <t>FLEN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61674-2020</t>
        </is>
      </c>
      <c r="B2019" s="1" t="n">
        <v>44158</v>
      </c>
      <c r="C2019" s="1" t="n">
        <v>45761</v>
      </c>
      <c r="D2019" t="inlineStr">
        <is>
          <t>SÖDERMANLANDS LÄN</t>
        </is>
      </c>
      <c r="E2019" t="inlineStr">
        <is>
          <t>KATRINEHOLM</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61713-2020</t>
        </is>
      </c>
      <c r="B2020" s="1" t="n">
        <v>44158</v>
      </c>
      <c r="C2020" s="1" t="n">
        <v>45761</v>
      </c>
      <c r="D2020" t="inlineStr">
        <is>
          <t>SÖDERMANLANDS LÄN</t>
        </is>
      </c>
      <c r="E2020" t="inlineStr">
        <is>
          <t>FLEN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61750-2020</t>
        </is>
      </c>
      <c r="B2021" s="1" t="n">
        <v>44158</v>
      </c>
      <c r="C2021" s="1" t="n">
        <v>45761</v>
      </c>
      <c r="D2021" t="inlineStr">
        <is>
          <t>SÖDERMANLANDS LÄN</t>
        </is>
      </c>
      <c r="E2021" t="inlineStr">
        <is>
          <t>STRÄNGNÄS</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61905-2020</t>
        </is>
      </c>
      <c r="B2022" s="1" t="n">
        <v>44158</v>
      </c>
      <c r="C2022" s="1" t="n">
        <v>45761</v>
      </c>
      <c r="D2022" t="inlineStr">
        <is>
          <t>SÖDERMANLANDS LÄN</t>
        </is>
      </c>
      <c r="E2022" t="inlineStr">
        <is>
          <t>NYKÖPING</t>
        </is>
      </c>
      <c r="F2022" t="inlineStr">
        <is>
          <t>Kyrkan</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61867-2020</t>
        </is>
      </c>
      <c r="B2023" s="1" t="n">
        <v>44159</v>
      </c>
      <c r="C2023" s="1" t="n">
        <v>45761</v>
      </c>
      <c r="D2023" t="inlineStr">
        <is>
          <t>SÖDERMANLANDS LÄN</t>
        </is>
      </c>
      <c r="E2023" t="inlineStr">
        <is>
          <t>KATRINEHOLM</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62142-2020</t>
        </is>
      </c>
      <c r="B2024" s="1" t="n">
        <v>44159</v>
      </c>
      <c r="C2024" s="1" t="n">
        <v>45761</v>
      </c>
      <c r="D2024" t="inlineStr">
        <is>
          <t>SÖDERMANLANDS LÄN</t>
        </is>
      </c>
      <c r="E2024" t="inlineStr">
        <is>
          <t>GNESTA</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62630-2020</t>
        </is>
      </c>
      <c r="B2025" s="1" t="n">
        <v>44160</v>
      </c>
      <c r="C2025" s="1" t="n">
        <v>45761</v>
      </c>
      <c r="D2025" t="inlineStr">
        <is>
          <t>SÖDERMANLANDS LÄN</t>
        </is>
      </c>
      <c r="E2025" t="inlineStr">
        <is>
          <t>VINGÅKER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62372-2020</t>
        </is>
      </c>
      <c r="B2026" s="1" t="n">
        <v>44160</v>
      </c>
      <c r="C2026" s="1" t="n">
        <v>45761</v>
      </c>
      <c r="D2026" t="inlineStr">
        <is>
          <t>SÖDERMANLANDS LÄN</t>
        </is>
      </c>
      <c r="E2026" t="inlineStr">
        <is>
          <t>GNESTA</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62424-2020</t>
        </is>
      </c>
      <c r="B2027" s="1" t="n">
        <v>44160</v>
      </c>
      <c r="C2027" s="1" t="n">
        <v>45761</v>
      </c>
      <c r="D2027" t="inlineStr">
        <is>
          <t>SÖDERMANLANDS LÄN</t>
        </is>
      </c>
      <c r="E2027" t="inlineStr">
        <is>
          <t>KATRINEHOLM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62512-2020</t>
        </is>
      </c>
      <c r="B2028" s="1" t="n">
        <v>44160</v>
      </c>
      <c r="C2028" s="1" t="n">
        <v>45761</v>
      </c>
      <c r="D2028" t="inlineStr">
        <is>
          <t>SÖDERMANLANDS LÄN</t>
        </is>
      </c>
      <c r="E2028" t="inlineStr">
        <is>
          <t>FLEN</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63079-2020</t>
        </is>
      </c>
      <c r="B2029" s="1" t="n">
        <v>44162</v>
      </c>
      <c r="C2029" s="1" t="n">
        <v>45761</v>
      </c>
      <c r="D2029" t="inlineStr">
        <is>
          <t>SÖDERMANLANDS LÄN</t>
        </is>
      </c>
      <c r="E2029" t="inlineStr">
        <is>
          <t>VINGÅKER</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63291-2020</t>
        </is>
      </c>
      <c r="B2030" s="1" t="n">
        <v>44165</v>
      </c>
      <c r="C2030" s="1" t="n">
        <v>45761</v>
      </c>
      <c r="D2030" t="inlineStr">
        <is>
          <t>SÖDERMANLANDS LÄN</t>
        </is>
      </c>
      <c r="E2030" t="inlineStr">
        <is>
          <t>ESKILSTUNA</t>
        </is>
      </c>
      <c r="F2030" t="inlineStr">
        <is>
          <t>Kyrkan</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63454-2020</t>
        </is>
      </c>
      <c r="B2031" s="1" t="n">
        <v>44165</v>
      </c>
      <c r="C2031" s="1" t="n">
        <v>45761</v>
      </c>
      <c r="D2031" t="inlineStr">
        <is>
          <t>SÖDERMANLANDS LÄN</t>
        </is>
      </c>
      <c r="E2031" t="inlineStr">
        <is>
          <t>VINGÅKER</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63694-2020</t>
        </is>
      </c>
      <c r="B2032" s="1" t="n">
        <v>44166</v>
      </c>
      <c r="C2032" s="1" t="n">
        <v>45761</v>
      </c>
      <c r="D2032" t="inlineStr">
        <is>
          <t>SÖDERMANLANDS LÄN</t>
        </is>
      </c>
      <c r="E2032" t="inlineStr">
        <is>
          <t>KATRINEHOLM</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63677-2020</t>
        </is>
      </c>
      <c r="B2033" s="1" t="n">
        <v>44166</v>
      </c>
      <c r="C2033" s="1" t="n">
        <v>45761</v>
      </c>
      <c r="D2033" t="inlineStr">
        <is>
          <t>SÖDERMANLANDS LÄN</t>
        </is>
      </c>
      <c r="E2033" t="inlineStr">
        <is>
          <t>KATRINEHOLM</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63682-2020</t>
        </is>
      </c>
      <c r="B2034" s="1" t="n">
        <v>44166</v>
      </c>
      <c r="C2034" s="1" t="n">
        <v>45761</v>
      </c>
      <c r="D2034" t="inlineStr">
        <is>
          <t>SÖDERMANLANDS LÄN</t>
        </is>
      </c>
      <c r="E2034" t="inlineStr">
        <is>
          <t>KATRINEHOLM</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64360-2020</t>
        </is>
      </c>
      <c r="B2035" s="1" t="n">
        <v>44166</v>
      </c>
      <c r="C2035" s="1" t="n">
        <v>45761</v>
      </c>
      <c r="D2035" t="inlineStr">
        <is>
          <t>SÖDERMANLANDS LÄN</t>
        </is>
      </c>
      <c r="E2035" t="inlineStr">
        <is>
          <t>ESKILSTUNA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63954-2020</t>
        </is>
      </c>
      <c r="B2036" s="1" t="n">
        <v>44167</v>
      </c>
      <c r="C2036" s="1" t="n">
        <v>45761</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64027-2020</t>
        </is>
      </c>
      <c r="B2037" s="1" t="n">
        <v>44167</v>
      </c>
      <c r="C2037" s="1" t="n">
        <v>45761</v>
      </c>
      <c r="D2037" t="inlineStr">
        <is>
          <t>SÖDERMANLANDS LÄN</t>
        </is>
      </c>
      <c r="E2037" t="inlineStr">
        <is>
          <t>KATRINEHOLM</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64151-2020</t>
        </is>
      </c>
      <c r="B2038" s="1" t="n">
        <v>44167</v>
      </c>
      <c r="C2038" s="1" t="n">
        <v>45761</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64177-2020</t>
        </is>
      </c>
      <c r="B2039" s="1" t="n">
        <v>44167</v>
      </c>
      <c r="C2039" s="1" t="n">
        <v>45761</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64463-2020</t>
        </is>
      </c>
      <c r="B2040" s="1" t="n">
        <v>44168</v>
      </c>
      <c r="C2040" s="1" t="n">
        <v>45761</v>
      </c>
      <c r="D2040" t="inlineStr">
        <is>
          <t>SÖDERMANLANDS LÄN</t>
        </is>
      </c>
      <c r="E2040" t="inlineStr">
        <is>
          <t>KATRINEHOLM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65093-2020</t>
        </is>
      </c>
      <c r="B2041" s="1" t="n">
        <v>44168</v>
      </c>
      <c r="C2041" s="1" t="n">
        <v>45761</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64633-2020</t>
        </is>
      </c>
      <c r="B2042" s="1" t="n">
        <v>44169</v>
      </c>
      <c r="C2042" s="1" t="n">
        <v>45761</v>
      </c>
      <c r="D2042" t="inlineStr">
        <is>
          <t>SÖDERMANLANDS LÄN</t>
        </is>
      </c>
      <c r="E2042" t="inlineStr">
        <is>
          <t>KATRINEHOLM</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64657-2020</t>
        </is>
      </c>
      <c r="B2043" s="1" t="n">
        <v>44169</v>
      </c>
      <c r="C2043" s="1" t="n">
        <v>45761</v>
      </c>
      <c r="D2043" t="inlineStr">
        <is>
          <t>SÖDERMANLANDS LÄN</t>
        </is>
      </c>
      <c r="E2043" t="inlineStr">
        <is>
          <t>KATRINEHOLM</t>
        </is>
      </c>
      <c r="F2043" t="inlineStr">
        <is>
          <t>Kyrkan</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64738-2020</t>
        </is>
      </c>
      <c r="B2044" s="1" t="n">
        <v>44169</v>
      </c>
      <c r="C2044" s="1" t="n">
        <v>45761</v>
      </c>
      <c r="D2044" t="inlineStr">
        <is>
          <t>SÖDERMANLANDS LÄN</t>
        </is>
      </c>
      <c r="E2044" t="inlineStr">
        <is>
          <t>KATRINEHOLM</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64680-2020</t>
        </is>
      </c>
      <c r="B2045" s="1" t="n">
        <v>44169</v>
      </c>
      <c r="C2045" s="1" t="n">
        <v>45761</v>
      </c>
      <c r="D2045" t="inlineStr">
        <is>
          <t>SÖDERMANLANDS LÄN</t>
        </is>
      </c>
      <c r="E2045" t="inlineStr">
        <is>
          <t>KATRINEHOLM</t>
        </is>
      </c>
      <c r="F2045" t="inlineStr">
        <is>
          <t>Kyrkan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65117-2020</t>
        </is>
      </c>
      <c r="B2046" s="1" t="n">
        <v>44172</v>
      </c>
      <c r="C2046" s="1" t="n">
        <v>45761</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65152-2020</t>
        </is>
      </c>
      <c r="B2047" s="1" t="n">
        <v>44172</v>
      </c>
      <c r="C2047" s="1" t="n">
        <v>45761</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65205-2020</t>
        </is>
      </c>
      <c r="B2048" s="1" t="n">
        <v>44172</v>
      </c>
      <c r="C2048" s="1" t="n">
        <v>45761</v>
      </c>
      <c r="D2048" t="inlineStr">
        <is>
          <t>SÖDERMANLANDS LÄN</t>
        </is>
      </c>
      <c r="E2048" t="inlineStr">
        <is>
          <t>ESKILSTUNA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65233-2020</t>
        </is>
      </c>
      <c r="B2049" s="1" t="n">
        <v>44172</v>
      </c>
      <c r="C2049" s="1" t="n">
        <v>45761</v>
      </c>
      <c r="D2049" t="inlineStr">
        <is>
          <t>SÖDERMANLANDS LÄN</t>
        </is>
      </c>
      <c r="E2049" t="inlineStr">
        <is>
          <t>FLEN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65077-2020</t>
        </is>
      </c>
      <c r="B2050" s="1" t="n">
        <v>44172</v>
      </c>
      <c r="C2050" s="1" t="n">
        <v>45761</v>
      </c>
      <c r="D2050" t="inlineStr">
        <is>
          <t>SÖDERMANLANDS LÄN</t>
        </is>
      </c>
      <c r="E2050" t="inlineStr">
        <is>
          <t>KATRINEHOLM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65186-2020</t>
        </is>
      </c>
      <c r="B2051" s="1" t="n">
        <v>44172</v>
      </c>
      <c r="C2051" s="1" t="n">
        <v>45761</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65203-2020</t>
        </is>
      </c>
      <c r="B2052" s="1" t="n">
        <v>44172</v>
      </c>
      <c r="C2052" s="1" t="n">
        <v>45761</v>
      </c>
      <c r="D2052" t="inlineStr">
        <is>
          <t>SÖDERMANLANDS LÄN</t>
        </is>
      </c>
      <c r="E2052" t="inlineStr">
        <is>
          <t>ESKILSTUNA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65202-2020</t>
        </is>
      </c>
      <c r="B2053" s="1" t="n">
        <v>44172</v>
      </c>
      <c r="C2053" s="1" t="n">
        <v>45761</v>
      </c>
      <c r="D2053" t="inlineStr">
        <is>
          <t>SÖDERMANLANDS LÄN</t>
        </is>
      </c>
      <c r="E2053" t="inlineStr">
        <is>
          <t>ESKILSTUNA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65212-2020</t>
        </is>
      </c>
      <c r="B2054" s="1" t="n">
        <v>44172</v>
      </c>
      <c r="C2054" s="1" t="n">
        <v>45761</v>
      </c>
      <c r="D2054" t="inlineStr">
        <is>
          <t>SÖDERMANLANDS LÄN</t>
        </is>
      </c>
      <c r="E2054" t="inlineStr">
        <is>
          <t>ESKILSTUNA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65312-2020</t>
        </is>
      </c>
      <c r="B2055" s="1" t="n">
        <v>44173</v>
      </c>
      <c r="C2055" s="1" t="n">
        <v>45761</v>
      </c>
      <c r="D2055" t="inlineStr">
        <is>
          <t>SÖDERMANLANDS LÄN</t>
        </is>
      </c>
      <c r="E2055" t="inlineStr">
        <is>
          <t>KATRINEHOLM</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65485-2020</t>
        </is>
      </c>
      <c r="B2056" s="1" t="n">
        <v>44173</v>
      </c>
      <c r="C2056" s="1" t="n">
        <v>45761</v>
      </c>
      <c r="D2056" t="inlineStr">
        <is>
          <t>SÖDERMANLANDS LÄN</t>
        </is>
      </c>
      <c r="E2056" t="inlineStr">
        <is>
          <t>KATRINEHOLM</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65358-2020</t>
        </is>
      </c>
      <c r="B2057" s="1" t="n">
        <v>44173</v>
      </c>
      <c r="C2057" s="1" t="n">
        <v>45761</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66319-2020</t>
        </is>
      </c>
      <c r="B2058" s="1" t="n">
        <v>44174</v>
      </c>
      <c r="C2058" s="1" t="n">
        <v>45761</v>
      </c>
      <c r="D2058" t="inlineStr">
        <is>
          <t>SÖDERMANLANDS LÄN</t>
        </is>
      </c>
      <c r="E2058" t="inlineStr">
        <is>
          <t>ESKILSTUNA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66312-2020</t>
        </is>
      </c>
      <c r="B2059" s="1" t="n">
        <v>44174</v>
      </c>
      <c r="C2059" s="1" t="n">
        <v>45761</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66302-2020</t>
        </is>
      </c>
      <c r="B2060" s="1" t="n">
        <v>44174</v>
      </c>
      <c r="C2060" s="1" t="n">
        <v>45761</v>
      </c>
      <c r="D2060" t="inlineStr">
        <is>
          <t>SÖDERMANLANDS LÄN</t>
        </is>
      </c>
      <c r="E2060" t="inlineStr">
        <is>
          <t>STRÄNGNÄS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66330-2020</t>
        </is>
      </c>
      <c r="B2061" s="1" t="n">
        <v>44174</v>
      </c>
      <c r="C2061" s="1" t="n">
        <v>45761</v>
      </c>
      <c r="D2061" t="inlineStr">
        <is>
          <t>SÖDERMANLANDS LÄN</t>
        </is>
      </c>
      <c r="E2061" t="inlineStr">
        <is>
          <t>ESKILSTUNA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66025-2020</t>
        </is>
      </c>
      <c r="B2062" s="1" t="n">
        <v>44175</v>
      </c>
      <c r="C2062" s="1" t="n">
        <v>45761</v>
      </c>
      <c r="D2062" t="inlineStr">
        <is>
          <t>SÖDERMANLANDS LÄN</t>
        </is>
      </c>
      <c r="E2062" t="inlineStr">
        <is>
          <t>KATRINEHOLM</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66000-2020</t>
        </is>
      </c>
      <c r="B2063" s="1" t="n">
        <v>44175</v>
      </c>
      <c r="C2063" s="1" t="n">
        <v>45761</v>
      </c>
      <c r="D2063" t="inlineStr">
        <is>
          <t>SÖDERMANLANDS LÄN</t>
        </is>
      </c>
      <c r="E2063" t="inlineStr">
        <is>
          <t>STRÄNGNÄS</t>
        </is>
      </c>
      <c r="F2063" t="inlineStr">
        <is>
          <t>Övriga statliga verk och myndigheter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66041-2020</t>
        </is>
      </c>
      <c r="B2064" s="1" t="n">
        <v>44175</v>
      </c>
      <c r="C2064" s="1" t="n">
        <v>45761</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66353-2020</t>
        </is>
      </c>
      <c r="B2065" s="1" t="n">
        <v>44176</v>
      </c>
      <c r="C2065" s="1" t="n">
        <v>45761</v>
      </c>
      <c r="D2065" t="inlineStr">
        <is>
          <t>SÖDERMANLANDS LÄN</t>
        </is>
      </c>
      <c r="E2065" t="inlineStr">
        <is>
          <t>GNESTA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66453-2020</t>
        </is>
      </c>
      <c r="B2066" s="1" t="n">
        <v>44176</v>
      </c>
      <c r="C2066" s="1" t="n">
        <v>45761</v>
      </c>
      <c r="D2066" t="inlineStr">
        <is>
          <t>SÖDERMANLANDS LÄN</t>
        </is>
      </c>
      <c r="E2066" t="inlineStr">
        <is>
          <t>ESKILSTUNA</t>
        </is>
      </c>
      <c r="G2066" t="n">
        <v>10.5</v>
      </c>
      <c r="H2066" t="n">
        <v>0</v>
      </c>
      <c r="I2066" t="n">
        <v>0</v>
      </c>
      <c r="J2066" t="n">
        <v>0</v>
      </c>
      <c r="K2066" t="n">
        <v>0</v>
      </c>
      <c r="L2066" t="n">
        <v>0</v>
      </c>
      <c r="M2066" t="n">
        <v>0</v>
      </c>
      <c r="N2066" t="n">
        <v>0</v>
      </c>
      <c r="O2066" t="n">
        <v>0</v>
      </c>
      <c r="P2066" t="n">
        <v>0</v>
      </c>
      <c r="Q2066" t="n">
        <v>0</v>
      </c>
      <c r="R2066" s="2" t="inlineStr"/>
    </row>
    <row r="2067" ht="15" customHeight="1">
      <c r="A2067" t="inlineStr">
        <is>
          <t>A 66511-2020</t>
        </is>
      </c>
      <c r="B2067" s="1" t="n">
        <v>44178</v>
      </c>
      <c r="C2067" s="1" t="n">
        <v>45761</v>
      </c>
      <c r="D2067" t="inlineStr">
        <is>
          <t>SÖDERMANLANDS LÄN</t>
        </is>
      </c>
      <c r="E2067" t="inlineStr">
        <is>
          <t>FLEN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66796-2020</t>
        </is>
      </c>
      <c r="B2068" s="1" t="n">
        <v>44179</v>
      </c>
      <c r="C2068" s="1" t="n">
        <v>45761</v>
      </c>
      <c r="D2068" t="inlineStr">
        <is>
          <t>SÖDERMANLANDS LÄN</t>
        </is>
      </c>
      <c r="E2068" t="inlineStr">
        <is>
          <t>KATRINEHOLM</t>
        </is>
      </c>
      <c r="F2068" t="inlineStr">
        <is>
          <t>Holmen skog AB</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66583-2020</t>
        </is>
      </c>
      <c r="B2069" s="1" t="n">
        <v>44179</v>
      </c>
      <c r="C2069" s="1" t="n">
        <v>45761</v>
      </c>
      <c r="D2069" t="inlineStr">
        <is>
          <t>SÖDERMANLANDS LÄN</t>
        </is>
      </c>
      <c r="E2069" t="inlineStr">
        <is>
          <t>STRÄNGNÄS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66628-2020</t>
        </is>
      </c>
      <c r="B2070" s="1" t="n">
        <v>44179</v>
      </c>
      <c r="C2070" s="1" t="n">
        <v>45761</v>
      </c>
      <c r="D2070" t="inlineStr">
        <is>
          <t>SÖDERMANLANDS LÄN</t>
        </is>
      </c>
      <c r="E2070" t="inlineStr">
        <is>
          <t>NYKÖPING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66880-2020</t>
        </is>
      </c>
      <c r="B2071" s="1" t="n">
        <v>44180</v>
      </c>
      <c r="C2071" s="1" t="n">
        <v>45761</v>
      </c>
      <c r="D2071" t="inlineStr">
        <is>
          <t>SÖDERMANLANDS LÄN</t>
        </is>
      </c>
      <c r="E2071" t="inlineStr">
        <is>
          <t>KATRINEHOLM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66936-2020</t>
        </is>
      </c>
      <c r="B2072" s="1" t="n">
        <v>44180</v>
      </c>
      <c r="C2072" s="1" t="n">
        <v>45761</v>
      </c>
      <c r="D2072" t="inlineStr">
        <is>
          <t>SÖDERMANLANDS LÄN</t>
        </is>
      </c>
      <c r="E2072" t="inlineStr">
        <is>
          <t>ESKILSTUNA</t>
        </is>
      </c>
      <c r="G2072" t="n">
        <v>35.1</v>
      </c>
      <c r="H2072" t="n">
        <v>0</v>
      </c>
      <c r="I2072" t="n">
        <v>0</v>
      </c>
      <c r="J2072" t="n">
        <v>0</v>
      </c>
      <c r="K2072" t="n">
        <v>0</v>
      </c>
      <c r="L2072" t="n">
        <v>0</v>
      </c>
      <c r="M2072" t="n">
        <v>0</v>
      </c>
      <c r="N2072" t="n">
        <v>0</v>
      </c>
      <c r="O2072" t="n">
        <v>0</v>
      </c>
      <c r="P2072" t="n">
        <v>0</v>
      </c>
      <c r="Q2072" t="n">
        <v>0</v>
      </c>
      <c r="R2072" s="2" t="inlineStr"/>
    </row>
    <row r="2073" ht="15" customHeight="1">
      <c r="A2073" t="inlineStr">
        <is>
          <t>A 66946-2020</t>
        </is>
      </c>
      <c r="B2073" s="1" t="n">
        <v>44180</v>
      </c>
      <c r="C2073" s="1" t="n">
        <v>45761</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66896-2020</t>
        </is>
      </c>
      <c r="B2074" s="1" t="n">
        <v>44180</v>
      </c>
      <c r="C2074" s="1" t="n">
        <v>45761</v>
      </c>
      <c r="D2074" t="inlineStr">
        <is>
          <t>SÖDERMANLANDS LÄN</t>
        </is>
      </c>
      <c r="E2074" t="inlineStr">
        <is>
          <t>KATRINEHOLM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67682-2020</t>
        </is>
      </c>
      <c r="B2075" s="1" t="n">
        <v>44181</v>
      </c>
      <c r="C2075" s="1" t="n">
        <v>45761</v>
      </c>
      <c r="D2075" t="inlineStr">
        <is>
          <t>SÖDERMANLANDS LÄN</t>
        </is>
      </c>
      <c r="E2075" t="inlineStr">
        <is>
          <t>NYKÖPING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67543-2020</t>
        </is>
      </c>
      <c r="B2076" s="1" t="n">
        <v>44181</v>
      </c>
      <c r="C2076" s="1" t="n">
        <v>45761</v>
      </c>
      <c r="D2076" t="inlineStr">
        <is>
          <t>SÖDERMANLANDS LÄN</t>
        </is>
      </c>
      <c r="E2076" t="inlineStr">
        <is>
          <t>NYKÖPING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67856-2020</t>
        </is>
      </c>
      <c r="B2077" s="1" t="n">
        <v>44182</v>
      </c>
      <c r="C2077" s="1" t="n">
        <v>45761</v>
      </c>
      <c r="D2077" t="inlineStr">
        <is>
          <t>SÖDERMANLANDS LÄN</t>
        </is>
      </c>
      <c r="E2077" t="inlineStr">
        <is>
          <t>GNESTA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67959-2020</t>
        </is>
      </c>
      <c r="B2078" s="1" t="n">
        <v>44182</v>
      </c>
      <c r="C2078" s="1" t="n">
        <v>45761</v>
      </c>
      <c r="D2078" t="inlineStr">
        <is>
          <t>SÖDERMANLANDS LÄN</t>
        </is>
      </c>
      <c r="E2078" t="inlineStr">
        <is>
          <t>KATRINEHOLM</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67957-2020</t>
        </is>
      </c>
      <c r="B2079" s="1" t="n">
        <v>44182</v>
      </c>
      <c r="C2079" s="1" t="n">
        <v>45761</v>
      </c>
      <c r="D2079" t="inlineStr">
        <is>
          <t>SÖDERMANLANDS LÄN</t>
        </is>
      </c>
      <c r="E2079" t="inlineStr">
        <is>
          <t>KATRINEHOLM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68177-2020</t>
        </is>
      </c>
      <c r="B2080" s="1" t="n">
        <v>44183</v>
      </c>
      <c r="C2080" s="1" t="n">
        <v>45761</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68178-2020</t>
        </is>
      </c>
      <c r="B2081" s="1" t="n">
        <v>44183</v>
      </c>
      <c r="C2081" s="1" t="n">
        <v>45761</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68613-2020</t>
        </is>
      </c>
      <c r="B2082" s="1" t="n">
        <v>44186</v>
      </c>
      <c r="C2082" s="1" t="n">
        <v>45761</v>
      </c>
      <c r="D2082" t="inlineStr">
        <is>
          <t>SÖDERMANLANDS LÄN</t>
        </is>
      </c>
      <c r="E2082" t="inlineStr">
        <is>
          <t>STRÄNGNÄS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68611-2020</t>
        </is>
      </c>
      <c r="B2083" s="1" t="n">
        <v>44186</v>
      </c>
      <c r="C2083" s="1" t="n">
        <v>45761</v>
      </c>
      <c r="D2083" t="inlineStr">
        <is>
          <t>SÖDERMANLANDS LÄN</t>
        </is>
      </c>
      <c r="E2083" t="inlineStr">
        <is>
          <t>STRÄNGNÄS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68727-2020</t>
        </is>
      </c>
      <c r="B2084" s="1" t="n">
        <v>44187</v>
      </c>
      <c r="C2084" s="1" t="n">
        <v>45761</v>
      </c>
      <c r="D2084" t="inlineStr">
        <is>
          <t>SÖDERMANLANDS LÄN</t>
        </is>
      </c>
      <c r="E2084" t="inlineStr">
        <is>
          <t>VINGÅKER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68739-2020</t>
        </is>
      </c>
      <c r="B2085" s="1" t="n">
        <v>44187</v>
      </c>
      <c r="C2085" s="1" t="n">
        <v>45761</v>
      </c>
      <c r="D2085" t="inlineStr">
        <is>
          <t>SÖDERMANLANDS LÄN</t>
        </is>
      </c>
      <c r="E2085" t="inlineStr">
        <is>
          <t>VINGÅKER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68698-2020</t>
        </is>
      </c>
      <c r="B2086" s="1" t="n">
        <v>44187</v>
      </c>
      <c r="C2086" s="1" t="n">
        <v>45761</v>
      </c>
      <c r="D2086" t="inlineStr">
        <is>
          <t>SÖDERMANLANDS LÄN</t>
        </is>
      </c>
      <c r="E2086" t="inlineStr">
        <is>
          <t>GNESTA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69019-2020</t>
        </is>
      </c>
      <c r="B2087" s="1" t="n">
        <v>44187</v>
      </c>
      <c r="C2087" s="1" t="n">
        <v>45761</v>
      </c>
      <c r="D2087" t="inlineStr">
        <is>
          <t>SÖDERMANLANDS LÄN</t>
        </is>
      </c>
      <c r="E2087" t="inlineStr">
        <is>
          <t>FLEN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69077-2020</t>
        </is>
      </c>
      <c r="B2088" s="1" t="n">
        <v>44188</v>
      </c>
      <c r="C2088" s="1" t="n">
        <v>45761</v>
      </c>
      <c r="D2088" t="inlineStr">
        <is>
          <t>SÖDERMANLANDS LÄN</t>
        </is>
      </c>
      <c r="E2088" t="inlineStr">
        <is>
          <t>NYKÖPING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69015-2020</t>
        </is>
      </c>
      <c r="B2089" s="1" t="n">
        <v>44188</v>
      </c>
      <c r="C2089" s="1" t="n">
        <v>45761</v>
      </c>
      <c r="D2089" t="inlineStr">
        <is>
          <t>SÖDERMANLANDS LÄN</t>
        </is>
      </c>
      <c r="E2089" t="inlineStr">
        <is>
          <t>FLEN</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69143-2020</t>
        </is>
      </c>
      <c r="B2090" s="1" t="n">
        <v>44188</v>
      </c>
      <c r="C2090" s="1" t="n">
        <v>45761</v>
      </c>
      <c r="D2090" t="inlineStr">
        <is>
          <t>SÖDERMANLANDS LÄN</t>
        </is>
      </c>
      <c r="E2090" t="inlineStr">
        <is>
          <t>ESKILSTUNA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69047-2020</t>
        </is>
      </c>
      <c r="B2091" s="1" t="n">
        <v>44188</v>
      </c>
      <c r="C2091" s="1" t="n">
        <v>45761</v>
      </c>
      <c r="D2091" t="inlineStr">
        <is>
          <t>SÖDERMANLANDS LÄN</t>
        </is>
      </c>
      <c r="E2091" t="inlineStr">
        <is>
          <t>STRÄNGNÄS</t>
        </is>
      </c>
      <c r="F2091" t="inlineStr">
        <is>
          <t>Allmännings- och besparingsskogar</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69197-2020</t>
        </is>
      </c>
      <c r="B2092" s="1" t="n">
        <v>44191</v>
      </c>
      <c r="C2092" s="1" t="n">
        <v>45761</v>
      </c>
      <c r="D2092" t="inlineStr">
        <is>
          <t>SÖDERMANLANDS LÄN</t>
        </is>
      </c>
      <c r="E2092" t="inlineStr">
        <is>
          <t>VINGÅKER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69332-2020</t>
        </is>
      </c>
      <c r="B2093" s="1" t="n">
        <v>44193</v>
      </c>
      <c r="C2093" s="1" t="n">
        <v>45761</v>
      </c>
      <c r="D2093" t="inlineStr">
        <is>
          <t>SÖDERMANLANDS LÄN</t>
        </is>
      </c>
      <c r="E2093" t="inlineStr">
        <is>
          <t>KATRINEHOLM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69388-2020</t>
        </is>
      </c>
      <c r="B2094" s="1" t="n">
        <v>44193</v>
      </c>
      <c r="C2094" s="1" t="n">
        <v>45761</v>
      </c>
      <c r="D2094" t="inlineStr">
        <is>
          <t>SÖDERMANLANDS LÄN</t>
        </is>
      </c>
      <c r="E2094" t="inlineStr">
        <is>
          <t>FLEN</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69439-2020</t>
        </is>
      </c>
      <c r="B2095" s="1" t="n">
        <v>44194</v>
      </c>
      <c r="C2095" s="1" t="n">
        <v>45761</v>
      </c>
      <c r="D2095" t="inlineStr">
        <is>
          <t>SÖDERMANLANDS LÄN</t>
        </is>
      </c>
      <c r="E2095" t="inlineStr">
        <is>
          <t>VINGÅKER</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69563-2020</t>
        </is>
      </c>
      <c r="B2096" s="1" t="n">
        <v>44194</v>
      </c>
      <c r="C2096" s="1" t="n">
        <v>45761</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69607-2020</t>
        </is>
      </c>
      <c r="B2097" s="1" t="n">
        <v>44195</v>
      </c>
      <c r="C2097" s="1" t="n">
        <v>45761</v>
      </c>
      <c r="D2097" t="inlineStr">
        <is>
          <t>SÖDERMANLANDS LÄN</t>
        </is>
      </c>
      <c r="E2097" t="inlineStr">
        <is>
          <t>VINGÅKER</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69600-2020</t>
        </is>
      </c>
      <c r="B2098" s="1" t="n">
        <v>44195</v>
      </c>
      <c r="C2098" s="1" t="n">
        <v>45761</v>
      </c>
      <c r="D2098" t="inlineStr">
        <is>
          <t>SÖDERMANLANDS LÄN</t>
        </is>
      </c>
      <c r="E2098" t="inlineStr">
        <is>
          <t>KATRINEHOLM</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16-2021</t>
        </is>
      </c>
      <c r="B2099" s="1" t="n">
        <v>44197</v>
      </c>
      <c r="C2099" s="1" t="n">
        <v>45761</v>
      </c>
      <c r="D2099" t="inlineStr">
        <is>
          <t>SÖDERMANLANDS LÄN</t>
        </is>
      </c>
      <c r="E2099" t="inlineStr">
        <is>
          <t>NYKÖPING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21-2021</t>
        </is>
      </c>
      <c r="B2100" s="1" t="n">
        <v>44197</v>
      </c>
      <c r="C2100" s="1" t="n">
        <v>45761</v>
      </c>
      <c r="D2100" t="inlineStr">
        <is>
          <t>SÖDERMANLANDS LÄN</t>
        </is>
      </c>
      <c r="E2100" t="inlineStr">
        <is>
          <t>NYKÖPING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37-2021</t>
        </is>
      </c>
      <c r="B2101" s="1" t="n">
        <v>44198</v>
      </c>
      <c r="C2101" s="1" t="n">
        <v>45761</v>
      </c>
      <c r="D2101" t="inlineStr">
        <is>
          <t>SÖDERMANLANDS LÄN</t>
        </is>
      </c>
      <c r="E2101" t="inlineStr">
        <is>
          <t>NYKÖPING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38-2021</t>
        </is>
      </c>
      <c r="B2102" s="1" t="n">
        <v>44198</v>
      </c>
      <c r="C2102" s="1" t="n">
        <v>45761</v>
      </c>
      <c r="D2102" t="inlineStr">
        <is>
          <t>SÖDERMANLANDS LÄN</t>
        </is>
      </c>
      <c r="E2102" t="inlineStr">
        <is>
          <t>NYKÖPING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40-2021</t>
        </is>
      </c>
      <c r="B2103" s="1" t="n">
        <v>44198</v>
      </c>
      <c r="C2103" s="1" t="n">
        <v>45761</v>
      </c>
      <c r="D2103" t="inlineStr">
        <is>
          <t>SÖDERMANLANDS LÄN</t>
        </is>
      </c>
      <c r="E2103" t="inlineStr">
        <is>
          <t>NYKÖPING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64-2021</t>
        </is>
      </c>
      <c r="B2104" s="1" t="n">
        <v>44199</v>
      </c>
      <c r="C2104" s="1" t="n">
        <v>45761</v>
      </c>
      <c r="D2104" t="inlineStr">
        <is>
          <t>SÖDERMANLANDS LÄN</t>
        </is>
      </c>
      <c r="E2104" t="inlineStr">
        <is>
          <t>NYKÖPING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61-2021</t>
        </is>
      </c>
      <c r="B2105" s="1" t="n">
        <v>44199</v>
      </c>
      <c r="C2105" s="1" t="n">
        <v>45761</v>
      </c>
      <c r="D2105" t="inlineStr">
        <is>
          <t>SÖDERMANLANDS LÄN</t>
        </is>
      </c>
      <c r="E2105" t="inlineStr">
        <is>
          <t>NYKÖPING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68-2021</t>
        </is>
      </c>
      <c r="B2106" s="1" t="n">
        <v>44199</v>
      </c>
      <c r="C2106" s="1" t="n">
        <v>45761</v>
      </c>
      <c r="D2106" t="inlineStr">
        <is>
          <t>SÖDERMANLANDS LÄN</t>
        </is>
      </c>
      <c r="E2106" t="inlineStr">
        <is>
          <t>NYKÖPING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63-2021</t>
        </is>
      </c>
      <c r="B2107" s="1" t="n">
        <v>44199</v>
      </c>
      <c r="C2107" s="1" t="n">
        <v>45761</v>
      </c>
      <c r="D2107" t="inlineStr">
        <is>
          <t>SÖDERMANLANDS LÄN</t>
        </is>
      </c>
      <c r="E2107" t="inlineStr">
        <is>
          <t>NYKÖPING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60-2021</t>
        </is>
      </c>
      <c r="B2108" s="1" t="n">
        <v>44199</v>
      </c>
      <c r="C2108" s="1" t="n">
        <v>45761</v>
      </c>
      <c r="D2108" t="inlineStr">
        <is>
          <t>SÖDERMANLANDS LÄN</t>
        </is>
      </c>
      <c r="E2108" t="inlineStr">
        <is>
          <t>NYKÖPING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67-2021</t>
        </is>
      </c>
      <c r="B2109" s="1" t="n">
        <v>44199</v>
      </c>
      <c r="C2109" s="1" t="n">
        <v>45761</v>
      </c>
      <c r="D2109" t="inlineStr">
        <is>
          <t>SÖDERMANLANDS LÄN</t>
        </is>
      </c>
      <c r="E2109" t="inlineStr">
        <is>
          <t>NYKÖPING</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73-2021</t>
        </is>
      </c>
      <c r="B2110" s="1" t="n">
        <v>44200</v>
      </c>
      <c r="C2110" s="1" t="n">
        <v>45761</v>
      </c>
      <c r="D2110" t="inlineStr">
        <is>
          <t>SÖDERMANLANDS LÄN</t>
        </is>
      </c>
      <c r="E2110" t="inlineStr">
        <is>
          <t>NYKÖPING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162-2021</t>
        </is>
      </c>
      <c r="B2111" s="1" t="n">
        <v>44200</v>
      </c>
      <c r="C2111" s="1" t="n">
        <v>45761</v>
      </c>
      <c r="D2111" t="inlineStr">
        <is>
          <t>SÖDERMANLANDS LÄN</t>
        </is>
      </c>
      <c r="E2111" t="inlineStr">
        <is>
          <t>GNESTA</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69-2021</t>
        </is>
      </c>
      <c r="B2112" s="1" t="n">
        <v>44200</v>
      </c>
      <c r="C2112" s="1" t="n">
        <v>45761</v>
      </c>
      <c r="D2112" t="inlineStr">
        <is>
          <t>SÖDERMANLANDS LÄN</t>
        </is>
      </c>
      <c r="E2112" t="inlineStr">
        <is>
          <t>NYKÖPING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76-2021</t>
        </is>
      </c>
      <c r="B2113" s="1" t="n">
        <v>44200</v>
      </c>
      <c r="C2113" s="1" t="n">
        <v>45761</v>
      </c>
      <c r="D2113" t="inlineStr">
        <is>
          <t>SÖDERMANLANDS LÄN</t>
        </is>
      </c>
      <c r="E2113" t="inlineStr">
        <is>
          <t>NYKÖPING</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75-2021</t>
        </is>
      </c>
      <c r="B2114" s="1" t="n">
        <v>44200</v>
      </c>
      <c r="C2114" s="1" t="n">
        <v>45761</v>
      </c>
      <c r="D2114" t="inlineStr">
        <is>
          <t>SÖDERMANLANDS LÄN</t>
        </is>
      </c>
      <c r="E2114" t="inlineStr">
        <is>
          <t>NYKÖPING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229-2021</t>
        </is>
      </c>
      <c r="B2115" s="1" t="n">
        <v>44200</v>
      </c>
      <c r="C2115" s="1" t="n">
        <v>45761</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358-2021</t>
        </is>
      </c>
      <c r="B2116" s="1" t="n">
        <v>44200</v>
      </c>
      <c r="C2116" s="1" t="n">
        <v>45761</v>
      </c>
      <c r="D2116" t="inlineStr">
        <is>
          <t>SÖDERMANLANDS LÄN</t>
        </is>
      </c>
      <c r="E2116" t="inlineStr">
        <is>
          <t>NYKÖPING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346-2021</t>
        </is>
      </c>
      <c r="B2117" s="1" t="n">
        <v>44200</v>
      </c>
      <c r="C2117" s="1" t="n">
        <v>45761</v>
      </c>
      <c r="D2117" t="inlineStr">
        <is>
          <t>SÖDERMANLANDS LÄN</t>
        </is>
      </c>
      <c r="E2117" t="inlineStr">
        <is>
          <t>NYKÖPING</t>
        </is>
      </c>
      <c r="F2117" t="inlineStr">
        <is>
          <t>Allmännings- och besparingsskogar</t>
        </is>
      </c>
      <c r="G2117" t="n">
        <v>18.1</v>
      </c>
      <c r="H2117" t="n">
        <v>0</v>
      </c>
      <c r="I2117" t="n">
        <v>0</v>
      </c>
      <c r="J2117" t="n">
        <v>0</v>
      </c>
      <c r="K2117" t="n">
        <v>0</v>
      </c>
      <c r="L2117" t="n">
        <v>0</v>
      </c>
      <c r="M2117" t="n">
        <v>0</v>
      </c>
      <c r="N2117" t="n">
        <v>0</v>
      </c>
      <c r="O2117" t="n">
        <v>0</v>
      </c>
      <c r="P2117" t="n">
        <v>0</v>
      </c>
      <c r="Q2117" t="n">
        <v>0</v>
      </c>
      <c r="R2117" s="2" t="inlineStr"/>
    </row>
    <row r="2118" ht="15" customHeight="1">
      <c r="A2118" t="inlineStr">
        <is>
          <t>A 70-2021</t>
        </is>
      </c>
      <c r="B2118" s="1" t="n">
        <v>44200</v>
      </c>
      <c r="C2118" s="1" t="n">
        <v>45761</v>
      </c>
      <c r="D2118" t="inlineStr">
        <is>
          <t>SÖDERMANLANDS LÄN</t>
        </is>
      </c>
      <c r="E2118" t="inlineStr">
        <is>
          <t>NYKÖPING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527-2021</t>
        </is>
      </c>
      <c r="B2119" s="1" t="n">
        <v>44201</v>
      </c>
      <c r="C2119" s="1" t="n">
        <v>45761</v>
      </c>
      <c r="D2119" t="inlineStr">
        <is>
          <t>SÖDERMANLANDS LÄN</t>
        </is>
      </c>
      <c r="E2119" t="inlineStr">
        <is>
          <t>FLEN</t>
        </is>
      </c>
      <c r="F2119" t="inlineStr">
        <is>
          <t>Övriga statliga verk och myndigheter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471-2021</t>
        </is>
      </c>
      <c r="B2120" s="1" t="n">
        <v>44203</v>
      </c>
      <c r="C2120" s="1" t="n">
        <v>45761</v>
      </c>
      <c r="D2120" t="inlineStr">
        <is>
          <t>SÖDERMANLANDS LÄN</t>
        </is>
      </c>
      <c r="E2120" t="inlineStr">
        <is>
          <t>ESKILSTUNA</t>
        </is>
      </c>
      <c r="F2120" t="inlineStr">
        <is>
          <t>Kyrkan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473-2021</t>
        </is>
      </c>
      <c r="B2121" s="1" t="n">
        <v>44203</v>
      </c>
      <c r="C2121" s="1" t="n">
        <v>45761</v>
      </c>
      <c r="D2121" t="inlineStr">
        <is>
          <t>SÖDERMANLANDS LÄN</t>
        </is>
      </c>
      <c r="E2121" t="inlineStr">
        <is>
          <t>ESKILSTUNA</t>
        </is>
      </c>
      <c r="F2121" t="inlineStr">
        <is>
          <t>Kyrkan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587-2021</t>
        </is>
      </c>
      <c r="B2122" s="1" t="n">
        <v>44203</v>
      </c>
      <c r="C2122" s="1" t="n">
        <v>45761</v>
      </c>
      <c r="D2122" t="inlineStr">
        <is>
          <t>SÖDERMANLANDS LÄN</t>
        </is>
      </c>
      <c r="E2122" t="inlineStr">
        <is>
          <t>FLEN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1038-2021</t>
        </is>
      </c>
      <c r="B2123" s="1" t="n">
        <v>44207</v>
      </c>
      <c r="C2123" s="1" t="n">
        <v>45761</v>
      </c>
      <c r="D2123" t="inlineStr">
        <is>
          <t>SÖDERMANLANDS LÄN</t>
        </is>
      </c>
      <c r="E2123" t="inlineStr">
        <is>
          <t>GNESTA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1083-2021</t>
        </is>
      </c>
      <c r="B2124" s="1" t="n">
        <v>44207</v>
      </c>
      <c r="C2124" s="1" t="n">
        <v>45761</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1329-2021</t>
        </is>
      </c>
      <c r="B2125" s="1" t="n">
        <v>44208</v>
      </c>
      <c r="C2125" s="1" t="n">
        <v>45761</v>
      </c>
      <c r="D2125" t="inlineStr">
        <is>
          <t>SÖDERMANLANDS LÄN</t>
        </is>
      </c>
      <c r="E2125" t="inlineStr">
        <is>
          <t>FLEN</t>
        </is>
      </c>
      <c r="F2125" t="inlineStr">
        <is>
          <t>Övriga statliga verk och myndigheter</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1333-2021</t>
        </is>
      </c>
      <c r="B2126" s="1" t="n">
        <v>44208</v>
      </c>
      <c r="C2126" s="1" t="n">
        <v>45761</v>
      </c>
      <c r="D2126" t="inlineStr">
        <is>
          <t>SÖDERMANLANDS LÄN</t>
        </is>
      </c>
      <c r="E2126" t="inlineStr">
        <is>
          <t>FLEN</t>
        </is>
      </c>
      <c r="F2126" t="inlineStr">
        <is>
          <t>Övriga statliga verk och myndigheter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1330-2021</t>
        </is>
      </c>
      <c r="B2127" s="1" t="n">
        <v>44208</v>
      </c>
      <c r="C2127" s="1" t="n">
        <v>45761</v>
      </c>
      <c r="D2127" t="inlineStr">
        <is>
          <t>SÖDERMANLANDS LÄN</t>
        </is>
      </c>
      <c r="E2127" t="inlineStr">
        <is>
          <t>FLEN</t>
        </is>
      </c>
      <c r="F2127" t="inlineStr">
        <is>
          <t>Övriga statliga verk och myndigheter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1518-2021</t>
        </is>
      </c>
      <c r="B2128" s="1" t="n">
        <v>44208</v>
      </c>
      <c r="C2128" s="1" t="n">
        <v>45761</v>
      </c>
      <c r="D2128" t="inlineStr">
        <is>
          <t>SÖDERMANLANDS LÄN</t>
        </is>
      </c>
      <c r="E2128" t="inlineStr">
        <is>
          <t>STRÄNGNÄS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1605-2021</t>
        </is>
      </c>
      <c r="B2129" s="1" t="n">
        <v>44209</v>
      </c>
      <c r="C2129" s="1" t="n">
        <v>45761</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1547-2021</t>
        </is>
      </c>
      <c r="B2130" s="1" t="n">
        <v>44209</v>
      </c>
      <c r="C2130" s="1" t="n">
        <v>45761</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1565-2021</t>
        </is>
      </c>
      <c r="B2131" s="1" t="n">
        <v>44209</v>
      </c>
      <c r="C2131" s="1" t="n">
        <v>45761</v>
      </c>
      <c r="D2131" t="inlineStr">
        <is>
          <t>SÖDERMANLANDS LÄN</t>
        </is>
      </c>
      <c r="E2131" t="inlineStr">
        <is>
          <t>FLEN</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1655-2021</t>
        </is>
      </c>
      <c r="B2132" s="1" t="n">
        <v>44209</v>
      </c>
      <c r="C2132" s="1" t="n">
        <v>45761</v>
      </c>
      <c r="D2132" t="inlineStr">
        <is>
          <t>SÖDERMANLANDS LÄN</t>
        </is>
      </c>
      <c r="E2132" t="inlineStr">
        <is>
          <t>ESKILSTUNA</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1694-2021</t>
        </is>
      </c>
      <c r="B2133" s="1" t="n">
        <v>44209</v>
      </c>
      <c r="C2133" s="1" t="n">
        <v>45761</v>
      </c>
      <c r="D2133" t="inlineStr">
        <is>
          <t>SÖDERMANLANDS LÄN</t>
        </is>
      </c>
      <c r="E2133" t="inlineStr">
        <is>
          <t>ESKILSTUNA</t>
        </is>
      </c>
      <c r="F2133" t="inlineStr">
        <is>
          <t>Allmännings- och besparingsskogar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1787-2021</t>
        </is>
      </c>
      <c r="B2134" s="1" t="n">
        <v>44210</v>
      </c>
      <c r="C2134" s="1" t="n">
        <v>45761</v>
      </c>
      <c r="D2134" t="inlineStr">
        <is>
          <t>SÖDERMANLANDS LÄN</t>
        </is>
      </c>
      <c r="E2134" t="inlineStr">
        <is>
          <t>STRÄNGNÄS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1818-2021</t>
        </is>
      </c>
      <c r="B2135" s="1" t="n">
        <v>44210</v>
      </c>
      <c r="C2135" s="1" t="n">
        <v>45761</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1865-2021</t>
        </is>
      </c>
      <c r="B2136" s="1" t="n">
        <v>44210</v>
      </c>
      <c r="C2136" s="1" t="n">
        <v>45761</v>
      </c>
      <c r="D2136" t="inlineStr">
        <is>
          <t>SÖDERMANLANDS LÄN</t>
        </is>
      </c>
      <c r="E2136" t="inlineStr">
        <is>
          <t>STRÄNGNÄS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1869-2021</t>
        </is>
      </c>
      <c r="B2137" s="1" t="n">
        <v>44210</v>
      </c>
      <c r="C2137" s="1" t="n">
        <v>45761</v>
      </c>
      <c r="D2137" t="inlineStr">
        <is>
          <t>SÖDERMANLANDS LÄN</t>
        </is>
      </c>
      <c r="E2137" t="inlineStr">
        <is>
          <t>STRÄNGNÄS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1783-2021</t>
        </is>
      </c>
      <c r="B2138" s="1" t="n">
        <v>44210</v>
      </c>
      <c r="C2138" s="1" t="n">
        <v>45761</v>
      </c>
      <c r="D2138" t="inlineStr">
        <is>
          <t>SÖDERMANLANDS LÄN</t>
        </is>
      </c>
      <c r="E2138" t="inlineStr">
        <is>
          <t>STRÄNGNÄS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1860-2021</t>
        </is>
      </c>
      <c r="B2139" s="1" t="n">
        <v>44210</v>
      </c>
      <c r="C2139" s="1" t="n">
        <v>45761</v>
      </c>
      <c r="D2139" t="inlineStr">
        <is>
          <t>SÖDERMANLANDS LÄN</t>
        </is>
      </c>
      <c r="E2139" t="inlineStr">
        <is>
          <t>STRÄNGNÄS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1816-2021</t>
        </is>
      </c>
      <c r="B2140" s="1" t="n">
        <v>44210</v>
      </c>
      <c r="C2140" s="1" t="n">
        <v>45761</v>
      </c>
      <c r="D2140" t="inlineStr">
        <is>
          <t>SÖDERMANLANDS LÄN</t>
        </is>
      </c>
      <c r="E2140" t="inlineStr">
        <is>
          <t>STRÄNGNÄS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1856-2021</t>
        </is>
      </c>
      <c r="B2141" s="1" t="n">
        <v>44210</v>
      </c>
      <c r="C2141" s="1" t="n">
        <v>45761</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1866-2021</t>
        </is>
      </c>
      <c r="B2142" s="1" t="n">
        <v>44210</v>
      </c>
      <c r="C2142" s="1" t="n">
        <v>45761</v>
      </c>
      <c r="D2142" t="inlineStr">
        <is>
          <t>SÖDERMANLANDS LÄN</t>
        </is>
      </c>
      <c r="E2142" t="inlineStr">
        <is>
          <t>STRÄNGNÄS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2071-2021</t>
        </is>
      </c>
      <c r="B2143" s="1" t="n">
        <v>44211</v>
      </c>
      <c r="C2143" s="1" t="n">
        <v>45761</v>
      </c>
      <c r="D2143" t="inlineStr">
        <is>
          <t>SÖDERMANLANDS LÄN</t>
        </is>
      </c>
      <c r="E2143" t="inlineStr">
        <is>
          <t>ESKILSTUNA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2113-2021</t>
        </is>
      </c>
      <c r="B2144" s="1" t="n">
        <v>44211</v>
      </c>
      <c r="C2144" s="1" t="n">
        <v>45761</v>
      </c>
      <c r="D2144" t="inlineStr">
        <is>
          <t>SÖDERMANLANDS LÄN</t>
        </is>
      </c>
      <c r="E2144" t="inlineStr">
        <is>
          <t>ESKILSTUNA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2297-2021</t>
        </is>
      </c>
      <c r="B2145" s="1" t="n">
        <v>44212</v>
      </c>
      <c r="C2145" s="1" t="n">
        <v>45761</v>
      </c>
      <c r="D2145" t="inlineStr">
        <is>
          <t>SÖDERMANLANDS LÄN</t>
        </is>
      </c>
      <c r="E2145" t="inlineStr">
        <is>
          <t>KATRINEHOLM</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2298-2021</t>
        </is>
      </c>
      <c r="B2146" s="1" t="n">
        <v>44212</v>
      </c>
      <c r="C2146" s="1" t="n">
        <v>45761</v>
      </c>
      <c r="D2146" t="inlineStr">
        <is>
          <t>SÖDERMANLANDS LÄN</t>
        </is>
      </c>
      <c r="E2146" t="inlineStr">
        <is>
          <t>KATRINEHOLM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2362-2021</t>
        </is>
      </c>
      <c r="B2147" s="1" t="n">
        <v>44214</v>
      </c>
      <c r="C2147" s="1" t="n">
        <v>45761</v>
      </c>
      <c r="D2147" t="inlineStr">
        <is>
          <t>SÖDERMANLANDS LÄN</t>
        </is>
      </c>
      <c r="E2147" t="inlineStr">
        <is>
          <t>ESKILSTUNA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2460-2021</t>
        </is>
      </c>
      <c r="B2148" s="1" t="n">
        <v>44214</v>
      </c>
      <c r="C2148" s="1" t="n">
        <v>45761</v>
      </c>
      <c r="D2148" t="inlineStr">
        <is>
          <t>SÖDERMANLANDS LÄN</t>
        </is>
      </c>
      <c r="E2148" t="inlineStr">
        <is>
          <t>FLEN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2488-2021</t>
        </is>
      </c>
      <c r="B2149" s="1" t="n">
        <v>44214</v>
      </c>
      <c r="C2149" s="1" t="n">
        <v>45761</v>
      </c>
      <c r="D2149" t="inlineStr">
        <is>
          <t>SÖDERMANLANDS LÄN</t>
        </is>
      </c>
      <c r="E2149" t="inlineStr">
        <is>
          <t>FLEN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2435-2021</t>
        </is>
      </c>
      <c r="B2150" s="1" t="n">
        <v>44214</v>
      </c>
      <c r="C2150" s="1" t="n">
        <v>45761</v>
      </c>
      <c r="D2150" t="inlineStr">
        <is>
          <t>SÖDERMANLANDS LÄN</t>
        </is>
      </c>
      <c r="E2150" t="inlineStr">
        <is>
          <t>KATRINEHOLM</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2541-2021</t>
        </is>
      </c>
      <c r="B2151" s="1" t="n">
        <v>44214</v>
      </c>
      <c r="C2151" s="1" t="n">
        <v>45761</v>
      </c>
      <c r="D2151" t="inlineStr">
        <is>
          <t>SÖDERMANLANDS LÄN</t>
        </is>
      </c>
      <c r="E2151" t="inlineStr">
        <is>
          <t>NYKÖPING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2945-2021</t>
        </is>
      </c>
      <c r="B2152" s="1" t="n">
        <v>44216</v>
      </c>
      <c r="C2152" s="1" t="n">
        <v>45761</v>
      </c>
      <c r="D2152" t="inlineStr">
        <is>
          <t>SÖDERMANLANDS LÄN</t>
        </is>
      </c>
      <c r="E2152" t="inlineStr">
        <is>
          <t>ESKILSTUNA</t>
        </is>
      </c>
      <c r="F2152" t="inlineStr">
        <is>
          <t>Allmännings- och besparingsskogar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2851-2021</t>
        </is>
      </c>
      <c r="B2153" s="1" t="n">
        <v>44216</v>
      </c>
      <c r="C2153" s="1" t="n">
        <v>45761</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2863-2021</t>
        </is>
      </c>
      <c r="B2154" s="1" t="n">
        <v>44216</v>
      </c>
      <c r="C2154" s="1" t="n">
        <v>45761</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2866-2021</t>
        </is>
      </c>
      <c r="B2155" s="1" t="n">
        <v>44216</v>
      </c>
      <c r="C2155" s="1" t="n">
        <v>45761</v>
      </c>
      <c r="D2155" t="inlineStr">
        <is>
          <t>SÖDERMANLANDS LÄN</t>
        </is>
      </c>
      <c r="E2155" t="inlineStr">
        <is>
          <t>NYKÖPING</t>
        </is>
      </c>
      <c r="F2155" t="inlineStr">
        <is>
          <t>Holmen skog AB</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3068-2021</t>
        </is>
      </c>
      <c r="B2156" s="1" t="n">
        <v>44216</v>
      </c>
      <c r="C2156" s="1" t="n">
        <v>45761</v>
      </c>
      <c r="D2156" t="inlineStr">
        <is>
          <t>SÖDERMANLANDS LÄN</t>
        </is>
      </c>
      <c r="E2156" t="inlineStr">
        <is>
          <t>NYKÖPING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3169-2021</t>
        </is>
      </c>
      <c r="B2157" s="1" t="n">
        <v>44217</v>
      </c>
      <c r="C2157" s="1" t="n">
        <v>45761</v>
      </c>
      <c r="D2157" t="inlineStr">
        <is>
          <t>SÖDERMANLANDS LÄN</t>
        </is>
      </c>
      <c r="E2157" t="inlineStr">
        <is>
          <t>FLEN</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3382-2021</t>
        </is>
      </c>
      <c r="B2158" s="1" t="n">
        <v>44217</v>
      </c>
      <c r="C2158" s="1" t="n">
        <v>45761</v>
      </c>
      <c r="D2158" t="inlineStr">
        <is>
          <t>SÖDERMANLANDS LÄN</t>
        </is>
      </c>
      <c r="E2158" t="inlineStr">
        <is>
          <t>NYKÖPING</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3359-2021</t>
        </is>
      </c>
      <c r="B2159" s="1" t="n">
        <v>44218</v>
      </c>
      <c r="C2159" s="1" t="n">
        <v>45761</v>
      </c>
      <c r="D2159" t="inlineStr">
        <is>
          <t>SÖDERMANLANDS LÄN</t>
        </is>
      </c>
      <c r="E2159" t="inlineStr">
        <is>
          <t>NYKÖPING</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3513-2021</t>
        </is>
      </c>
      <c r="B2160" s="1" t="n">
        <v>44218</v>
      </c>
      <c r="C2160" s="1" t="n">
        <v>45761</v>
      </c>
      <c r="D2160" t="inlineStr">
        <is>
          <t>SÖDERMANLANDS LÄN</t>
        </is>
      </c>
      <c r="E2160" t="inlineStr">
        <is>
          <t>FLEN</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3938-2021</t>
        </is>
      </c>
      <c r="B2161" s="1" t="n">
        <v>44218</v>
      </c>
      <c r="C2161" s="1" t="n">
        <v>45761</v>
      </c>
      <c r="D2161" t="inlineStr">
        <is>
          <t>SÖDERMANLANDS LÄN</t>
        </is>
      </c>
      <c r="E2161" t="inlineStr">
        <is>
          <t>STRÄNGNÄS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3923-2021</t>
        </is>
      </c>
      <c r="B2162" s="1" t="n">
        <v>44218</v>
      </c>
      <c r="C2162" s="1" t="n">
        <v>45761</v>
      </c>
      <c r="D2162" t="inlineStr">
        <is>
          <t>SÖDERMANLANDS LÄN</t>
        </is>
      </c>
      <c r="E2162" t="inlineStr">
        <is>
          <t>STRÄNGNÄS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3943-2021</t>
        </is>
      </c>
      <c r="B2163" s="1" t="n">
        <v>44218</v>
      </c>
      <c r="C2163" s="1" t="n">
        <v>45761</v>
      </c>
      <c r="D2163" t="inlineStr">
        <is>
          <t>SÖDERMANLANDS LÄN</t>
        </is>
      </c>
      <c r="E2163" t="inlineStr">
        <is>
          <t>STRÄNGNÄS</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3927-2021</t>
        </is>
      </c>
      <c r="B2164" s="1" t="n">
        <v>44218</v>
      </c>
      <c r="C2164" s="1" t="n">
        <v>45761</v>
      </c>
      <c r="D2164" t="inlineStr">
        <is>
          <t>SÖDERMANLANDS LÄN</t>
        </is>
      </c>
      <c r="E2164" t="inlineStr">
        <is>
          <t>STRÄNGNÄS</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3935-2021</t>
        </is>
      </c>
      <c r="B2165" s="1" t="n">
        <v>44218</v>
      </c>
      <c r="C2165" s="1" t="n">
        <v>45761</v>
      </c>
      <c r="D2165" t="inlineStr">
        <is>
          <t>SÖDERMANLANDS LÄN</t>
        </is>
      </c>
      <c r="E2165" t="inlineStr">
        <is>
          <t>STRÄNGNÄS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3720-2021</t>
        </is>
      </c>
      <c r="B2166" s="1" t="n">
        <v>44221</v>
      </c>
      <c r="C2166" s="1" t="n">
        <v>45761</v>
      </c>
      <c r="D2166" t="inlineStr">
        <is>
          <t>SÖDERMANLANDS LÄN</t>
        </is>
      </c>
      <c r="E2166" t="inlineStr">
        <is>
          <t>ESKILSTUNA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3718-2021</t>
        </is>
      </c>
      <c r="B2167" s="1" t="n">
        <v>44221</v>
      </c>
      <c r="C2167" s="1" t="n">
        <v>45761</v>
      </c>
      <c r="D2167" t="inlineStr">
        <is>
          <t>SÖDERMANLANDS LÄN</t>
        </is>
      </c>
      <c r="E2167" t="inlineStr">
        <is>
          <t>ESKILSTUNA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3722-2021</t>
        </is>
      </c>
      <c r="B2168" s="1" t="n">
        <v>44221</v>
      </c>
      <c r="C2168" s="1" t="n">
        <v>45761</v>
      </c>
      <c r="D2168" t="inlineStr">
        <is>
          <t>SÖDERMANLANDS LÄN</t>
        </is>
      </c>
      <c r="E2168" t="inlineStr">
        <is>
          <t>ESKILSTUNA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3721-2021</t>
        </is>
      </c>
      <c r="B2169" s="1" t="n">
        <v>44221</v>
      </c>
      <c r="C2169" s="1" t="n">
        <v>45761</v>
      </c>
      <c r="D2169" t="inlineStr">
        <is>
          <t>SÖDERMANLANDS LÄN</t>
        </is>
      </c>
      <c r="E2169" t="inlineStr">
        <is>
          <t>ESKILSTUNA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4426-2021</t>
        </is>
      </c>
      <c r="B2170" s="1" t="n">
        <v>44221</v>
      </c>
      <c r="C2170" s="1" t="n">
        <v>45761</v>
      </c>
      <c r="D2170" t="inlineStr">
        <is>
          <t>SÖDERMANLANDS LÄN</t>
        </is>
      </c>
      <c r="E2170" t="inlineStr">
        <is>
          <t>ESKILSTUNA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4322-2021</t>
        </is>
      </c>
      <c r="B2171" s="1" t="n">
        <v>44223</v>
      </c>
      <c r="C2171" s="1" t="n">
        <v>45761</v>
      </c>
      <c r="D2171" t="inlineStr">
        <is>
          <t>SÖDERMANLANDS LÄN</t>
        </is>
      </c>
      <c r="E2171" t="inlineStr">
        <is>
          <t>NYKÖPING</t>
        </is>
      </c>
      <c r="F2171" t="inlineStr">
        <is>
          <t>Sveaskog</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4348-2021</t>
        </is>
      </c>
      <c r="B2172" s="1" t="n">
        <v>44223</v>
      </c>
      <c r="C2172" s="1" t="n">
        <v>45761</v>
      </c>
      <c r="D2172" t="inlineStr">
        <is>
          <t>SÖDERMANLANDS LÄN</t>
        </is>
      </c>
      <c r="E2172" t="inlineStr">
        <is>
          <t>FLEN</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4533-2021</t>
        </is>
      </c>
      <c r="B2173" s="1" t="n">
        <v>44223</v>
      </c>
      <c r="C2173" s="1" t="n">
        <v>45761</v>
      </c>
      <c r="D2173" t="inlineStr">
        <is>
          <t>SÖDERMANLANDS LÄN</t>
        </is>
      </c>
      <c r="E2173" t="inlineStr">
        <is>
          <t>KATRINEHOLM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4461-2021</t>
        </is>
      </c>
      <c r="B2174" s="1" t="n">
        <v>44224</v>
      </c>
      <c r="C2174" s="1" t="n">
        <v>45761</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4610-2021</t>
        </is>
      </c>
      <c r="B2175" s="1" t="n">
        <v>44224</v>
      </c>
      <c r="C2175" s="1" t="n">
        <v>45761</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4623-2021</t>
        </is>
      </c>
      <c r="B2176" s="1" t="n">
        <v>44224</v>
      </c>
      <c r="C2176" s="1" t="n">
        <v>45761</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4642-2021</t>
        </is>
      </c>
      <c r="B2177" s="1" t="n">
        <v>44224</v>
      </c>
      <c r="C2177" s="1" t="n">
        <v>45761</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4609-2021</t>
        </is>
      </c>
      <c r="B2178" s="1" t="n">
        <v>44224</v>
      </c>
      <c r="C2178" s="1" t="n">
        <v>45761</v>
      </c>
      <c r="D2178" t="inlineStr">
        <is>
          <t>SÖDERMANLANDS LÄN</t>
        </is>
      </c>
      <c r="E2178" t="inlineStr">
        <is>
          <t>NYKÖPING</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4596-2021</t>
        </is>
      </c>
      <c r="B2179" s="1" t="n">
        <v>44224</v>
      </c>
      <c r="C2179" s="1" t="n">
        <v>45761</v>
      </c>
      <c r="D2179" t="inlineStr">
        <is>
          <t>SÖDERMANLANDS LÄN</t>
        </is>
      </c>
      <c r="E2179" t="inlineStr">
        <is>
          <t>NYKÖPING</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4635-2021</t>
        </is>
      </c>
      <c r="B2180" s="1" t="n">
        <v>44224</v>
      </c>
      <c r="C2180" s="1" t="n">
        <v>45761</v>
      </c>
      <c r="D2180" t="inlineStr">
        <is>
          <t>SÖDERMANLANDS LÄN</t>
        </is>
      </c>
      <c r="E2180" t="inlineStr">
        <is>
          <t>ESKILSTUNA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4447-2021</t>
        </is>
      </c>
      <c r="B2181" s="1" t="n">
        <v>44224</v>
      </c>
      <c r="C2181" s="1" t="n">
        <v>45761</v>
      </c>
      <c r="D2181" t="inlineStr">
        <is>
          <t>SÖDERMANLANDS LÄN</t>
        </is>
      </c>
      <c r="E2181" t="inlineStr">
        <is>
          <t>GNESTA</t>
        </is>
      </c>
      <c r="F2181" t="inlineStr">
        <is>
          <t>Övriga Aktiebolag</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4767-2021</t>
        </is>
      </c>
      <c r="B2182" s="1" t="n">
        <v>44225</v>
      </c>
      <c r="C2182" s="1" t="n">
        <v>45761</v>
      </c>
      <c r="D2182" t="inlineStr">
        <is>
          <t>SÖDERMANLANDS LÄN</t>
        </is>
      </c>
      <c r="E2182" t="inlineStr">
        <is>
          <t>KATRINEHOLM</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5084-2021</t>
        </is>
      </c>
      <c r="B2183" s="1" t="n">
        <v>44228</v>
      </c>
      <c r="C2183" s="1" t="n">
        <v>45761</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5060-2021</t>
        </is>
      </c>
      <c r="B2184" s="1" t="n">
        <v>44228</v>
      </c>
      <c r="C2184" s="1" t="n">
        <v>45761</v>
      </c>
      <c r="D2184" t="inlineStr">
        <is>
          <t>SÖDERMANLANDS LÄN</t>
        </is>
      </c>
      <c r="E2184" t="inlineStr">
        <is>
          <t>VINGÅKER</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5569-2021</t>
        </is>
      </c>
      <c r="B2185" s="1" t="n">
        <v>44230</v>
      </c>
      <c r="C2185" s="1" t="n">
        <v>45761</v>
      </c>
      <c r="D2185" t="inlineStr">
        <is>
          <t>SÖDERMANLANDS LÄN</t>
        </is>
      </c>
      <c r="E2185" t="inlineStr">
        <is>
          <t>ESKILSTUNA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5971-2021</t>
        </is>
      </c>
      <c r="B2186" s="1" t="n">
        <v>44230</v>
      </c>
      <c r="C2186" s="1" t="n">
        <v>45761</v>
      </c>
      <c r="D2186" t="inlineStr">
        <is>
          <t>SÖDERMANLANDS LÄN</t>
        </is>
      </c>
      <c r="E2186" t="inlineStr">
        <is>
          <t>FLEN</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5953-2021</t>
        </is>
      </c>
      <c r="B2187" s="1" t="n">
        <v>44231</v>
      </c>
      <c r="C2187" s="1" t="n">
        <v>45761</v>
      </c>
      <c r="D2187" t="inlineStr">
        <is>
          <t>SÖDERMANLANDS LÄN</t>
        </is>
      </c>
      <c r="E2187" t="inlineStr">
        <is>
          <t>KATRINEHOLM</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6087-2021</t>
        </is>
      </c>
      <c r="B2188" s="1" t="n">
        <v>44232</v>
      </c>
      <c r="C2188" s="1" t="n">
        <v>45761</v>
      </c>
      <c r="D2188" t="inlineStr">
        <is>
          <t>SÖDERMANLANDS LÄN</t>
        </is>
      </c>
      <c r="E2188" t="inlineStr">
        <is>
          <t>KATRINEHOLM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6171-2021</t>
        </is>
      </c>
      <c r="B2189" s="1" t="n">
        <v>44232</v>
      </c>
      <c r="C2189" s="1" t="n">
        <v>45761</v>
      </c>
      <c r="D2189" t="inlineStr">
        <is>
          <t>SÖDERMANLANDS LÄN</t>
        </is>
      </c>
      <c r="E2189" t="inlineStr">
        <is>
          <t>NYKÖPING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6295-2021</t>
        </is>
      </c>
      <c r="B2190" s="1" t="n">
        <v>44235</v>
      </c>
      <c r="C2190" s="1" t="n">
        <v>45761</v>
      </c>
      <c r="D2190" t="inlineStr">
        <is>
          <t>SÖDERMANLANDS LÄN</t>
        </is>
      </c>
      <c r="E2190" t="inlineStr">
        <is>
          <t>NYKÖPING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6415-2021</t>
        </is>
      </c>
      <c r="B2191" s="1" t="n">
        <v>44235</v>
      </c>
      <c r="C2191" s="1" t="n">
        <v>45761</v>
      </c>
      <c r="D2191" t="inlineStr">
        <is>
          <t>SÖDERMANLANDS LÄN</t>
        </is>
      </c>
      <c r="E2191" t="inlineStr">
        <is>
          <t>GNESTA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6558-2021</t>
        </is>
      </c>
      <c r="B2192" s="1" t="n">
        <v>44236</v>
      </c>
      <c r="C2192" s="1" t="n">
        <v>45761</v>
      </c>
      <c r="D2192" t="inlineStr">
        <is>
          <t>SÖDERMANLANDS LÄN</t>
        </is>
      </c>
      <c r="E2192" t="inlineStr">
        <is>
          <t>STRÄNGNÄS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6827-2021</t>
        </is>
      </c>
      <c r="B2193" s="1" t="n">
        <v>44237</v>
      </c>
      <c r="C2193" s="1" t="n">
        <v>45761</v>
      </c>
      <c r="D2193" t="inlineStr">
        <is>
          <t>SÖDERMANLANDS LÄN</t>
        </is>
      </c>
      <c r="E2193" t="inlineStr">
        <is>
          <t>FLEN</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6883-2021</t>
        </is>
      </c>
      <c r="B2194" s="1" t="n">
        <v>44237</v>
      </c>
      <c r="C2194" s="1" t="n">
        <v>45761</v>
      </c>
      <c r="D2194" t="inlineStr">
        <is>
          <t>SÖDERMANLANDS LÄN</t>
        </is>
      </c>
      <c r="E2194" t="inlineStr">
        <is>
          <t>VINGÅKER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7000-2021</t>
        </is>
      </c>
      <c r="B2195" s="1" t="n">
        <v>44237</v>
      </c>
      <c r="C2195" s="1" t="n">
        <v>45761</v>
      </c>
      <c r="D2195" t="inlineStr">
        <is>
          <t>SÖDERMANLANDS LÄN</t>
        </is>
      </c>
      <c r="E2195" t="inlineStr">
        <is>
          <t>NYKÖPING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7022-2021</t>
        </is>
      </c>
      <c r="B2196" s="1" t="n">
        <v>44237</v>
      </c>
      <c r="C2196" s="1" t="n">
        <v>45761</v>
      </c>
      <c r="D2196" t="inlineStr">
        <is>
          <t>SÖDERMANLANDS LÄN</t>
        </is>
      </c>
      <c r="E2196" t="inlineStr">
        <is>
          <t>NYKÖPING</t>
        </is>
      </c>
      <c r="F2196" t="inlineStr">
        <is>
          <t>Holmen skog AB</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7006-2021</t>
        </is>
      </c>
      <c r="B2197" s="1" t="n">
        <v>44237</v>
      </c>
      <c r="C2197" s="1" t="n">
        <v>45761</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7127-2021</t>
        </is>
      </c>
      <c r="B2198" s="1" t="n">
        <v>44238</v>
      </c>
      <c r="C2198" s="1" t="n">
        <v>45761</v>
      </c>
      <c r="D2198" t="inlineStr">
        <is>
          <t>SÖDERMANLANDS LÄN</t>
        </is>
      </c>
      <c r="E2198" t="inlineStr">
        <is>
          <t>TROSA</t>
        </is>
      </c>
      <c r="F2198" t="inlineStr">
        <is>
          <t>Kommuner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7213-2021</t>
        </is>
      </c>
      <c r="B2199" s="1" t="n">
        <v>44238</v>
      </c>
      <c r="C2199" s="1" t="n">
        <v>45761</v>
      </c>
      <c r="D2199" t="inlineStr">
        <is>
          <t>SÖDERMANLANDS LÄN</t>
        </is>
      </c>
      <c r="E2199" t="inlineStr">
        <is>
          <t>ESKILSTUNA</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7172-2021</t>
        </is>
      </c>
      <c r="B2200" s="1" t="n">
        <v>44238</v>
      </c>
      <c r="C2200" s="1" t="n">
        <v>45761</v>
      </c>
      <c r="D2200" t="inlineStr">
        <is>
          <t>SÖDERMANLANDS LÄN</t>
        </is>
      </c>
      <c r="E2200" t="inlineStr">
        <is>
          <t>NYKÖPING</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7187-2021</t>
        </is>
      </c>
      <c r="B2201" s="1" t="n">
        <v>44238</v>
      </c>
      <c r="C2201" s="1" t="n">
        <v>45761</v>
      </c>
      <c r="D2201" t="inlineStr">
        <is>
          <t>SÖDERMANLANDS LÄN</t>
        </is>
      </c>
      <c r="E2201" t="inlineStr">
        <is>
          <t>NYKÖPING</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7237-2021</t>
        </is>
      </c>
      <c r="B2202" s="1" t="n">
        <v>44238</v>
      </c>
      <c r="C2202" s="1" t="n">
        <v>45761</v>
      </c>
      <c r="D2202" t="inlineStr">
        <is>
          <t>SÖDERMANLANDS LÄN</t>
        </is>
      </c>
      <c r="E2202" t="inlineStr">
        <is>
          <t>ESKILSTUNA</t>
        </is>
      </c>
      <c r="F2202" t="inlineStr">
        <is>
          <t>Kyrkan</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7251-2021</t>
        </is>
      </c>
      <c r="B2203" s="1" t="n">
        <v>44238</v>
      </c>
      <c r="C2203" s="1" t="n">
        <v>45761</v>
      </c>
      <c r="D2203" t="inlineStr">
        <is>
          <t>SÖDERMANLANDS LÄN</t>
        </is>
      </c>
      <c r="E2203" t="inlineStr">
        <is>
          <t>TROSA</t>
        </is>
      </c>
      <c r="F2203" t="inlineStr">
        <is>
          <t>Kyrkan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7240-2021</t>
        </is>
      </c>
      <c r="B2204" s="1" t="n">
        <v>44238</v>
      </c>
      <c r="C2204" s="1" t="n">
        <v>45761</v>
      </c>
      <c r="D2204" t="inlineStr">
        <is>
          <t>SÖDERMANLANDS LÄN</t>
        </is>
      </c>
      <c r="E2204" t="inlineStr">
        <is>
          <t>KATRINEHOLM</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7254-2021</t>
        </is>
      </c>
      <c r="B2205" s="1" t="n">
        <v>44238</v>
      </c>
      <c r="C2205" s="1" t="n">
        <v>45761</v>
      </c>
      <c r="D2205" t="inlineStr">
        <is>
          <t>SÖDERMANLANDS LÄN</t>
        </is>
      </c>
      <c r="E2205" t="inlineStr">
        <is>
          <t>KATRINEHOLM</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7313-2021</t>
        </is>
      </c>
      <c r="B2206" s="1" t="n">
        <v>44238</v>
      </c>
      <c r="C2206" s="1" t="n">
        <v>45761</v>
      </c>
      <c r="D2206" t="inlineStr">
        <is>
          <t>SÖDERMANLANDS LÄN</t>
        </is>
      </c>
      <c r="E2206" t="inlineStr">
        <is>
          <t>VINGÅKER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7386-2021</t>
        </is>
      </c>
      <c r="B2207" s="1" t="n">
        <v>44239</v>
      </c>
      <c r="C2207" s="1" t="n">
        <v>45761</v>
      </c>
      <c r="D2207" t="inlineStr">
        <is>
          <t>SÖDERMANLANDS LÄN</t>
        </is>
      </c>
      <c r="E2207" t="inlineStr">
        <is>
          <t>GNESTA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7346-2021</t>
        </is>
      </c>
      <c r="B2208" s="1" t="n">
        <v>44239</v>
      </c>
      <c r="C2208" s="1" t="n">
        <v>45761</v>
      </c>
      <c r="D2208" t="inlineStr">
        <is>
          <t>SÖDERMANLANDS LÄN</t>
        </is>
      </c>
      <c r="E2208" t="inlineStr">
        <is>
          <t>ESKILSTUNA</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7462-2021</t>
        </is>
      </c>
      <c r="B2209" s="1" t="n">
        <v>44239</v>
      </c>
      <c r="C2209" s="1" t="n">
        <v>45761</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7385-2021</t>
        </is>
      </c>
      <c r="B2210" s="1" t="n">
        <v>44239</v>
      </c>
      <c r="C2210" s="1" t="n">
        <v>45761</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7434-2021</t>
        </is>
      </c>
      <c r="B2211" s="1" t="n">
        <v>44239</v>
      </c>
      <c r="C2211" s="1" t="n">
        <v>45761</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7503-2021</t>
        </is>
      </c>
      <c r="B2212" s="1" t="n">
        <v>44239</v>
      </c>
      <c r="C2212" s="1" t="n">
        <v>45761</v>
      </c>
      <c r="D2212" t="inlineStr">
        <is>
          <t>SÖDERMANLANDS LÄN</t>
        </is>
      </c>
      <c r="E2212" t="inlineStr">
        <is>
          <t>NYKÖPING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7671-2021</t>
        </is>
      </c>
      <c r="B2213" s="1" t="n">
        <v>44239</v>
      </c>
      <c r="C2213" s="1" t="n">
        <v>45761</v>
      </c>
      <c r="D2213" t="inlineStr">
        <is>
          <t>SÖDERMANLANDS LÄN</t>
        </is>
      </c>
      <c r="E2213" t="inlineStr">
        <is>
          <t>ESKILSTUNA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7669-2021</t>
        </is>
      </c>
      <c r="B2214" s="1" t="n">
        <v>44242</v>
      </c>
      <c r="C2214" s="1" t="n">
        <v>45761</v>
      </c>
      <c r="D2214" t="inlineStr">
        <is>
          <t>SÖDERMANLANDS LÄN</t>
        </is>
      </c>
      <c r="E2214" t="inlineStr">
        <is>
          <t>KATRINEHOLM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7705-2021</t>
        </is>
      </c>
      <c r="B2215" s="1" t="n">
        <v>44242</v>
      </c>
      <c r="C2215" s="1" t="n">
        <v>45761</v>
      </c>
      <c r="D2215" t="inlineStr">
        <is>
          <t>SÖDERMANLANDS LÄN</t>
        </is>
      </c>
      <c r="E2215" t="inlineStr">
        <is>
          <t>KATRINEHOLM</t>
        </is>
      </c>
      <c r="F2215" t="inlineStr">
        <is>
          <t>Allmännings- och besparingsskogar</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7858-2021</t>
        </is>
      </c>
      <c r="B2216" s="1" t="n">
        <v>44242</v>
      </c>
      <c r="C2216" s="1" t="n">
        <v>45761</v>
      </c>
      <c r="D2216" t="inlineStr">
        <is>
          <t>SÖDERMANLANDS LÄN</t>
        </is>
      </c>
      <c r="E2216" t="inlineStr">
        <is>
          <t>FLEN</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7855-2021</t>
        </is>
      </c>
      <c r="B2217" s="1" t="n">
        <v>44242</v>
      </c>
      <c r="C2217" s="1" t="n">
        <v>45761</v>
      </c>
      <c r="D2217" t="inlineStr">
        <is>
          <t>SÖDERMANLANDS LÄN</t>
        </is>
      </c>
      <c r="E2217" t="inlineStr">
        <is>
          <t>KATRINEHOLM</t>
        </is>
      </c>
      <c r="F2217" t="inlineStr">
        <is>
          <t>Allmännings- och besparingsskogar</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8141-2021</t>
        </is>
      </c>
      <c r="B2218" s="1" t="n">
        <v>44242</v>
      </c>
      <c r="C2218" s="1" t="n">
        <v>45761</v>
      </c>
      <c r="D2218" t="inlineStr">
        <is>
          <t>SÖDERMANLANDS LÄN</t>
        </is>
      </c>
      <c r="E2218" t="inlineStr">
        <is>
          <t>FLEN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8289-2021</t>
        </is>
      </c>
      <c r="B2219" s="1" t="n">
        <v>44244</v>
      </c>
      <c r="C2219" s="1" t="n">
        <v>45761</v>
      </c>
      <c r="D2219" t="inlineStr">
        <is>
          <t>SÖDERMANLANDS LÄN</t>
        </is>
      </c>
      <c r="E2219" t="inlineStr">
        <is>
          <t>KATRINEHOLM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8450-2021</t>
        </is>
      </c>
      <c r="B2220" s="1" t="n">
        <v>44244</v>
      </c>
      <c r="C2220" s="1" t="n">
        <v>45761</v>
      </c>
      <c r="D2220" t="inlineStr">
        <is>
          <t>SÖDERMANLANDS LÄN</t>
        </is>
      </c>
      <c r="E2220" t="inlineStr">
        <is>
          <t>STRÄNGNÄS</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8487-2021</t>
        </is>
      </c>
      <c r="B2221" s="1" t="n">
        <v>44244</v>
      </c>
      <c r="C2221" s="1" t="n">
        <v>45761</v>
      </c>
      <c r="D2221" t="inlineStr">
        <is>
          <t>SÖDERMANLANDS LÄN</t>
        </is>
      </c>
      <c r="E2221" t="inlineStr">
        <is>
          <t>VINGÅKER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8443-2021</t>
        </is>
      </c>
      <c r="B2222" s="1" t="n">
        <v>44245</v>
      </c>
      <c r="C2222" s="1" t="n">
        <v>45761</v>
      </c>
      <c r="D2222" t="inlineStr">
        <is>
          <t>SÖDERMANLANDS LÄN</t>
        </is>
      </c>
      <c r="E2222" t="inlineStr">
        <is>
          <t>GNESTA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8549-2021</t>
        </is>
      </c>
      <c r="B2223" s="1" t="n">
        <v>44245</v>
      </c>
      <c r="C2223" s="1" t="n">
        <v>45761</v>
      </c>
      <c r="D2223" t="inlineStr">
        <is>
          <t>SÖDERMANLANDS LÄN</t>
        </is>
      </c>
      <c r="E2223" t="inlineStr">
        <is>
          <t>VINGÅKER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8457-2021</t>
        </is>
      </c>
      <c r="B2224" s="1" t="n">
        <v>44245</v>
      </c>
      <c r="C2224" s="1" t="n">
        <v>45761</v>
      </c>
      <c r="D2224" t="inlineStr">
        <is>
          <t>SÖDERMANLANDS LÄN</t>
        </is>
      </c>
      <c r="E2224" t="inlineStr">
        <is>
          <t>GNESTA</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8455-2021</t>
        </is>
      </c>
      <c r="B2225" s="1" t="n">
        <v>44245</v>
      </c>
      <c r="C2225" s="1" t="n">
        <v>45761</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8523-2021</t>
        </is>
      </c>
      <c r="B2226" s="1" t="n">
        <v>44245</v>
      </c>
      <c r="C2226" s="1" t="n">
        <v>45761</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8609-2021</t>
        </is>
      </c>
      <c r="B2227" s="1" t="n">
        <v>44245</v>
      </c>
      <c r="C2227" s="1" t="n">
        <v>45761</v>
      </c>
      <c r="D2227" t="inlineStr">
        <is>
          <t>SÖDERMANLANDS LÄN</t>
        </is>
      </c>
      <c r="E2227" t="inlineStr">
        <is>
          <t>ESKILSTUNA</t>
        </is>
      </c>
      <c r="F2227" t="inlineStr">
        <is>
          <t>Allmännings- och besparingsskogar</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8619-2021</t>
        </is>
      </c>
      <c r="B2228" s="1" t="n">
        <v>44245</v>
      </c>
      <c r="C2228" s="1" t="n">
        <v>45761</v>
      </c>
      <c r="D2228" t="inlineStr">
        <is>
          <t>SÖDERMANLANDS LÄN</t>
        </is>
      </c>
      <c r="E2228" t="inlineStr">
        <is>
          <t>ESKILSTUNA</t>
        </is>
      </c>
      <c r="F2228" t="inlineStr">
        <is>
          <t>Allmännings- och besparingsskogar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8610-2021</t>
        </is>
      </c>
      <c r="B2229" s="1" t="n">
        <v>44245</v>
      </c>
      <c r="C2229" s="1" t="n">
        <v>45761</v>
      </c>
      <c r="D2229" t="inlineStr">
        <is>
          <t>SÖDERMANLANDS LÄN</t>
        </is>
      </c>
      <c r="E2229" t="inlineStr">
        <is>
          <t>ESKILSTUNA</t>
        </is>
      </c>
      <c r="F2229" t="inlineStr">
        <is>
          <t>Allmännings- och besparingsskogar</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8616-2021</t>
        </is>
      </c>
      <c r="B2230" s="1" t="n">
        <v>44245</v>
      </c>
      <c r="C2230" s="1" t="n">
        <v>45761</v>
      </c>
      <c r="D2230" t="inlineStr">
        <is>
          <t>SÖDERMANLANDS LÄN</t>
        </is>
      </c>
      <c r="E2230" t="inlineStr">
        <is>
          <t>ESKILSTUNA</t>
        </is>
      </c>
      <c r="F2230" t="inlineStr">
        <is>
          <t>Allmännings- och besparingsskogar</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8614-2021</t>
        </is>
      </c>
      <c r="B2231" s="1" t="n">
        <v>44245</v>
      </c>
      <c r="C2231" s="1" t="n">
        <v>45761</v>
      </c>
      <c r="D2231" t="inlineStr">
        <is>
          <t>SÖDERMANLANDS LÄN</t>
        </is>
      </c>
      <c r="E2231" t="inlineStr">
        <is>
          <t>ESKILSTUNA</t>
        </is>
      </c>
      <c r="F2231" t="inlineStr">
        <is>
          <t>Allmännings- och besparingsskogar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8742-2021</t>
        </is>
      </c>
      <c r="B2232" s="1" t="n">
        <v>44246</v>
      </c>
      <c r="C2232" s="1" t="n">
        <v>45761</v>
      </c>
      <c r="D2232" t="inlineStr">
        <is>
          <t>SÖDERMANLANDS LÄN</t>
        </is>
      </c>
      <c r="E2232" t="inlineStr">
        <is>
          <t>NYKÖPING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8767-2021</t>
        </is>
      </c>
      <c r="B2233" s="1" t="n">
        <v>44246</v>
      </c>
      <c r="C2233" s="1" t="n">
        <v>45761</v>
      </c>
      <c r="D2233" t="inlineStr">
        <is>
          <t>SÖDERMANLANDS LÄN</t>
        </is>
      </c>
      <c r="E2233" t="inlineStr">
        <is>
          <t>NYKÖPING</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8762-2021</t>
        </is>
      </c>
      <c r="B2234" s="1" t="n">
        <v>44246</v>
      </c>
      <c r="C2234" s="1" t="n">
        <v>45761</v>
      </c>
      <c r="D2234" t="inlineStr">
        <is>
          <t>SÖDERMANLANDS LÄN</t>
        </is>
      </c>
      <c r="E2234" t="inlineStr">
        <is>
          <t>FLEN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8749-2021</t>
        </is>
      </c>
      <c r="B2235" s="1" t="n">
        <v>44246</v>
      </c>
      <c r="C2235" s="1" t="n">
        <v>45761</v>
      </c>
      <c r="D2235" t="inlineStr">
        <is>
          <t>SÖDERMANLANDS LÄN</t>
        </is>
      </c>
      <c r="E2235" t="inlineStr">
        <is>
          <t>FLEN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8992-2021</t>
        </is>
      </c>
      <c r="B2236" s="1" t="n">
        <v>44246</v>
      </c>
      <c r="C2236" s="1" t="n">
        <v>45761</v>
      </c>
      <c r="D2236" t="inlineStr">
        <is>
          <t>SÖDERMANLANDS LÄN</t>
        </is>
      </c>
      <c r="E2236" t="inlineStr">
        <is>
          <t>GNESTA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8710-2021</t>
        </is>
      </c>
      <c r="B2237" s="1" t="n">
        <v>44246</v>
      </c>
      <c r="C2237" s="1" t="n">
        <v>45761</v>
      </c>
      <c r="D2237" t="inlineStr">
        <is>
          <t>SÖDERMANLANDS LÄN</t>
        </is>
      </c>
      <c r="E2237" t="inlineStr">
        <is>
          <t>FLEN</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9038-2021</t>
        </is>
      </c>
      <c r="B2238" s="1" t="n">
        <v>44246</v>
      </c>
      <c r="C2238" s="1" t="n">
        <v>45761</v>
      </c>
      <c r="D2238" t="inlineStr">
        <is>
          <t>SÖDERMANLANDS LÄN</t>
        </is>
      </c>
      <c r="E2238" t="inlineStr">
        <is>
          <t>GNESTA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9047-2021</t>
        </is>
      </c>
      <c r="B2239" s="1" t="n">
        <v>44246</v>
      </c>
      <c r="C2239" s="1" t="n">
        <v>45761</v>
      </c>
      <c r="D2239" t="inlineStr">
        <is>
          <t>SÖDERMANLANDS LÄN</t>
        </is>
      </c>
      <c r="E2239" t="inlineStr">
        <is>
          <t>GNESTA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8888-2021</t>
        </is>
      </c>
      <c r="B2240" s="1" t="n">
        <v>44248</v>
      </c>
      <c r="C2240" s="1" t="n">
        <v>45761</v>
      </c>
      <c r="D2240" t="inlineStr">
        <is>
          <t>SÖDERMANLANDS LÄN</t>
        </is>
      </c>
      <c r="E2240" t="inlineStr">
        <is>
          <t>FLEN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9009-2021</t>
        </is>
      </c>
      <c r="B2241" s="1" t="n">
        <v>44249</v>
      </c>
      <c r="C2241" s="1" t="n">
        <v>45761</v>
      </c>
      <c r="D2241" t="inlineStr">
        <is>
          <t>SÖDERMANLANDS LÄN</t>
        </is>
      </c>
      <c r="E2241" t="inlineStr">
        <is>
          <t>TROSA</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9027-2021</t>
        </is>
      </c>
      <c r="B2242" s="1" t="n">
        <v>44249</v>
      </c>
      <c r="C2242" s="1" t="n">
        <v>45761</v>
      </c>
      <c r="D2242" t="inlineStr">
        <is>
          <t>SÖDERMANLANDS LÄN</t>
        </is>
      </c>
      <c r="E2242" t="inlineStr">
        <is>
          <t>TROSA</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9039-2021</t>
        </is>
      </c>
      <c r="B2243" s="1" t="n">
        <v>44249</v>
      </c>
      <c r="C2243" s="1" t="n">
        <v>45761</v>
      </c>
      <c r="D2243" t="inlineStr">
        <is>
          <t>SÖDERMANLANDS LÄN</t>
        </is>
      </c>
      <c r="E2243" t="inlineStr">
        <is>
          <t>NYKÖPING</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8970-2021</t>
        </is>
      </c>
      <c r="B2244" s="1" t="n">
        <v>44249</v>
      </c>
      <c r="C2244" s="1" t="n">
        <v>45761</v>
      </c>
      <c r="D2244" t="inlineStr">
        <is>
          <t>SÖDERMANLANDS LÄN</t>
        </is>
      </c>
      <c r="E2244" t="inlineStr">
        <is>
          <t>TROSA</t>
        </is>
      </c>
      <c r="F2244" t="inlineStr">
        <is>
          <t>Holmen skog AB</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9373-2021</t>
        </is>
      </c>
      <c r="B2245" s="1" t="n">
        <v>44250</v>
      </c>
      <c r="C2245" s="1" t="n">
        <v>45761</v>
      </c>
      <c r="D2245" t="inlineStr">
        <is>
          <t>SÖDERMANLANDS LÄN</t>
        </is>
      </c>
      <c r="E2245" t="inlineStr">
        <is>
          <t>FLEN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9237-2021</t>
        </is>
      </c>
      <c r="B2246" s="1" t="n">
        <v>44250</v>
      </c>
      <c r="C2246" s="1" t="n">
        <v>45761</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9388-2021</t>
        </is>
      </c>
      <c r="B2247" s="1" t="n">
        <v>44250</v>
      </c>
      <c r="C2247" s="1" t="n">
        <v>45761</v>
      </c>
      <c r="D2247" t="inlineStr">
        <is>
          <t>SÖDERMANLANDS LÄN</t>
        </is>
      </c>
      <c r="E2247" t="inlineStr">
        <is>
          <t>KATRINEHOLM</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9320-2021</t>
        </is>
      </c>
      <c r="B2248" s="1" t="n">
        <v>44250</v>
      </c>
      <c r="C2248" s="1" t="n">
        <v>45761</v>
      </c>
      <c r="D2248" t="inlineStr">
        <is>
          <t>SÖDERMANLANDS LÄN</t>
        </is>
      </c>
      <c r="E2248" t="inlineStr">
        <is>
          <t>NYKÖPING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9374-2021</t>
        </is>
      </c>
      <c r="B2249" s="1" t="n">
        <v>44250</v>
      </c>
      <c r="C2249" s="1" t="n">
        <v>45761</v>
      </c>
      <c r="D2249" t="inlineStr">
        <is>
          <t>SÖDERMANLANDS LÄN</t>
        </is>
      </c>
      <c r="E2249" t="inlineStr">
        <is>
          <t>ESKILSTUNA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9595-2021</t>
        </is>
      </c>
      <c r="B2250" s="1" t="n">
        <v>44251</v>
      </c>
      <c r="C2250" s="1" t="n">
        <v>45761</v>
      </c>
      <c r="D2250" t="inlineStr">
        <is>
          <t>SÖDERMANLANDS LÄN</t>
        </is>
      </c>
      <c r="E2250" t="inlineStr">
        <is>
          <t>ESKILSTUNA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9575-2021</t>
        </is>
      </c>
      <c r="B2251" s="1" t="n">
        <v>44251</v>
      </c>
      <c r="C2251" s="1" t="n">
        <v>45761</v>
      </c>
      <c r="D2251" t="inlineStr">
        <is>
          <t>SÖDERMANLANDS LÄN</t>
        </is>
      </c>
      <c r="E2251" t="inlineStr">
        <is>
          <t>GNESTA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9576-2021</t>
        </is>
      </c>
      <c r="B2252" s="1" t="n">
        <v>44251</v>
      </c>
      <c r="C2252" s="1" t="n">
        <v>45761</v>
      </c>
      <c r="D2252" t="inlineStr">
        <is>
          <t>SÖDERMANLANDS LÄN</t>
        </is>
      </c>
      <c r="E2252" t="inlineStr">
        <is>
          <t>KATRINEHOLM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9478-2021</t>
        </is>
      </c>
      <c r="B2253" s="1" t="n">
        <v>44251</v>
      </c>
      <c r="C2253" s="1" t="n">
        <v>45761</v>
      </c>
      <c r="D2253" t="inlineStr">
        <is>
          <t>SÖDERMANLANDS LÄN</t>
        </is>
      </c>
      <c r="E2253" t="inlineStr">
        <is>
          <t>NYKÖPING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9589-2021</t>
        </is>
      </c>
      <c r="B2254" s="1" t="n">
        <v>44251</v>
      </c>
      <c r="C2254" s="1" t="n">
        <v>45761</v>
      </c>
      <c r="D2254" t="inlineStr">
        <is>
          <t>SÖDERMANLANDS LÄN</t>
        </is>
      </c>
      <c r="E2254" t="inlineStr">
        <is>
          <t>NYKÖPING</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9606-2021</t>
        </is>
      </c>
      <c r="B2255" s="1" t="n">
        <v>44251</v>
      </c>
      <c r="C2255" s="1" t="n">
        <v>45761</v>
      </c>
      <c r="D2255" t="inlineStr">
        <is>
          <t>SÖDERMANLANDS LÄN</t>
        </is>
      </c>
      <c r="E2255" t="inlineStr">
        <is>
          <t>ESKILSTUNA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9634-2021</t>
        </is>
      </c>
      <c r="B2256" s="1" t="n">
        <v>44252</v>
      </c>
      <c r="C2256" s="1" t="n">
        <v>45761</v>
      </c>
      <c r="D2256" t="inlineStr">
        <is>
          <t>SÖDERMANLANDS LÄN</t>
        </is>
      </c>
      <c r="E2256" t="inlineStr">
        <is>
          <t>FLEN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9674-2021</t>
        </is>
      </c>
      <c r="B2257" s="1" t="n">
        <v>44252</v>
      </c>
      <c r="C2257" s="1" t="n">
        <v>45761</v>
      </c>
      <c r="D2257" t="inlineStr">
        <is>
          <t>SÖDERMANLANDS LÄN</t>
        </is>
      </c>
      <c r="E2257" t="inlineStr">
        <is>
          <t>FLEN</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10149-2021</t>
        </is>
      </c>
      <c r="B2258" s="1" t="n">
        <v>44256</v>
      </c>
      <c r="C2258" s="1" t="n">
        <v>45761</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10093-2021</t>
        </is>
      </c>
      <c r="B2259" s="1" t="n">
        <v>44256</v>
      </c>
      <c r="C2259" s="1" t="n">
        <v>45761</v>
      </c>
      <c r="D2259" t="inlineStr">
        <is>
          <t>SÖDERMANLANDS LÄN</t>
        </is>
      </c>
      <c r="E2259" t="inlineStr">
        <is>
          <t>KATRINEHOLM</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10141-2021</t>
        </is>
      </c>
      <c r="B2260" s="1" t="n">
        <v>44256</v>
      </c>
      <c r="C2260" s="1" t="n">
        <v>45761</v>
      </c>
      <c r="D2260" t="inlineStr">
        <is>
          <t>SÖDERMANLANDS LÄN</t>
        </is>
      </c>
      <c r="E2260" t="inlineStr">
        <is>
          <t>NYKÖPING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10204-2021</t>
        </is>
      </c>
      <c r="B2261" s="1" t="n">
        <v>44256</v>
      </c>
      <c r="C2261" s="1" t="n">
        <v>45761</v>
      </c>
      <c r="D2261" t="inlineStr">
        <is>
          <t>SÖDERMANLANDS LÄN</t>
        </is>
      </c>
      <c r="E2261" t="inlineStr">
        <is>
          <t>STRÄNGNÄS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10152-2021</t>
        </is>
      </c>
      <c r="B2262" s="1" t="n">
        <v>44256</v>
      </c>
      <c r="C2262" s="1" t="n">
        <v>45761</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10161-2021</t>
        </is>
      </c>
      <c r="B2263" s="1" t="n">
        <v>44256</v>
      </c>
      <c r="C2263" s="1" t="n">
        <v>45761</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10195-2021</t>
        </is>
      </c>
      <c r="B2264" s="1" t="n">
        <v>44256</v>
      </c>
      <c r="C2264" s="1" t="n">
        <v>45761</v>
      </c>
      <c r="D2264" t="inlineStr">
        <is>
          <t>SÖDERMANLANDS LÄN</t>
        </is>
      </c>
      <c r="E2264" t="inlineStr">
        <is>
          <t>STRÄNGNÄS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10550-2021</t>
        </is>
      </c>
      <c r="B2265" s="1" t="n">
        <v>44258</v>
      </c>
      <c r="C2265" s="1" t="n">
        <v>45761</v>
      </c>
      <c r="D2265" t="inlineStr">
        <is>
          <t>SÖDERMANLANDS LÄN</t>
        </is>
      </c>
      <c r="E2265" t="inlineStr">
        <is>
          <t>NYKÖPING</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10607-2021</t>
        </is>
      </c>
      <c r="B2266" s="1" t="n">
        <v>44258</v>
      </c>
      <c r="C2266" s="1" t="n">
        <v>45761</v>
      </c>
      <c r="D2266" t="inlineStr">
        <is>
          <t>SÖDERMANLANDS LÄN</t>
        </is>
      </c>
      <c r="E2266" t="inlineStr">
        <is>
          <t>FLEN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10748-2021</t>
        </is>
      </c>
      <c r="B2267" s="1" t="n">
        <v>44258</v>
      </c>
      <c r="C2267" s="1" t="n">
        <v>45761</v>
      </c>
      <c r="D2267" t="inlineStr">
        <is>
          <t>SÖDERMANLANDS LÄN</t>
        </is>
      </c>
      <c r="E2267" t="inlineStr">
        <is>
          <t>ESKILSTUNA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10662-2021</t>
        </is>
      </c>
      <c r="B2268" s="1" t="n">
        <v>44258</v>
      </c>
      <c r="C2268" s="1" t="n">
        <v>45761</v>
      </c>
      <c r="D2268" t="inlineStr">
        <is>
          <t>SÖDERMANLANDS LÄN</t>
        </is>
      </c>
      <c r="E2268" t="inlineStr">
        <is>
          <t>KATRINEHOLM</t>
        </is>
      </c>
      <c r="F2268" t="inlineStr">
        <is>
          <t>Övriga Aktiebolag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10835-2021</t>
        </is>
      </c>
      <c r="B2269" s="1" t="n">
        <v>44258</v>
      </c>
      <c r="C2269" s="1" t="n">
        <v>45761</v>
      </c>
      <c r="D2269" t="inlineStr">
        <is>
          <t>SÖDERMANLANDS LÄN</t>
        </is>
      </c>
      <c r="E2269" t="inlineStr">
        <is>
          <t>ESKILSTUNA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10848-2021</t>
        </is>
      </c>
      <c r="B2270" s="1" t="n">
        <v>44259</v>
      </c>
      <c r="C2270" s="1" t="n">
        <v>45761</v>
      </c>
      <c r="D2270" t="inlineStr">
        <is>
          <t>SÖDERMANLANDS LÄN</t>
        </is>
      </c>
      <c r="E2270" t="inlineStr">
        <is>
          <t>NYKÖPING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10862-2021</t>
        </is>
      </c>
      <c r="B2271" s="1" t="n">
        <v>44259</v>
      </c>
      <c r="C2271" s="1" t="n">
        <v>45761</v>
      </c>
      <c r="D2271" t="inlineStr">
        <is>
          <t>SÖDERMANLANDS LÄN</t>
        </is>
      </c>
      <c r="E2271" t="inlineStr">
        <is>
          <t>NYKÖPING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10800-2021</t>
        </is>
      </c>
      <c r="B2272" s="1" t="n">
        <v>44259</v>
      </c>
      <c r="C2272" s="1" t="n">
        <v>45761</v>
      </c>
      <c r="D2272" t="inlineStr">
        <is>
          <t>SÖDERMANLANDS LÄN</t>
        </is>
      </c>
      <c r="E2272" t="inlineStr">
        <is>
          <t>STRÄNGNÄS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10980-2021</t>
        </is>
      </c>
      <c r="B2273" s="1" t="n">
        <v>44260</v>
      </c>
      <c r="C2273" s="1" t="n">
        <v>45761</v>
      </c>
      <c r="D2273" t="inlineStr">
        <is>
          <t>SÖDERMANLANDS LÄN</t>
        </is>
      </c>
      <c r="E2273" t="inlineStr">
        <is>
          <t>FLEN</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11030-2021</t>
        </is>
      </c>
      <c r="B2274" s="1" t="n">
        <v>44260</v>
      </c>
      <c r="C2274" s="1" t="n">
        <v>45761</v>
      </c>
      <c r="D2274" t="inlineStr">
        <is>
          <t>SÖDERMANLANDS LÄN</t>
        </is>
      </c>
      <c r="E2274" t="inlineStr">
        <is>
          <t>FLEN</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11068-2021</t>
        </is>
      </c>
      <c r="B2275" s="1" t="n">
        <v>44260</v>
      </c>
      <c r="C2275" s="1" t="n">
        <v>45761</v>
      </c>
      <c r="D2275" t="inlineStr">
        <is>
          <t>SÖDERMANLANDS LÄN</t>
        </is>
      </c>
      <c r="E2275" t="inlineStr">
        <is>
          <t>FLEN</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11070-2021</t>
        </is>
      </c>
      <c r="B2276" s="1" t="n">
        <v>44260</v>
      </c>
      <c r="C2276" s="1" t="n">
        <v>45761</v>
      </c>
      <c r="D2276" t="inlineStr">
        <is>
          <t>SÖDERMANLANDS LÄN</t>
        </is>
      </c>
      <c r="E2276" t="inlineStr">
        <is>
          <t>KATRINEHOLM</t>
        </is>
      </c>
      <c r="F2276" t="inlineStr">
        <is>
          <t>Allmännings- och besparingsskogar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11152-2021</t>
        </is>
      </c>
      <c r="B2277" s="1" t="n">
        <v>44261</v>
      </c>
      <c r="C2277" s="1" t="n">
        <v>45761</v>
      </c>
      <c r="D2277" t="inlineStr">
        <is>
          <t>SÖDERMANLANDS LÄN</t>
        </is>
      </c>
      <c r="E2277" t="inlineStr">
        <is>
          <t>GNESTA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11151-2021</t>
        </is>
      </c>
      <c r="B2278" s="1" t="n">
        <v>44261</v>
      </c>
      <c r="C2278" s="1" t="n">
        <v>45761</v>
      </c>
      <c r="D2278" t="inlineStr">
        <is>
          <t>SÖDERMANLANDS LÄN</t>
        </is>
      </c>
      <c r="E2278" t="inlineStr">
        <is>
          <t>NYKÖPING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11169-2021</t>
        </is>
      </c>
      <c r="B2279" s="1" t="n">
        <v>44262</v>
      </c>
      <c r="C2279" s="1" t="n">
        <v>45761</v>
      </c>
      <c r="D2279" t="inlineStr">
        <is>
          <t>SÖDERMANLANDS LÄN</t>
        </is>
      </c>
      <c r="E2279" t="inlineStr">
        <is>
          <t>ESKILSTUNA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11252-2021</t>
        </is>
      </c>
      <c r="B2280" s="1" t="n">
        <v>44262</v>
      </c>
      <c r="C2280" s="1" t="n">
        <v>45761</v>
      </c>
      <c r="D2280" t="inlineStr">
        <is>
          <t>SÖDERMANLANDS LÄN</t>
        </is>
      </c>
      <c r="E2280" t="inlineStr">
        <is>
          <t>ESKILSTUNA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11288-2021</t>
        </is>
      </c>
      <c r="B2281" s="1" t="n">
        <v>44263</v>
      </c>
      <c r="C2281" s="1" t="n">
        <v>45761</v>
      </c>
      <c r="D2281" t="inlineStr">
        <is>
          <t>SÖDERMANLANDS LÄN</t>
        </is>
      </c>
      <c r="E2281" t="inlineStr">
        <is>
          <t>FLEN</t>
        </is>
      </c>
      <c r="G2281" t="n">
        <v>19.1</v>
      </c>
      <c r="H2281" t="n">
        <v>0</v>
      </c>
      <c r="I2281" t="n">
        <v>0</v>
      </c>
      <c r="J2281" t="n">
        <v>0</v>
      </c>
      <c r="K2281" t="n">
        <v>0</v>
      </c>
      <c r="L2281" t="n">
        <v>0</v>
      </c>
      <c r="M2281" t="n">
        <v>0</v>
      </c>
      <c r="N2281" t="n">
        <v>0</v>
      </c>
      <c r="O2281" t="n">
        <v>0</v>
      </c>
      <c r="P2281" t="n">
        <v>0</v>
      </c>
      <c r="Q2281" t="n">
        <v>0</v>
      </c>
      <c r="R2281" s="2" t="inlineStr"/>
    </row>
    <row r="2282" ht="15" customHeight="1">
      <c r="A2282" t="inlineStr">
        <is>
          <t>A 11302-2021</t>
        </is>
      </c>
      <c r="B2282" s="1" t="n">
        <v>44263</v>
      </c>
      <c r="C2282" s="1" t="n">
        <v>45761</v>
      </c>
      <c r="D2282" t="inlineStr">
        <is>
          <t>SÖDERMANLANDS LÄN</t>
        </is>
      </c>
      <c r="E2282" t="inlineStr">
        <is>
          <t>FLEN</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11371-2021</t>
        </is>
      </c>
      <c r="B2283" s="1" t="n">
        <v>44263</v>
      </c>
      <c r="C2283" s="1" t="n">
        <v>45761</v>
      </c>
      <c r="D2283" t="inlineStr">
        <is>
          <t>SÖDERMANLANDS LÄN</t>
        </is>
      </c>
      <c r="E2283" t="inlineStr">
        <is>
          <t>VINGÅKER</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11345-2021</t>
        </is>
      </c>
      <c r="B2284" s="1" t="n">
        <v>44263</v>
      </c>
      <c r="C2284" s="1" t="n">
        <v>45761</v>
      </c>
      <c r="D2284" t="inlineStr">
        <is>
          <t>SÖDERMANLANDS LÄN</t>
        </is>
      </c>
      <c r="E2284" t="inlineStr">
        <is>
          <t>NYKÖPING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11372-2021</t>
        </is>
      </c>
      <c r="B2285" s="1" t="n">
        <v>44263</v>
      </c>
      <c r="C2285" s="1" t="n">
        <v>45761</v>
      </c>
      <c r="D2285" t="inlineStr">
        <is>
          <t>SÖDERMANLANDS LÄN</t>
        </is>
      </c>
      <c r="E2285" t="inlineStr">
        <is>
          <t>VINGÅKER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11380-2021</t>
        </is>
      </c>
      <c r="B2286" s="1" t="n">
        <v>44263</v>
      </c>
      <c r="C2286" s="1" t="n">
        <v>45761</v>
      </c>
      <c r="D2286" t="inlineStr">
        <is>
          <t>SÖDERMANLANDS LÄN</t>
        </is>
      </c>
      <c r="E2286" t="inlineStr">
        <is>
          <t>VINGÅKER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11374-2021</t>
        </is>
      </c>
      <c r="B2287" s="1" t="n">
        <v>44263</v>
      </c>
      <c r="C2287" s="1" t="n">
        <v>45761</v>
      </c>
      <c r="D2287" t="inlineStr">
        <is>
          <t>SÖDERMANLANDS LÄN</t>
        </is>
      </c>
      <c r="E2287" t="inlineStr">
        <is>
          <t>VINGÅKER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11582-2021</t>
        </is>
      </c>
      <c r="B2288" s="1" t="n">
        <v>44264</v>
      </c>
      <c r="C2288" s="1" t="n">
        <v>45761</v>
      </c>
      <c r="D2288" t="inlineStr">
        <is>
          <t>SÖDERMANLANDS LÄN</t>
        </is>
      </c>
      <c r="E2288" t="inlineStr">
        <is>
          <t>NYKÖPING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11676-2021</t>
        </is>
      </c>
      <c r="B2289" s="1" t="n">
        <v>44264</v>
      </c>
      <c r="C2289" s="1" t="n">
        <v>45761</v>
      </c>
      <c r="D2289" t="inlineStr">
        <is>
          <t>SÖDERMANLANDS LÄN</t>
        </is>
      </c>
      <c r="E2289" t="inlineStr">
        <is>
          <t>KATRINEHOLM</t>
        </is>
      </c>
      <c r="F2289" t="inlineStr">
        <is>
          <t>Allmännings- och besparingsskogar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11703-2021</t>
        </is>
      </c>
      <c r="B2290" s="1" t="n">
        <v>44264</v>
      </c>
      <c r="C2290" s="1" t="n">
        <v>45761</v>
      </c>
      <c r="D2290" t="inlineStr">
        <is>
          <t>SÖDERMANLANDS LÄN</t>
        </is>
      </c>
      <c r="E2290" t="inlineStr">
        <is>
          <t>GNESTA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14686-2021</t>
        </is>
      </c>
      <c r="B2291" s="1" t="n">
        <v>44264</v>
      </c>
      <c r="C2291" s="1" t="n">
        <v>45761</v>
      </c>
      <c r="D2291" t="inlineStr">
        <is>
          <t>SÖDERMANLANDS LÄN</t>
        </is>
      </c>
      <c r="E2291" t="inlineStr">
        <is>
          <t>NYKÖPING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14654-2021</t>
        </is>
      </c>
      <c r="B2292" s="1" t="n">
        <v>44264</v>
      </c>
      <c r="C2292" s="1" t="n">
        <v>45761</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11731-2021</t>
        </is>
      </c>
      <c r="B2293" s="1" t="n">
        <v>44265</v>
      </c>
      <c r="C2293" s="1" t="n">
        <v>45761</v>
      </c>
      <c r="D2293" t="inlineStr">
        <is>
          <t>SÖDERMANLANDS LÄN</t>
        </is>
      </c>
      <c r="E2293" t="inlineStr">
        <is>
          <t>FLEN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11760-2021</t>
        </is>
      </c>
      <c r="B2294" s="1" t="n">
        <v>44265</v>
      </c>
      <c r="C2294" s="1" t="n">
        <v>45761</v>
      </c>
      <c r="D2294" t="inlineStr">
        <is>
          <t>SÖDERMANLANDS LÄN</t>
        </is>
      </c>
      <c r="E2294" t="inlineStr">
        <is>
          <t>GNESTA</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11812-2021</t>
        </is>
      </c>
      <c r="B2295" s="1" t="n">
        <v>44265</v>
      </c>
      <c r="C2295" s="1" t="n">
        <v>45761</v>
      </c>
      <c r="D2295" t="inlineStr">
        <is>
          <t>SÖDERMANLANDS LÄN</t>
        </is>
      </c>
      <c r="E2295" t="inlineStr">
        <is>
          <t>KATRINEHOLM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11878-2021</t>
        </is>
      </c>
      <c r="B2296" s="1" t="n">
        <v>44265</v>
      </c>
      <c r="C2296" s="1" t="n">
        <v>45761</v>
      </c>
      <c r="D2296" t="inlineStr">
        <is>
          <t>SÖDERMANLANDS LÄN</t>
        </is>
      </c>
      <c r="E2296" t="inlineStr">
        <is>
          <t>GNESTA</t>
        </is>
      </c>
      <c r="F2296" t="inlineStr">
        <is>
          <t>Kyrkan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11893-2021</t>
        </is>
      </c>
      <c r="B2297" s="1" t="n">
        <v>44265</v>
      </c>
      <c r="C2297" s="1" t="n">
        <v>45761</v>
      </c>
      <c r="D2297" t="inlineStr">
        <is>
          <t>SÖDERMANLANDS LÄN</t>
        </is>
      </c>
      <c r="E2297" t="inlineStr">
        <is>
          <t>KATRINEHOLM</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12068-2021</t>
        </is>
      </c>
      <c r="B2298" s="1" t="n">
        <v>44266</v>
      </c>
      <c r="C2298" s="1" t="n">
        <v>45761</v>
      </c>
      <c r="D2298" t="inlineStr">
        <is>
          <t>SÖDERMANLANDS LÄN</t>
        </is>
      </c>
      <c r="E2298" t="inlineStr">
        <is>
          <t>KATRINEHOLM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12024-2021</t>
        </is>
      </c>
      <c r="B2299" s="1" t="n">
        <v>44266</v>
      </c>
      <c r="C2299" s="1" t="n">
        <v>45761</v>
      </c>
      <c r="D2299" t="inlineStr">
        <is>
          <t>SÖDERMANLANDS LÄN</t>
        </is>
      </c>
      <c r="E2299" t="inlineStr">
        <is>
          <t>TROSA</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12063-2021</t>
        </is>
      </c>
      <c r="B2300" s="1" t="n">
        <v>44266</v>
      </c>
      <c r="C2300" s="1" t="n">
        <v>45761</v>
      </c>
      <c r="D2300" t="inlineStr">
        <is>
          <t>SÖDERMANLANDS LÄN</t>
        </is>
      </c>
      <c r="E2300" t="inlineStr">
        <is>
          <t>KATRINEHOLM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11985-2021</t>
        </is>
      </c>
      <c r="B2301" s="1" t="n">
        <v>44266</v>
      </c>
      <c r="C2301" s="1" t="n">
        <v>45761</v>
      </c>
      <c r="D2301" t="inlineStr">
        <is>
          <t>SÖDERMANLANDS LÄN</t>
        </is>
      </c>
      <c r="E2301" t="inlineStr">
        <is>
          <t>NYKÖPING</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12070-2021</t>
        </is>
      </c>
      <c r="B2302" s="1" t="n">
        <v>44266</v>
      </c>
      <c r="C2302" s="1" t="n">
        <v>45761</v>
      </c>
      <c r="D2302" t="inlineStr">
        <is>
          <t>SÖDERMANLANDS LÄN</t>
        </is>
      </c>
      <c r="E2302" t="inlineStr">
        <is>
          <t>KATRINEHOLM</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12205-2021</t>
        </is>
      </c>
      <c r="B2303" s="1" t="n">
        <v>44266</v>
      </c>
      <c r="C2303" s="1" t="n">
        <v>45761</v>
      </c>
      <c r="D2303" t="inlineStr">
        <is>
          <t>SÖDERMANLANDS LÄN</t>
        </is>
      </c>
      <c r="E2303" t="inlineStr">
        <is>
          <t>NYKÖPING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12239-2021</t>
        </is>
      </c>
      <c r="B2304" s="1" t="n">
        <v>44266</v>
      </c>
      <c r="C2304" s="1" t="n">
        <v>45761</v>
      </c>
      <c r="D2304" t="inlineStr">
        <is>
          <t>SÖDERMANLANDS LÄN</t>
        </is>
      </c>
      <c r="E2304" t="inlineStr">
        <is>
          <t>KATRINEHOLM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12238-2021</t>
        </is>
      </c>
      <c r="B2305" s="1" t="n">
        <v>44266</v>
      </c>
      <c r="C2305" s="1" t="n">
        <v>45761</v>
      </c>
      <c r="D2305" t="inlineStr">
        <is>
          <t>SÖDERMANLANDS LÄN</t>
        </is>
      </c>
      <c r="E2305" t="inlineStr">
        <is>
          <t>KATRINEHOLM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12202-2021</t>
        </is>
      </c>
      <c r="B2306" s="1" t="n">
        <v>44266</v>
      </c>
      <c r="C2306" s="1" t="n">
        <v>45761</v>
      </c>
      <c r="D2306" t="inlineStr">
        <is>
          <t>SÖDERMANLANDS LÄN</t>
        </is>
      </c>
      <c r="E2306" t="inlineStr">
        <is>
          <t>NYKÖPING</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12340-2021</t>
        </is>
      </c>
      <c r="B2307" s="1" t="n">
        <v>44267</v>
      </c>
      <c r="C2307" s="1" t="n">
        <v>45761</v>
      </c>
      <c r="D2307" t="inlineStr">
        <is>
          <t>SÖDERMANLANDS LÄN</t>
        </is>
      </c>
      <c r="E2307" t="inlineStr">
        <is>
          <t>NYKÖPING</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12332-2021</t>
        </is>
      </c>
      <c r="B2308" s="1" t="n">
        <v>44267</v>
      </c>
      <c r="C2308" s="1" t="n">
        <v>45761</v>
      </c>
      <c r="D2308" t="inlineStr">
        <is>
          <t>SÖDERMANLANDS LÄN</t>
        </is>
      </c>
      <c r="E2308" t="inlineStr">
        <is>
          <t>NYKÖPING</t>
        </is>
      </c>
      <c r="F2308" t="inlineStr">
        <is>
          <t>Holmen skog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12774-2021</t>
        </is>
      </c>
      <c r="B2309" s="1" t="n">
        <v>44270</v>
      </c>
      <c r="C2309" s="1" t="n">
        <v>45761</v>
      </c>
      <c r="D2309" t="inlineStr">
        <is>
          <t>SÖDERMANLANDS LÄN</t>
        </is>
      </c>
      <c r="E2309" t="inlineStr">
        <is>
          <t>FLEN</t>
        </is>
      </c>
      <c r="F2309" t="inlineStr">
        <is>
          <t>Kyrkan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12760-2021</t>
        </is>
      </c>
      <c r="B2310" s="1" t="n">
        <v>44270</v>
      </c>
      <c r="C2310" s="1" t="n">
        <v>45761</v>
      </c>
      <c r="D2310" t="inlineStr">
        <is>
          <t>SÖDERMANLANDS LÄN</t>
        </is>
      </c>
      <c r="E2310" t="inlineStr">
        <is>
          <t>KATRINEHOLM</t>
        </is>
      </c>
      <c r="F2310" t="inlineStr">
        <is>
          <t>Kyrkan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12766-2021</t>
        </is>
      </c>
      <c r="B2311" s="1" t="n">
        <v>44270</v>
      </c>
      <c r="C2311" s="1" t="n">
        <v>45761</v>
      </c>
      <c r="D2311" t="inlineStr">
        <is>
          <t>SÖDERMANLANDS LÄN</t>
        </is>
      </c>
      <c r="E2311" t="inlineStr">
        <is>
          <t>KATRINEHOLM</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12960-2021</t>
        </is>
      </c>
      <c r="B2312" s="1" t="n">
        <v>44271</v>
      </c>
      <c r="C2312" s="1" t="n">
        <v>45761</v>
      </c>
      <c r="D2312" t="inlineStr">
        <is>
          <t>SÖDERMANLANDS LÄN</t>
        </is>
      </c>
      <c r="E2312" t="inlineStr">
        <is>
          <t>NYKÖPING</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13209-2021</t>
        </is>
      </c>
      <c r="B2313" s="1" t="n">
        <v>44272</v>
      </c>
      <c r="C2313" s="1" t="n">
        <v>45761</v>
      </c>
      <c r="D2313" t="inlineStr">
        <is>
          <t>SÖDERMANLANDS LÄN</t>
        </is>
      </c>
      <c r="E2313" t="inlineStr">
        <is>
          <t>STRÄNGNÄS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13120-2021</t>
        </is>
      </c>
      <c r="B2314" s="1" t="n">
        <v>44272</v>
      </c>
      <c r="C2314" s="1" t="n">
        <v>45761</v>
      </c>
      <c r="D2314" t="inlineStr">
        <is>
          <t>SÖDERMANLANDS LÄN</t>
        </is>
      </c>
      <c r="E2314" t="inlineStr">
        <is>
          <t>NYKÖPING</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13279-2021</t>
        </is>
      </c>
      <c r="B2315" s="1" t="n">
        <v>44272</v>
      </c>
      <c r="C2315" s="1" t="n">
        <v>45761</v>
      </c>
      <c r="D2315" t="inlineStr">
        <is>
          <t>SÖDERMANLANDS LÄN</t>
        </is>
      </c>
      <c r="E2315" t="inlineStr">
        <is>
          <t>NYKÖPING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13249-2021</t>
        </is>
      </c>
      <c r="B2316" s="1" t="n">
        <v>44272</v>
      </c>
      <c r="C2316" s="1" t="n">
        <v>45761</v>
      </c>
      <c r="D2316" t="inlineStr">
        <is>
          <t>SÖDERMANLANDS LÄN</t>
        </is>
      </c>
      <c r="E2316" t="inlineStr">
        <is>
          <t>STRÄNGNÄS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13504-2021</t>
        </is>
      </c>
      <c r="B2317" s="1" t="n">
        <v>44273</v>
      </c>
      <c r="C2317" s="1" t="n">
        <v>45761</v>
      </c>
      <c r="D2317" t="inlineStr">
        <is>
          <t>SÖDERMANLANDS LÄN</t>
        </is>
      </c>
      <c r="E2317" t="inlineStr">
        <is>
          <t>STRÄNGNÄS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13573-2021</t>
        </is>
      </c>
      <c r="B2318" s="1" t="n">
        <v>44273</v>
      </c>
      <c r="C2318" s="1" t="n">
        <v>45761</v>
      </c>
      <c r="D2318" t="inlineStr">
        <is>
          <t>SÖDERMANLANDS LÄN</t>
        </is>
      </c>
      <c r="E2318" t="inlineStr">
        <is>
          <t>NYKÖPING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13706-2021</t>
        </is>
      </c>
      <c r="B2319" s="1" t="n">
        <v>44274</v>
      </c>
      <c r="C2319" s="1" t="n">
        <v>45761</v>
      </c>
      <c r="D2319" t="inlineStr">
        <is>
          <t>SÖDERMANLANDS LÄN</t>
        </is>
      </c>
      <c r="E2319" t="inlineStr">
        <is>
          <t>STRÄNGNÄS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13759-2021</t>
        </is>
      </c>
      <c r="B2320" s="1" t="n">
        <v>44274</v>
      </c>
      <c r="C2320" s="1" t="n">
        <v>45761</v>
      </c>
      <c r="D2320" t="inlineStr">
        <is>
          <t>SÖDERMANLANDS LÄN</t>
        </is>
      </c>
      <c r="E2320" t="inlineStr">
        <is>
          <t>NYKÖPING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14106-2021</t>
        </is>
      </c>
      <c r="B2321" s="1" t="n">
        <v>44277</v>
      </c>
      <c r="C2321" s="1" t="n">
        <v>45761</v>
      </c>
      <c r="D2321" t="inlineStr">
        <is>
          <t>SÖDERMANLANDS LÄN</t>
        </is>
      </c>
      <c r="E2321" t="inlineStr">
        <is>
          <t>STRÄNGNÄS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14111-2021</t>
        </is>
      </c>
      <c r="B2322" s="1" t="n">
        <v>44277</v>
      </c>
      <c r="C2322" s="1" t="n">
        <v>45761</v>
      </c>
      <c r="D2322" t="inlineStr">
        <is>
          <t>SÖDERMANLANDS LÄN</t>
        </is>
      </c>
      <c r="E2322" t="inlineStr">
        <is>
          <t>STRÄNGNÄS</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14128-2021</t>
        </is>
      </c>
      <c r="B2323" s="1" t="n">
        <v>44277</v>
      </c>
      <c r="C2323" s="1" t="n">
        <v>45761</v>
      </c>
      <c r="D2323" t="inlineStr">
        <is>
          <t>SÖDERMANLANDS LÄN</t>
        </is>
      </c>
      <c r="E2323" t="inlineStr">
        <is>
          <t>VINGÅKER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14176-2021</t>
        </is>
      </c>
      <c r="B2324" s="1" t="n">
        <v>44278</v>
      </c>
      <c r="C2324" s="1" t="n">
        <v>45761</v>
      </c>
      <c r="D2324" t="inlineStr">
        <is>
          <t>SÖDERMANLANDS LÄN</t>
        </is>
      </c>
      <c r="E2324" t="inlineStr">
        <is>
          <t>NYKÖPING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14175-2021</t>
        </is>
      </c>
      <c r="B2325" s="1" t="n">
        <v>44278</v>
      </c>
      <c r="C2325" s="1" t="n">
        <v>45761</v>
      </c>
      <c r="D2325" t="inlineStr">
        <is>
          <t>SÖDERMANLANDS LÄN</t>
        </is>
      </c>
      <c r="E2325" t="inlineStr">
        <is>
          <t>NYKÖPING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14437-2021</t>
        </is>
      </c>
      <c r="B2326" s="1" t="n">
        <v>44279</v>
      </c>
      <c r="C2326" s="1" t="n">
        <v>45761</v>
      </c>
      <c r="D2326" t="inlineStr">
        <is>
          <t>SÖDERMANLANDS LÄN</t>
        </is>
      </c>
      <c r="E2326" t="inlineStr">
        <is>
          <t>STRÄNGNÄS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14440-2021</t>
        </is>
      </c>
      <c r="B2327" s="1" t="n">
        <v>44279</v>
      </c>
      <c r="C2327" s="1" t="n">
        <v>45761</v>
      </c>
      <c r="D2327" t="inlineStr">
        <is>
          <t>SÖDERMANLANDS LÄN</t>
        </is>
      </c>
      <c r="E2327" t="inlineStr">
        <is>
          <t>STRÄNGNÄS</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14616-2021</t>
        </is>
      </c>
      <c r="B2328" s="1" t="n">
        <v>44280</v>
      </c>
      <c r="C2328" s="1" t="n">
        <v>45761</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14614-2021</t>
        </is>
      </c>
      <c r="B2329" s="1" t="n">
        <v>44280</v>
      </c>
      <c r="C2329" s="1" t="n">
        <v>45761</v>
      </c>
      <c r="D2329" t="inlineStr">
        <is>
          <t>SÖDERMANLANDS LÄN</t>
        </is>
      </c>
      <c r="E2329" t="inlineStr">
        <is>
          <t>GNESTA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14641-2021</t>
        </is>
      </c>
      <c r="B2330" s="1" t="n">
        <v>44280</v>
      </c>
      <c r="C2330" s="1" t="n">
        <v>45761</v>
      </c>
      <c r="D2330" t="inlineStr">
        <is>
          <t>SÖDERMANLANDS LÄN</t>
        </is>
      </c>
      <c r="E2330" t="inlineStr">
        <is>
          <t>ESKILSTUNA</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15067-2021</t>
        </is>
      </c>
      <c r="B2331" s="1" t="n">
        <v>44281</v>
      </c>
      <c r="C2331" s="1" t="n">
        <v>45761</v>
      </c>
      <c r="D2331" t="inlineStr">
        <is>
          <t>SÖDERMANLANDS LÄN</t>
        </is>
      </c>
      <c r="E2331" t="inlineStr">
        <is>
          <t>VINGÅKER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14998-2021</t>
        </is>
      </c>
      <c r="B2332" s="1" t="n">
        <v>44281</v>
      </c>
      <c r="C2332" s="1" t="n">
        <v>45761</v>
      </c>
      <c r="D2332" t="inlineStr">
        <is>
          <t>SÖDERMANLANDS LÄN</t>
        </is>
      </c>
      <c r="E2332" t="inlineStr">
        <is>
          <t>VINGÅKER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15223-2021</t>
        </is>
      </c>
      <c r="B2333" s="1" t="n">
        <v>44281</v>
      </c>
      <c r="C2333" s="1" t="n">
        <v>45761</v>
      </c>
      <c r="D2333" t="inlineStr">
        <is>
          <t>SÖDERMANLANDS LÄN</t>
        </is>
      </c>
      <c r="E2333" t="inlineStr">
        <is>
          <t>VINGÅKER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14973-2021</t>
        </is>
      </c>
      <c r="B2334" s="1" t="n">
        <v>44281</v>
      </c>
      <c r="C2334" s="1" t="n">
        <v>45761</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15062-2021</t>
        </is>
      </c>
      <c r="B2335" s="1" t="n">
        <v>44281</v>
      </c>
      <c r="C2335" s="1" t="n">
        <v>45761</v>
      </c>
      <c r="D2335" t="inlineStr">
        <is>
          <t>SÖDERMANLANDS LÄN</t>
        </is>
      </c>
      <c r="E2335" t="inlineStr">
        <is>
          <t>FLEN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15132-2021</t>
        </is>
      </c>
      <c r="B2336" s="1" t="n">
        <v>44283</v>
      </c>
      <c r="C2336" s="1" t="n">
        <v>45761</v>
      </c>
      <c r="D2336" t="inlineStr">
        <is>
          <t>SÖDERMANLANDS LÄN</t>
        </is>
      </c>
      <c r="E2336" t="inlineStr">
        <is>
          <t>NYKÖPING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15397-2021</t>
        </is>
      </c>
      <c r="B2337" s="1" t="n">
        <v>44284</v>
      </c>
      <c r="C2337" s="1" t="n">
        <v>45761</v>
      </c>
      <c r="D2337" t="inlineStr">
        <is>
          <t>SÖDERMANLANDS LÄN</t>
        </is>
      </c>
      <c r="E2337" t="inlineStr">
        <is>
          <t>ESKILSTUNA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15394-2021</t>
        </is>
      </c>
      <c r="B2338" s="1" t="n">
        <v>44284</v>
      </c>
      <c r="C2338" s="1" t="n">
        <v>45761</v>
      </c>
      <c r="D2338" t="inlineStr">
        <is>
          <t>SÖDERMANLANDS LÄN</t>
        </is>
      </c>
      <c r="E2338" t="inlineStr">
        <is>
          <t>STRÄNGNÄS</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15531-2021</t>
        </is>
      </c>
      <c r="B2339" s="1" t="n">
        <v>44285</v>
      </c>
      <c r="C2339" s="1" t="n">
        <v>45761</v>
      </c>
      <c r="D2339" t="inlineStr">
        <is>
          <t>SÖDERMANLANDS LÄN</t>
        </is>
      </c>
      <c r="E2339" t="inlineStr">
        <is>
          <t>GNESTA</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15545-2021</t>
        </is>
      </c>
      <c r="B2340" s="1" t="n">
        <v>44285</v>
      </c>
      <c r="C2340" s="1" t="n">
        <v>45761</v>
      </c>
      <c r="D2340" t="inlineStr">
        <is>
          <t>SÖDERMANLANDS LÄN</t>
        </is>
      </c>
      <c r="E2340" t="inlineStr">
        <is>
          <t>NYKÖPING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15603-2021</t>
        </is>
      </c>
      <c r="B2341" s="1" t="n">
        <v>44285</v>
      </c>
      <c r="C2341" s="1" t="n">
        <v>45761</v>
      </c>
      <c r="D2341" t="inlineStr">
        <is>
          <t>SÖDERMANLANDS LÄN</t>
        </is>
      </c>
      <c r="E2341" t="inlineStr">
        <is>
          <t>GNESTA</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15465-2021</t>
        </is>
      </c>
      <c r="B2342" s="1" t="n">
        <v>44285</v>
      </c>
      <c r="C2342" s="1" t="n">
        <v>45761</v>
      </c>
      <c r="D2342" t="inlineStr">
        <is>
          <t>SÖDERMANLANDS LÄN</t>
        </is>
      </c>
      <c r="E2342" t="inlineStr">
        <is>
          <t>FLEN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15520-2021</t>
        </is>
      </c>
      <c r="B2343" s="1" t="n">
        <v>44285</v>
      </c>
      <c r="C2343" s="1" t="n">
        <v>45761</v>
      </c>
      <c r="D2343" t="inlineStr">
        <is>
          <t>SÖDERMANLANDS LÄN</t>
        </is>
      </c>
      <c r="E2343" t="inlineStr">
        <is>
          <t>NYKÖPING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15532-2021</t>
        </is>
      </c>
      <c r="B2344" s="1" t="n">
        <v>44285</v>
      </c>
      <c r="C2344" s="1" t="n">
        <v>45761</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15604-2021</t>
        </is>
      </c>
      <c r="B2345" s="1" t="n">
        <v>44285</v>
      </c>
      <c r="C2345" s="1" t="n">
        <v>45761</v>
      </c>
      <c r="D2345" t="inlineStr">
        <is>
          <t>SÖDERMANLANDS LÄN</t>
        </is>
      </c>
      <c r="E2345" t="inlineStr">
        <is>
          <t>TROSA</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15423-2021</t>
        </is>
      </c>
      <c r="B2346" s="1" t="n">
        <v>44285</v>
      </c>
      <c r="C2346" s="1" t="n">
        <v>45761</v>
      </c>
      <c r="D2346" t="inlineStr">
        <is>
          <t>SÖDERMANLANDS LÄN</t>
        </is>
      </c>
      <c r="E2346" t="inlineStr">
        <is>
          <t>ESKILSTUNA</t>
        </is>
      </c>
      <c r="G2346" t="n">
        <v>12.3</v>
      </c>
      <c r="H2346" t="n">
        <v>0</v>
      </c>
      <c r="I2346" t="n">
        <v>0</v>
      </c>
      <c r="J2346" t="n">
        <v>0</v>
      </c>
      <c r="K2346" t="n">
        <v>0</v>
      </c>
      <c r="L2346" t="n">
        <v>0</v>
      </c>
      <c r="M2346" t="n">
        <v>0</v>
      </c>
      <c r="N2346" t="n">
        <v>0</v>
      </c>
      <c r="O2346" t="n">
        <v>0</v>
      </c>
      <c r="P2346" t="n">
        <v>0</v>
      </c>
      <c r="Q2346" t="n">
        <v>0</v>
      </c>
      <c r="R2346" s="2" t="inlineStr"/>
    </row>
    <row r="2347" ht="15" customHeight="1">
      <c r="A2347" t="inlineStr">
        <is>
          <t>A 16031-2021</t>
        </is>
      </c>
      <c r="B2347" s="1" t="n">
        <v>44287</v>
      </c>
      <c r="C2347" s="1" t="n">
        <v>45761</v>
      </c>
      <c r="D2347" t="inlineStr">
        <is>
          <t>SÖDERMANLANDS LÄN</t>
        </is>
      </c>
      <c r="E2347" t="inlineStr">
        <is>
          <t>KATRINEHOLM</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16257-2021</t>
        </is>
      </c>
      <c r="B2348" s="1" t="n">
        <v>44287</v>
      </c>
      <c r="C2348" s="1" t="n">
        <v>45761</v>
      </c>
      <c r="D2348" t="inlineStr">
        <is>
          <t>SÖDERMANLANDS LÄN</t>
        </is>
      </c>
      <c r="E2348" t="inlineStr">
        <is>
          <t>GNESTA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16221-2021</t>
        </is>
      </c>
      <c r="B2349" s="1" t="n">
        <v>44287</v>
      </c>
      <c r="C2349" s="1" t="n">
        <v>45761</v>
      </c>
      <c r="D2349" t="inlineStr">
        <is>
          <t>SÖDERMANLANDS LÄN</t>
        </is>
      </c>
      <c r="E2349" t="inlineStr">
        <is>
          <t>GNESTA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16281-2021</t>
        </is>
      </c>
      <c r="B2350" s="1" t="n">
        <v>44292</v>
      </c>
      <c r="C2350" s="1" t="n">
        <v>45761</v>
      </c>
      <c r="D2350" t="inlineStr">
        <is>
          <t>SÖDERMANLANDS LÄN</t>
        </is>
      </c>
      <c r="E2350" t="inlineStr">
        <is>
          <t>FLEN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16275-2021</t>
        </is>
      </c>
      <c r="B2351" s="1" t="n">
        <v>44292</v>
      </c>
      <c r="C2351" s="1" t="n">
        <v>45761</v>
      </c>
      <c r="D2351" t="inlineStr">
        <is>
          <t>SÖDERMANLANDS LÄN</t>
        </is>
      </c>
      <c r="E2351" t="inlineStr">
        <is>
          <t>FLEN</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16276-2021</t>
        </is>
      </c>
      <c r="B2352" s="1" t="n">
        <v>44292</v>
      </c>
      <c r="C2352" s="1" t="n">
        <v>45761</v>
      </c>
      <c r="D2352" t="inlineStr">
        <is>
          <t>SÖDERMANLANDS LÄN</t>
        </is>
      </c>
      <c r="E2352" t="inlineStr">
        <is>
          <t>FLEN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16287-2021</t>
        </is>
      </c>
      <c r="B2353" s="1" t="n">
        <v>44292</v>
      </c>
      <c r="C2353" s="1" t="n">
        <v>45761</v>
      </c>
      <c r="D2353" t="inlineStr">
        <is>
          <t>SÖDERMANLANDS LÄN</t>
        </is>
      </c>
      <c r="E2353" t="inlineStr">
        <is>
          <t>GNESTA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16272-2021</t>
        </is>
      </c>
      <c r="B2354" s="1" t="n">
        <v>44292</v>
      </c>
      <c r="C2354" s="1" t="n">
        <v>45761</v>
      </c>
      <c r="D2354" t="inlineStr">
        <is>
          <t>SÖDERMANLANDS LÄN</t>
        </is>
      </c>
      <c r="E2354" t="inlineStr">
        <is>
          <t>NYKÖPING</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16456-2021</t>
        </is>
      </c>
      <c r="B2355" s="1" t="n">
        <v>44293</v>
      </c>
      <c r="C2355" s="1" t="n">
        <v>45761</v>
      </c>
      <c r="D2355" t="inlineStr">
        <is>
          <t>SÖDERMANLANDS LÄN</t>
        </is>
      </c>
      <c r="E2355" t="inlineStr">
        <is>
          <t>NYKÖPING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16427-2021</t>
        </is>
      </c>
      <c r="B2356" s="1" t="n">
        <v>44293</v>
      </c>
      <c r="C2356" s="1" t="n">
        <v>45761</v>
      </c>
      <c r="D2356" t="inlineStr">
        <is>
          <t>SÖDERMANLANDS LÄN</t>
        </is>
      </c>
      <c r="E2356" t="inlineStr">
        <is>
          <t>STRÄNGNÄS</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16520-2021</t>
        </is>
      </c>
      <c r="B2357" s="1" t="n">
        <v>44293</v>
      </c>
      <c r="C2357" s="1" t="n">
        <v>45761</v>
      </c>
      <c r="D2357" t="inlineStr">
        <is>
          <t>SÖDERMANLANDS LÄN</t>
        </is>
      </c>
      <c r="E2357" t="inlineStr">
        <is>
          <t>FLEN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16557-2021</t>
        </is>
      </c>
      <c r="B2358" s="1" t="n">
        <v>44293</v>
      </c>
      <c r="C2358" s="1" t="n">
        <v>45761</v>
      </c>
      <c r="D2358" t="inlineStr">
        <is>
          <t>SÖDERMANLANDS LÄN</t>
        </is>
      </c>
      <c r="E2358" t="inlineStr">
        <is>
          <t>TROSA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16526-2021</t>
        </is>
      </c>
      <c r="B2359" s="1" t="n">
        <v>44293</v>
      </c>
      <c r="C2359" s="1" t="n">
        <v>45761</v>
      </c>
      <c r="D2359" t="inlineStr">
        <is>
          <t>SÖDERMANLANDS LÄN</t>
        </is>
      </c>
      <c r="E2359" t="inlineStr">
        <is>
          <t>NYKÖPING</t>
        </is>
      </c>
      <c r="F2359" t="inlineStr">
        <is>
          <t>Allmännings- och besparingsskogar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16616-2021</t>
        </is>
      </c>
      <c r="B2360" s="1" t="n">
        <v>44294</v>
      </c>
      <c r="C2360" s="1" t="n">
        <v>45761</v>
      </c>
      <c r="D2360" t="inlineStr">
        <is>
          <t>SÖDERMANLANDS LÄN</t>
        </is>
      </c>
      <c r="E2360" t="inlineStr">
        <is>
          <t>NYKÖPING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16740-2021</t>
        </is>
      </c>
      <c r="B2361" s="1" t="n">
        <v>44294</v>
      </c>
      <c r="C2361" s="1" t="n">
        <v>45761</v>
      </c>
      <c r="D2361" t="inlineStr">
        <is>
          <t>SÖDERMANLANDS LÄN</t>
        </is>
      </c>
      <c r="E2361" t="inlineStr">
        <is>
          <t>NYKÖPING</t>
        </is>
      </c>
      <c r="F2361" t="inlineStr">
        <is>
          <t>Kyrkan</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16767-2021</t>
        </is>
      </c>
      <c r="B2362" s="1" t="n">
        <v>44294</v>
      </c>
      <c r="C2362" s="1" t="n">
        <v>45761</v>
      </c>
      <c r="D2362" t="inlineStr">
        <is>
          <t>SÖDERMANLANDS LÄN</t>
        </is>
      </c>
      <c r="E2362" t="inlineStr">
        <is>
          <t>STRÄNGNÄS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16917-2021</t>
        </is>
      </c>
      <c r="B2363" s="1" t="n">
        <v>44295</v>
      </c>
      <c r="C2363" s="1" t="n">
        <v>45761</v>
      </c>
      <c r="D2363" t="inlineStr">
        <is>
          <t>SÖDERMANLANDS LÄN</t>
        </is>
      </c>
      <c r="E2363" t="inlineStr">
        <is>
          <t>ESKILSTUNA</t>
        </is>
      </c>
      <c r="F2363" t="inlineStr">
        <is>
          <t>Allmännings- och besparingsskogar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17047-2021</t>
        </is>
      </c>
      <c r="B2364" s="1" t="n">
        <v>44295</v>
      </c>
      <c r="C2364" s="1" t="n">
        <v>45761</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17203-2021</t>
        </is>
      </c>
      <c r="B2365" s="1" t="n">
        <v>44296</v>
      </c>
      <c r="C2365" s="1" t="n">
        <v>45761</v>
      </c>
      <c r="D2365" t="inlineStr">
        <is>
          <t>SÖDERMANLANDS LÄN</t>
        </is>
      </c>
      <c r="E2365" t="inlineStr">
        <is>
          <t>FLEN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17210-2021</t>
        </is>
      </c>
      <c r="B2366" s="1" t="n">
        <v>44297</v>
      </c>
      <c r="C2366" s="1" t="n">
        <v>45761</v>
      </c>
      <c r="D2366" t="inlineStr">
        <is>
          <t>SÖDERMANLANDS LÄN</t>
        </is>
      </c>
      <c r="E2366" t="inlineStr">
        <is>
          <t>FLEN</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17222-2021</t>
        </is>
      </c>
      <c r="B2367" s="1" t="n">
        <v>44297</v>
      </c>
      <c r="C2367" s="1" t="n">
        <v>45761</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17183-2021</t>
        </is>
      </c>
      <c r="B2368" s="1" t="n">
        <v>44297</v>
      </c>
      <c r="C2368" s="1" t="n">
        <v>45761</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17244-2021</t>
        </is>
      </c>
      <c r="B2369" s="1" t="n">
        <v>44298</v>
      </c>
      <c r="C2369" s="1" t="n">
        <v>45761</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17345-2021</t>
        </is>
      </c>
      <c r="B2370" s="1" t="n">
        <v>44298</v>
      </c>
      <c r="C2370" s="1" t="n">
        <v>45761</v>
      </c>
      <c r="D2370" t="inlineStr">
        <is>
          <t>SÖDERMANLANDS LÄN</t>
        </is>
      </c>
      <c r="E2370" t="inlineStr">
        <is>
          <t>STRÄNGNÄS</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17444-2021</t>
        </is>
      </c>
      <c r="B2371" s="1" t="n">
        <v>44299</v>
      </c>
      <c r="C2371" s="1" t="n">
        <v>45761</v>
      </c>
      <c r="D2371" t="inlineStr">
        <is>
          <t>SÖDERMANLANDS LÄN</t>
        </is>
      </c>
      <c r="E2371" t="inlineStr">
        <is>
          <t>KATRINEHOLM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17430-2021</t>
        </is>
      </c>
      <c r="B2372" s="1" t="n">
        <v>44299</v>
      </c>
      <c r="C2372" s="1" t="n">
        <v>45761</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17693-2021</t>
        </is>
      </c>
      <c r="B2373" s="1" t="n">
        <v>44299</v>
      </c>
      <c r="C2373" s="1" t="n">
        <v>45761</v>
      </c>
      <c r="D2373" t="inlineStr">
        <is>
          <t>SÖDERMANLANDS LÄN</t>
        </is>
      </c>
      <c r="E2373" t="inlineStr">
        <is>
          <t>KATRINEHOLM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17710-2021</t>
        </is>
      </c>
      <c r="B2374" s="1" t="n">
        <v>44299</v>
      </c>
      <c r="C2374" s="1" t="n">
        <v>45761</v>
      </c>
      <c r="D2374" t="inlineStr">
        <is>
          <t>SÖDERMANLANDS LÄN</t>
        </is>
      </c>
      <c r="E2374" t="inlineStr">
        <is>
          <t>KATRINEHOLM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17668-2021</t>
        </is>
      </c>
      <c r="B2375" s="1" t="n">
        <v>44299</v>
      </c>
      <c r="C2375" s="1" t="n">
        <v>45761</v>
      </c>
      <c r="D2375" t="inlineStr">
        <is>
          <t>SÖDERMANLANDS LÄN</t>
        </is>
      </c>
      <c r="E2375" t="inlineStr">
        <is>
          <t>KATRINEHOLM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17711-2021</t>
        </is>
      </c>
      <c r="B2376" s="1" t="n">
        <v>44299</v>
      </c>
      <c r="C2376" s="1" t="n">
        <v>45761</v>
      </c>
      <c r="D2376" t="inlineStr">
        <is>
          <t>SÖDERMANLANDS LÄN</t>
        </is>
      </c>
      <c r="E2376" t="inlineStr">
        <is>
          <t>KATRINEHOLM</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17800-2021</t>
        </is>
      </c>
      <c r="B2377" s="1" t="n">
        <v>44300</v>
      </c>
      <c r="C2377" s="1" t="n">
        <v>45761</v>
      </c>
      <c r="D2377" t="inlineStr">
        <is>
          <t>SÖDERMANLANDS LÄN</t>
        </is>
      </c>
      <c r="E2377" t="inlineStr">
        <is>
          <t>NYKÖPING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17985-2021</t>
        </is>
      </c>
      <c r="B2378" s="1" t="n">
        <v>44301</v>
      </c>
      <c r="C2378" s="1" t="n">
        <v>45761</v>
      </c>
      <c r="D2378" t="inlineStr">
        <is>
          <t>SÖDERMANLANDS LÄN</t>
        </is>
      </c>
      <c r="E2378" t="inlineStr">
        <is>
          <t>FLEN</t>
        </is>
      </c>
      <c r="F2378" t="inlineStr">
        <is>
          <t>Kyrkan</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17987-2021</t>
        </is>
      </c>
      <c r="B2379" s="1" t="n">
        <v>44301</v>
      </c>
      <c r="C2379" s="1" t="n">
        <v>45761</v>
      </c>
      <c r="D2379" t="inlineStr">
        <is>
          <t>SÖDERMANLANDS LÄN</t>
        </is>
      </c>
      <c r="E2379" t="inlineStr">
        <is>
          <t>FLEN</t>
        </is>
      </c>
      <c r="F2379" t="inlineStr">
        <is>
          <t>Kyrkan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18161-2021</t>
        </is>
      </c>
      <c r="B2380" s="1" t="n">
        <v>44302</v>
      </c>
      <c r="C2380" s="1" t="n">
        <v>45761</v>
      </c>
      <c r="D2380" t="inlineStr">
        <is>
          <t>SÖDERMANLANDS LÄN</t>
        </is>
      </c>
      <c r="E2380" t="inlineStr">
        <is>
          <t>NYKÖPING</t>
        </is>
      </c>
      <c r="G2380" t="n">
        <v>23.9</v>
      </c>
      <c r="H2380" t="n">
        <v>0</v>
      </c>
      <c r="I2380" t="n">
        <v>0</v>
      </c>
      <c r="J2380" t="n">
        <v>0</v>
      </c>
      <c r="K2380" t="n">
        <v>0</v>
      </c>
      <c r="L2380" t="n">
        <v>0</v>
      </c>
      <c r="M2380" t="n">
        <v>0</v>
      </c>
      <c r="N2380" t="n">
        <v>0</v>
      </c>
      <c r="O2380" t="n">
        <v>0</v>
      </c>
      <c r="P2380" t="n">
        <v>0</v>
      </c>
      <c r="Q2380" t="n">
        <v>0</v>
      </c>
      <c r="R2380" s="2" t="inlineStr"/>
    </row>
    <row r="2381" ht="15" customHeight="1">
      <c r="A2381" t="inlineStr">
        <is>
          <t>A 18053-2021</t>
        </is>
      </c>
      <c r="B2381" s="1" t="n">
        <v>44302</v>
      </c>
      <c r="C2381" s="1" t="n">
        <v>45761</v>
      </c>
      <c r="D2381" t="inlineStr">
        <is>
          <t>SÖDERMANLANDS LÄN</t>
        </is>
      </c>
      <c r="E2381" t="inlineStr">
        <is>
          <t>FLEN</t>
        </is>
      </c>
      <c r="F2381" t="inlineStr">
        <is>
          <t>Kyrkan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18192-2021</t>
        </is>
      </c>
      <c r="B2382" s="1" t="n">
        <v>44302</v>
      </c>
      <c r="C2382" s="1" t="n">
        <v>45761</v>
      </c>
      <c r="D2382" t="inlineStr">
        <is>
          <t>SÖDERMANLANDS LÄN</t>
        </is>
      </c>
      <c r="E2382" t="inlineStr">
        <is>
          <t>FLEN</t>
        </is>
      </c>
      <c r="F2382" t="inlineStr">
        <is>
          <t>Kyrkan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18185-2021</t>
        </is>
      </c>
      <c r="B2383" s="1" t="n">
        <v>44302</v>
      </c>
      <c r="C2383" s="1" t="n">
        <v>45761</v>
      </c>
      <c r="D2383" t="inlineStr">
        <is>
          <t>SÖDERMANLANDS LÄN</t>
        </is>
      </c>
      <c r="E2383" t="inlineStr">
        <is>
          <t>FLEN</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18180-2021</t>
        </is>
      </c>
      <c r="B2384" s="1" t="n">
        <v>44302</v>
      </c>
      <c r="C2384" s="1" t="n">
        <v>45761</v>
      </c>
      <c r="D2384" t="inlineStr">
        <is>
          <t>SÖDERMANLANDS LÄN</t>
        </is>
      </c>
      <c r="E2384" t="inlineStr">
        <is>
          <t>FLEN</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18524-2021</t>
        </is>
      </c>
      <c r="B2385" s="1" t="n">
        <v>44306</v>
      </c>
      <c r="C2385" s="1" t="n">
        <v>45761</v>
      </c>
      <c r="D2385" t="inlineStr">
        <is>
          <t>SÖDERMANLANDS LÄN</t>
        </is>
      </c>
      <c r="E2385" t="inlineStr">
        <is>
          <t>ESKILSTUNA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18663-2021</t>
        </is>
      </c>
      <c r="B2386" s="1" t="n">
        <v>44306</v>
      </c>
      <c r="C2386" s="1" t="n">
        <v>45761</v>
      </c>
      <c r="D2386" t="inlineStr">
        <is>
          <t>SÖDERMANLANDS LÄN</t>
        </is>
      </c>
      <c r="E2386" t="inlineStr">
        <is>
          <t>NYKÖPING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18665-2021</t>
        </is>
      </c>
      <c r="B2387" s="1" t="n">
        <v>44306</v>
      </c>
      <c r="C2387" s="1" t="n">
        <v>45761</v>
      </c>
      <c r="D2387" t="inlineStr">
        <is>
          <t>SÖDERMANLANDS LÄN</t>
        </is>
      </c>
      <c r="E2387" t="inlineStr">
        <is>
          <t>NYKÖPING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18695-2021</t>
        </is>
      </c>
      <c r="B2388" s="1" t="n">
        <v>44307</v>
      </c>
      <c r="C2388" s="1" t="n">
        <v>45761</v>
      </c>
      <c r="D2388" t="inlineStr">
        <is>
          <t>SÖDERMANLANDS LÄN</t>
        </is>
      </c>
      <c r="E2388" t="inlineStr">
        <is>
          <t>GNESTA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18744-2021</t>
        </is>
      </c>
      <c r="B2389" s="1" t="n">
        <v>44307</v>
      </c>
      <c r="C2389" s="1" t="n">
        <v>45761</v>
      </c>
      <c r="D2389" t="inlineStr">
        <is>
          <t>SÖDERMANLANDS LÄN</t>
        </is>
      </c>
      <c r="E2389" t="inlineStr">
        <is>
          <t>VINGÅKER</t>
        </is>
      </c>
      <c r="G2389" t="n">
        <v>17.6</v>
      </c>
      <c r="H2389" t="n">
        <v>0</v>
      </c>
      <c r="I2389" t="n">
        <v>0</v>
      </c>
      <c r="J2389" t="n">
        <v>0</v>
      </c>
      <c r="K2389" t="n">
        <v>0</v>
      </c>
      <c r="L2389" t="n">
        <v>0</v>
      </c>
      <c r="M2389" t="n">
        <v>0</v>
      </c>
      <c r="N2389" t="n">
        <v>0</v>
      </c>
      <c r="O2389" t="n">
        <v>0</v>
      </c>
      <c r="P2389" t="n">
        <v>0</v>
      </c>
      <c r="Q2389" t="n">
        <v>0</v>
      </c>
      <c r="R2389" s="2" t="inlineStr"/>
    </row>
    <row r="2390" ht="15" customHeight="1">
      <c r="A2390" t="inlineStr">
        <is>
          <t>A 18721-2021</t>
        </is>
      </c>
      <c r="B2390" s="1" t="n">
        <v>44307</v>
      </c>
      <c r="C2390" s="1" t="n">
        <v>45761</v>
      </c>
      <c r="D2390" t="inlineStr">
        <is>
          <t>SÖDERMANLANDS LÄN</t>
        </is>
      </c>
      <c r="E2390" t="inlineStr">
        <is>
          <t>VINGÅKER</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18954-2021</t>
        </is>
      </c>
      <c r="B2391" s="1" t="n">
        <v>44307</v>
      </c>
      <c r="C2391" s="1" t="n">
        <v>45761</v>
      </c>
      <c r="D2391" t="inlineStr">
        <is>
          <t>SÖDERMANLANDS LÄN</t>
        </is>
      </c>
      <c r="E2391" t="inlineStr">
        <is>
          <t>ESKILSTUNA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19072-2021</t>
        </is>
      </c>
      <c r="B2392" s="1" t="n">
        <v>44307</v>
      </c>
      <c r="C2392" s="1" t="n">
        <v>45761</v>
      </c>
      <c r="D2392" t="inlineStr">
        <is>
          <t>SÖDERMANLANDS LÄN</t>
        </is>
      </c>
      <c r="E2392" t="inlineStr">
        <is>
          <t>FLEN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18942-2021</t>
        </is>
      </c>
      <c r="B2393" s="1" t="n">
        <v>44308</v>
      </c>
      <c r="C2393" s="1" t="n">
        <v>45761</v>
      </c>
      <c r="D2393" t="inlineStr">
        <is>
          <t>SÖDERMANLANDS LÄN</t>
        </is>
      </c>
      <c r="E2393" t="inlineStr">
        <is>
          <t>ESKILSTUNA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19195-2021</t>
        </is>
      </c>
      <c r="B2394" s="1" t="n">
        <v>44308</v>
      </c>
      <c r="C2394" s="1" t="n">
        <v>45761</v>
      </c>
      <c r="D2394" t="inlineStr">
        <is>
          <t>SÖDERMANLANDS LÄN</t>
        </is>
      </c>
      <c r="E2394" t="inlineStr">
        <is>
          <t>KATRINEHOLM</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19334-2021</t>
        </is>
      </c>
      <c r="B2395" s="1" t="n">
        <v>44309</v>
      </c>
      <c r="C2395" s="1" t="n">
        <v>45761</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19387-2021</t>
        </is>
      </c>
      <c r="B2396" s="1" t="n">
        <v>44309</v>
      </c>
      <c r="C2396" s="1" t="n">
        <v>45761</v>
      </c>
      <c r="D2396" t="inlineStr">
        <is>
          <t>SÖDERMANLANDS LÄN</t>
        </is>
      </c>
      <c r="E2396" t="inlineStr">
        <is>
          <t>FLEN</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19436-2021</t>
        </is>
      </c>
      <c r="B2397" s="1" t="n">
        <v>44310</v>
      </c>
      <c r="C2397" s="1" t="n">
        <v>45761</v>
      </c>
      <c r="D2397" t="inlineStr">
        <is>
          <t>SÖDERMANLANDS LÄN</t>
        </is>
      </c>
      <c r="E2397" t="inlineStr">
        <is>
          <t>NYKÖPING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19613-2021</t>
        </is>
      </c>
      <c r="B2398" s="1" t="n">
        <v>44312</v>
      </c>
      <c r="C2398" s="1" t="n">
        <v>45761</v>
      </c>
      <c r="D2398" t="inlineStr">
        <is>
          <t>SÖDERMANLANDS LÄN</t>
        </is>
      </c>
      <c r="E2398" t="inlineStr">
        <is>
          <t>GNESTA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19681-2021</t>
        </is>
      </c>
      <c r="B2399" s="1" t="n">
        <v>44312</v>
      </c>
      <c r="C2399" s="1" t="n">
        <v>45761</v>
      </c>
      <c r="D2399" t="inlineStr">
        <is>
          <t>SÖDERMANLANDS LÄN</t>
        </is>
      </c>
      <c r="E2399" t="inlineStr">
        <is>
          <t>GNESTA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19888-2021</t>
        </is>
      </c>
      <c r="B2400" s="1" t="n">
        <v>44312</v>
      </c>
      <c r="C2400" s="1" t="n">
        <v>45761</v>
      </c>
      <c r="D2400" t="inlineStr">
        <is>
          <t>SÖDERMANLANDS LÄN</t>
        </is>
      </c>
      <c r="E2400" t="inlineStr">
        <is>
          <t>ESKILSTUNA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19849-2021</t>
        </is>
      </c>
      <c r="B2401" s="1" t="n">
        <v>44313</v>
      </c>
      <c r="C2401" s="1" t="n">
        <v>45761</v>
      </c>
      <c r="D2401" t="inlineStr">
        <is>
          <t>SÖDERMANLANDS LÄN</t>
        </is>
      </c>
      <c r="E2401" t="inlineStr">
        <is>
          <t>ESKILSTUNA</t>
        </is>
      </c>
      <c r="F2401" t="inlineStr">
        <is>
          <t>Kyrkan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20030-2021</t>
        </is>
      </c>
      <c r="B2402" s="1" t="n">
        <v>44313</v>
      </c>
      <c r="C2402" s="1" t="n">
        <v>45761</v>
      </c>
      <c r="D2402" t="inlineStr">
        <is>
          <t>SÖDERMANLANDS LÄN</t>
        </is>
      </c>
      <c r="E2402" t="inlineStr">
        <is>
          <t>ESKILSTUNA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20042-2021</t>
        </is>
      </c>
      <c r="B2403" s="1" t="n">
        <v>44314</v>
      </c>
      <c r="C2403" s="1" t="n">
        <v>45761</v>
      </c>
      <c r="D2403" t="inlineStr">
        <is>
          <t>SÖDERMANLANDS LÄN</t>
        </is>
      </c>
      <c r="E2403" t="inlineStr">
        <is>
          <t>KATRINEHOLM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20039-2021</t>
        </is>
      </c>
      <c r="B2404" s="1" t="n">
        <v>44314</v>
      </c>
      <c r="C2404" s="1" t="n">
        <v>45761</v>
      </c>
      <c r="D2404" t="inlineStr">
        <is>
          <t>SÖDERMANLANDS LÄN</t>
        </is>
      </c>
      <c r="E2404" t="inlineStr">
        <is>
          <t>KATRINEHOLM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20437-2021</t>
        </is>
      </c>
      <c r="B2405" s="1" t="n">
        <v>44315</v>
      </c>
      <c r="C2405" s="1" t="n">
        <v>45761</v>
      </c>
      <c r="D2405" t="inlineStr">
        <is>
          <t>SÖDERMANLANDS LÄN</t>
        </is>
      </c>
      <c r="E2405" t="inlineStr">
        <is>
          <t>NYKÖPING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21540-2021</t>
        </is>
      </c>
      <c r="B2406" s="1" t="n">
        <v>44316</v>
      </c>
      <c r="C2406" s="1" t="n">
        <v>45761</v>
      </c>
      <c r="D2406" t="inlineStr">
        <is>
          <t>SÖDERMANLANDS LÄN</t>
        </is>
      </c>
      <c r="E2406" t="inlineStr">
        <is>
          <t>NYKÖPING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20929-2021</t>
        </is>
      </c>
      <c r="B2407" s="1" t="n">
        <v>44319</v>
      </c>
      <c r="C2407" s="1" t="n">
        <v>45761</v>
      </c>
      <c r="D2407" t="inlineStr">
        <is>
          <t>SÖDERMANLANDS LÄN</t>
        </is>
      </c>
      <c r="E2407" t="inlineStr">
        <is>
          <t>STRÄNGNÄS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20949-2021</t>
        </is>
      </c>
      <c r="B2408" s="1" t="n">
        <v>44319</v>
      </c>
      <c r="C2408" s="1" t="n">
        <v>45761</v>
      </c>
      <c r="D2408" t="inlineStr">
        <is>
          <t>SÖDERMANLANDS LÄN</t>
        </is>
      </c>
      <c r="E2408" t="inlineStr">
        <is>
          <t>KATRINEHOLM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22095-2021</t>
        </is>
      </c>
      <c r="B2409" s="1" t="n">
        <v>44320</v>
      </c>
      <c r="C2409" s="1" t="n">
        <v>45761</v>
      </c>
      <c r="D2409" t="inlineStr">
        <is>
          <t>SÖDERMANLANDS LÄN</t>
        </is>
      </c>
      <c r="E2409" t="inlineStr">
        <is>
          <t>VINGÅKER</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21835-2021</t>
        </is>
      </c>
      <c r="B2410" s="1" t="n">
        <v>44322</v>
      </c>
      <c r="C2410" s="1" t="n">
        <v>45761</v>
      </c>
      <c r="D2410" t="inlineStr">
        <is>
          <t>SÖDERMANLANDS LÄN</t>
        </is>
      </c>
      <c r="E2410" t="inlineStr">
        <is>
          <t>GNESTA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21762-2021</t>
        </is>
      </c>
      <c r="B2411" s="1" t="n">
        <v>44322</v>
      </c>
      <c r="C2411" s="1" t="n">
        <v>45761</v>
      </c>
      <c r="D2411" t="inlineStr">
        <is>
          <t>SÖDERMANLANDS LÄN</t>
        </is>
      </c>
      <c r="E2411" t="inlineStr">
        <is>
          <t>GNESTA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21764-2021</t>
        </is>
      </c>
      <c r="B2412" s="1" t="n">
        <v>44322</v>
      </c>
      <c r="C2412" s="1" t="n">
        <v>45761</v>
      </c>
      <c r="D2412" t="inlineStr">
        <is>
          <t>SÖDERMANLANDS LÄN</t>
        </is>
      </c>
      <c r="E2412" t="inlineStr">
        <is>
          <t>GNESTA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22046-2021</t>
        </is>
      </c>
      <c r="B2413" s="1" t="n">
        <v>44322</v>
      </c>
      <c r="C2413" s="1" t="n">
        <v>45761</v>
      </c>
      <c r="D2413" t="inlineStr">
        <is>
          <t>SÖDERMANLANDS LÄN</t>
        </is>
      </c>
      <c r="E2413" t="inlineStr">
        <is>
          <t>GNESTA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22044-2021</t>
        </is>
      </c>
      <c r="B2414" s="1" t="n">
        <v>44322</v>
      </c>
      <c r="C2414" s="1" t="n">
        <v>45761</v>
      </c>
      <c r="D2414" t="inlineStr">
        <is>
          <t>SÖDERMANLANDS LÄN</t>
        </is>
      </c>
      <c r="E2414" t="inlineStr">
        <is>
          <t>GNESTA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22011-2021</t>
        </is>
      </c>
      <c r="B2415" s="1" t="n">
        <v>44323</v>
      </c>
      <c r="C2415" s="1" t="n">
        <v>45761</v>
      </c>
      <c r="D2415" t="inlineStr">
        <is>
          <t>SÖDERMANLANDS LÄN</t>
        </is>
      </c>
      <c r="E2415" t="inlineStr">
        <is>
          <t>FLEN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22052-2021</t>
        </is>
      </c>
      <c r="B2416" s="1" t="n">
        <v>44323</v>
      </c>
      <c r="C2416" s="1" t="n">
        <v>45761</v>
      </c>
      <c r="D2416" t="inlineStr">
        <is>
          <t>SÖDERMANLANDS LÄN</t>
        </is>
      </c>
      <c r="E2416" t="inlineStr">
        <is>
          <t>VINGÅKER</t>
        </is>
      </c>
      <c r="F2416" t="inlineStr">
        <is>
          <t>Kommuner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22087-2021</t>
        </is>
      </c>
      <c r="B2417" s="1" t="n">
        <v>44323</v>
      </c>
      <c r="C2417" s="1" t="n">
        <v>45761</v>
      </c>
      <c r="D2417" t="inlineStr">
        <is>
          <t>SÖDERMANLANDS LÄN</t>
        </is>
      </c>
      <c r="E2417" t="inlineStr">
        <is>
          <t>KATRINEHOLM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22015-2021</t>
        </is>
      </c>
      <c r="B2418" s="1" t="n">
        <v>44323</v>
      </c>
      <c r="C2418" s="1" t="n">
        <v>45761</v>
      </c>
      <c r="D2418" t="inlineStr">
        <is>
          <t>SÖDERMANLANDS LÄN</t>
        </is>
      </c>
      <c r="E2418" t="inlineStr">
        <is>
          <t>FLEN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22020-2021</t>
        </is>
      </c>
      <c r="B2419" s="1" t="n">
        <v>44323</v>
      </c>
      <c r="C2419" s="1" t="n">
        <v>45761</v>
      </c>
      <c r="D2419" t="inlineStr">
        <is>
          <t>SÖDERMANLANDS LÄN</t>
        </is>
      </c>
      <c r="E2419" t="inlineStr">
        <is>
          <t>FLEN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22486-2021</t>
        </is>
      </c>
      <c r="B2420" s="1" t="n">
        <v>44326</v>
      </c>
      <c r="C2420" s="1" t="n">
        <v>45761</v>
      </c>
      <c r="D2420" t="inlineStr">
        <is>
          <t>SÖDERMANLANDS LÄN</t>
        </is>
      </c>
      <c r="E2420" t="inlineStr">
        <is>
          <t>NYKÖPING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22922-2021</t>
        </is>
      </c>
      <c r="B2421" s="1" t="n">
        <v>44328</v>
      </c>
      <c r="C2421" s="1" t="n">
        <v>45761</v>
      </c>
      <c r="D2421" t="inlineStr">
        <is>
          <t>SÖDERMANLANDS LÄN</t>
        </is>
      </c>
      <c r="E2421" t="inlineStr">
        <is>
          <t>ESKILSTUNA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23004-2021</t>
        </is>
      </c>
      <c r="B2422" s="1" t="n">
        <v>44328</v>
      </c>
      <c r="C2422" s="1" t="n">
        <v>45761</v>
      </c>
      <c r="D2422" t="inlineStr">
        <is>
          <t>SÖDERMANLANDS LÄN</t>
        </is>
      </c>
      <c r="E2422" t="inlineStr">
        <is>
          <t>FLEN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23058-2021</t>
        </is>
      </c>
      <c r="B2423" s="1" t="n">
        <v>44329</v>
      </c>
      <c r="C2423" s="1" t="n">
        <v>45761</v>
      </c>
      <c r="D2423" t="inlineStr">
        <is>
          <t>SÖDERMANLANDS LÄN</t>
        </is>
      </c>
      <c r="E2423" t="inlineStr">
        <is>
          <t>ESKILSTUNA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23137-2021</t>
        </is>
      </c>
      <c r="B2424" s="1" t="n">
        <v>44331</v>
      </c>
      <c r="C2424" s="1" t="n">
        <v>45761</v>
      </c>
      <c r="D2424" t="inlineStr">
        <is>
          <t>SÖDERMANLANDS LÄN</t>
        </is>
      </c>
      <c r="E2424" t="inlineStr">
        <is>
          <t>STRÄNGNÄS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23346-2021</t>
        </is>
      </c>
      <c r="B2425" s="1" t="n">
        <v>44333</v>
      </c>
      <c r="C2425" s="1" t="n">
        <v>45761</v>
      </c>
      <c r="D2425" t="inlineStr">
        <is>
          <t>SÖDERMANLANDS LÄN</t>
        </is>
      </c>
      <c r="E2425" t="inlineStr">
        <is>
          <t>NYKÖPING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23371-2021</t>
        </is>
      </c>
      <c r="B2426" s="1" t="n">
        <v>44333</v>
      </c>
      <c r="C2426" s="1" t="n">
        <v>45761</v>
      </c>
      <c r="D2426" t="inlineStr">
        <is>
          <t>SÖDERMANLANDS LÄN</t>
        </is>
      </c>
      <c r="E2426" t="inlineStr">
        <is>
          <t>ESKILSTUNA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23600-2021</t>
        </is>
      </c>
      <c r="B2427" s="1" t="n">
        <v>44334</v>
      </c>
      <c r="C2427" s="1" t="n">
        <v>45761</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23638-2021</t>
        </is>
      </c>
      <c r="B2428" s="1" t="n">
        <v>44334</v>
      </c>
      <c r="C2428" s="1" t="n">
        <v>45761</v>
      </c>
      <c r="D2428" t="inlineStr">
        <is>
          <t>SÖDERMANLANDS LÄN</t>
        </is>
      </c>
      <c r="E2428" t="inlineStr">
        <is>
          <t>NYKÖPING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23725-2021</t>
        </is>
      </c>
      <c r="B2429" s="1" t="n">
        <v>44334</v>
      </c>
      <c r="C2429" s="1" t="n">
        <v>45761</v>
      </c>
      <c r="D2429" t="inlineStr">
        <is>
          <t>SÖDERMANLANDS LÄN</t>
        </is>
      </c>
      <c r="E2429" t="inlineStr">
        <is>
          <t>NYKÖPING</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23838-2021</t>
        </is>
      </c>
      <c r="B2430" s="1" t="n">
        <v>44335</v>
      </c>
      <c r="C2430" s="1" t="n">
        <v>45761</v>
      </c>
      <c r="D2430" t="inlineStr">
        <is>
          <t>SÖDERMANLANDS LÄN</t>
        </is>
      </c>
      <c r="E2430" t="inlineStr">
        <is>
          <t>KATRINEHOLM</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24113-2021</t>
        </is>
      </c>
      <c r="B2431" s="1" t="n">
        <v>44336</v>
      </c>
      <c r="C2431" s="1" t="n">
        <v>45761</v>
      </c>
      <c r="D2431" t="inlineStr">
        <is>
          <t>SÖDERMANLANDS LÄN</t>
        </is>
      </c>
      <c r="E2431" t="inlineStr">
        <is>
          <t>ESKILSTUNA</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30441-2021</t>
        </is>
      </c>
      <c r="B2432" s="1" t="n">
        <v>44336</v>
      </c>
      <c r="C2432" s="1" t="n">
        <v>45761</v>
      </c>
      <c r="D2432" t="inlineStr">
        <is>
          <t>SÖDERMANLANDS LÄN</t>
        </is>
      </c>
      <c r="E2432" t="inlineStr">
        <is>
          <t>NYKÖPING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24539-2021</t>
        </is>
      </c>
      <c r="B2433" s="1" t="n">
        <v>44339</v>
      </c>
      <c r="C2433" s="1" t="n">
        <v>45761</v>
      </c>
      <c r="D2433" t="inlineStr">
        <is>
          <t>SÖDERMANLANDS LÄN</t>
        </is>
      </c>
      <c r="E2433" t="inlineStr">
        <is>
          <t>NYKÖPING</t>
        </is>
      </c>
      <c r="F2433" t="inlineStr">
        <is>
          <t>Övriga Aktiebolag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24545-2021</t>
        </is>
      </c>
      <c r="B2434" s="1" t="n">
        <v>44339</v>
      </c>
      <c r="C2434" s="1" t="n">
        <v>45761</v>
      </c>
      <c r="D2434" t="inlineStr">
        <is>
          <t>SÖDERMANLANDS LÄN</t>
        </is>
      </c>
      <c r="E2434" t="inlineStr">
        <is>
          <t>NYKÖPING</t>
        </is>
      </c>
      <c r="F2434" t="inlineStr">
        <is>
          <t>Övriga Aktiebolag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25179-2021</t>
        </is>
      </c>
      <c r="B2435" s="1" t="n">
        <v>44342</v>
      </c>
      <c r="C2435" s="1" t="n">
        <v>45761</v>
      </c>
      <c r="D2435" t="inlineStr">
        <is>
          <t>SÖDERMANLANDS LÄN</t>
        </is>
      </c>
      <c r="E2435" t="inlineStr">
        <is>
          <t>GNESTA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25337-2021</t>
        </is>
      </c>
      <c r="B2436" s="1" t="n">
        <v>44342</v>
      </c>
      <c r="C2436" s="1" t="n">
        <v>45761</v>
      </c>
      <c r="D2436" t="inlineStr">
        <is>
          <t>SÖDERMANLANDS LÄN</t>
        </is>
      </c>
      <c r="E2436" t="inlineStr">
        <is>
          <t>KATRINEHOLM</t>
        </is>
      </c>
      <c r="F2436" t="inlineStr">
        <is>
          <t>Övriga Aktiebolag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26011-2021</t>
        </is>
      </c>
      <c r="B2437" s="1" t="n">
        <v>44344</v>
      </c>
      <c r="C2437" s="1" t="n">
        <v>45761</v>
      </c>
      <c r="D2437" t="inlineStr">
        <is>
          <t>SÖDERMANLANDS LÄN</t>
        </is>
      </c>
      <c r="E2437" t="inlineStr">
        <is>
          <t>FLEN</t>
        </is>
      </c>
      <c r="G2437" t="n">
        <v>12.4</v>
      </c>
      <c r="H2437" t="n">
        <v>0</v>
      </c>
      <c r="I2437" t="n">
        <v>0</v>
      </c>
      <c r="J2437" t="n">
        <v>0</v>
      </c>
      <c r="K2437" t="n">
        <v>0</v>
      </c>
      <c r="L2437" t="n">
        <v>0</v>
      </c>
      <c r="M2437" t="n">
        <v>0</v>
      </c>
      <c r="N2437" t="n">
        <v>0</v>
      </c>
      <c r="O2437" t="n">
        <v>0</v>
      </c>
      <c r="P2437" t="n">
        <v>0</v>
      </c>
      <c r="Q2437" t="n">
        <v>0</v>
      </c>
      <c r="R2437" s="2" t="inlineStr"/>
    </row>
    <row r="2438" ht="15" customHeight="1">
      <c r="A2438" t="inlineStr">
        <is>
          <t>A 26307-2021</t>
        </is>
      </c>
      <c r="B2438" s="1" t="n">
        <v>44347</v>
      </c>
      <c r="C2438" s="1" t="n">
        <v>45761</v>
      </c>
      <c r="D2438" t="inlineStr">
        <is>
          <t>SÖDERMANLANDS LÄN</t>
        </is>
      </c>
      <c r="E2438" t="inlineStr">
        <is>
          <t>GNESTA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26651-2021</t>
        </is>
      </c>
      <c r="B2439" s="1" t="n">
        <v>44348</v>
      </c>
      <c r="C2439" s="1" t="n">
        <v>45761</v>
      </c>
      <c r="D2439" t="inlineStr">
        <is>
          <t>SÖDERMANLANDS LÄN</t>
        </is>
      </c>
      <c r="E2439" t="inlineStr">
        <is>
          <t>NYKÖPING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26984-2021</t>
        </is>
      </c>
      <c r="B2440" s="1" t="n">
        <v>44349</v>
      </c>
      <c r="C2440" s="1" t="n">
        <v>45761</v>
      </c>
      <c r="D2440" t="inlineStr">
        <is>
          <t>SÖDERMANLANDS LÄN</t>
        </is>
      </c>
      <c r="E2440" t="inlineStr">
        <is>
          <t>NYKÖPING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26996-2021</t>
        </is>
      </c>
      <c r="B2441" s="1" t="n">
        <v>44350</v>
      </c>
      <c r="C2441" s="1" t="n">
        <v>45761</v>
      </c>
      <c r="D2441" t="inlineStr">
        <is>
          <t>SÖDERMANLANDS LÄN</t>
        </is>
      </c>
      <c r="E2441" t="inlineStr">
        <is>
          <t>ESKILSTUNA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27190-2021</t>
        </is>
      </c>
      <c r="B2442" s="1" t="n">
        <v>44350</v>
      </c>
      <c r="C2442" s="1" t="n">
        <v>45761</v>
      </c>
      <c r="D2442" t="inlineStr">
        <is>
          <t>SÖDERMANLANDS LÄN</t>
        </is>
      </c>
      <c r="E2442" t="inlineStr">
        <is>
          <t>FLEN</t>
        </is>
      </c>
      <c r="F2442" t="inlineStr">
        <is>
          <t>Kyrkan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27151-2021</t>
        </is>
      </c>
      <c r="B2443" s="1" t="n">
        <v>44350</v>
      </c>
      <c r="C2443" s="1" t="n">
        <v>45761</v>
      </c>
      <c r="D2443" t="inlineStr">
        <is>
          <t>SÖDERMANLANDS LÄN</t>
        </is>
      </c>
      <c r="E2443" t="inlineStr">
        <is>
          <t>NYKÖPING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27206-2021</t>
        </is>
      </c>
      <c r="B2444" s="1" t="n">
        <v>44350</v>
      </c>
      <c r="C2444" s="1" t="n">
        <v>45761</v>
      </c>
      <c r="D2444" t="inlineStr">
        <is>
          <t>SÖDERMANLANDS LÄN</t>
        </is>
      </c>
      <c r="E2444" t="inlineStr">
        <is>
          <t>GNESTA</t>
        </is>
      </c>
      <c r="G2444" t="n">
        <v>21.4</v>
      </c>
      <c r="H2444" t="n">
        <v>0</v>
      </c>
      <c r="I2444" t="n">
        <v>0</v>
      </c>
      <c r="J2444" t="n">
        <v>0</v>
      </c>
      <c r="K2444" t="n">
        <v>0</v>
      </c>
      <c r="L2444" t="n">
        <v>0</v>
      </c>
      <c r="M2444" t="n">
        <v>0</v>
      </c>
      <c r="N2444" t="n">
        <v>0</v>
      </c>
      <c r="O2444" t="n">
        <v>0</v>
      </c>
      <c r="P2444" t="n">
        <v>0</v>
      </c>
      <c r="Q2444" t="n">
        <v>0</v>
      </c>
      <c r="R2444" s="2" t="inlineStr"/>
    </row>
    <row r="2445" ht="15" customHeight="1">
      <c r="A2445" t="inlineStr">
        <is>
          <t>A 27184-2021</t>
        </is>
      </c>
      <c r="B2445" s="1" t="n">
        <v>44350</v>
      </c>
      <c r="C2445" s="1" t="n">
        <v>45761</v>
      </c>
      <c r="D2445" t="inlineStr">
        <is>
          <t>SÖDERMANLANDS LÄN</t>
        </is>
      </c>
      <c r="E2445" t="inlineStr">
        <is>
          <t>FLEN</t>
        </is>
      </c>
      <c r="F2445" t="inlineStr">
        <is>
          <t>Kyrkan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27298-2021</t>
        </is>
      </c>
      <c r="B2446" s="1" t="n">
        <v>44351</v>
      </c>
      <c r="C2446" s="1" t="n">
        <v>45761</v>
      </c>
      <c r="D2446" t="inlineStr">
        <is>
          <t>SÖDERMANLANDS LÄN</t>
        </is>
      </c>
      <c r="E2446" t="inlineStr">
        <is>
          <t>KATRINEHOLM</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27679-2021</t>
        </is>
      </c>
      <c r="B2447" s="1" t="n">
        <v>44354</v>
      </c>
      <c r="C2447" s="1" t="n">
        <v>45761</v>
      </c>
      <c r="D2447" t="inlineStr">
        <is>
          <t>SÖDERMANLANDS LÄN</t>
        </is>
      </c>
      <c r="E2447" t="inlineStr">
        <is>
          <t>STRÄNGNÄS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27689-2021</t>
        </is>
      </c>
      <c r="B2448" s="1" t="n">
        <v>44354</v>
      </c>
      <c r="C2448" s="1" t="n">
        <v>45761</v>
      </c>
      <c r="D2448" t="inlineStr">
        <is>
          <t>SÖDERMANLANDS LÄN</t>
        </is>
      </c>
      <c r="E2448" t="inlineStr">
        <is>
          <t>STRÄNGNÄS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27684-2021</t>
        </is>
      </c>
      <c r="B2449" s="1" t="n">
        <v>44354</v>
      </c>
      <c r="C2449" s="1" t="n">
        <v>45761</v>
      </c>
      <c r="D2449" t="inlineStr">
        <is>
          <t>SÖDERMANLANDS LÄN</t>
        </is>
      </c>
      <c r="E2449" t="inlineStr">
        <is>
          <t>STRÄNGNÄS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27934-2021</t>
        </is>
      </c>
      <c r="B2450" s="1" t="n">
        <v>44354</v>
      </c>
      <c r="C2450" s="1" t="n">
        <v>45761</v>
      </c>
      <c r="D2450" t="inlineStr">
        <is>
          <t>SÖDERMANLANDS LÄN</t>
        </is>
      </c>
      <c r="E2450" t="inlineStr">
        <is>
          <t>NYKÖPING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28039-2021</t>
        </is>
      </c>
      <c r="B2451" s="1" t="n">
        <v>44355</v>
      </c>
      <c r="C2451" s="1" t="n">
        <v>45761</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28046-2021</t>
        </is>
      </c>
      <c r="B2452" s="1" t="n">
        <v>44355</v>
      </c>
      <c r="C2452" s="1" t="n">
        <v>45761</v>
      </c>
      <c r="D2452" t="inlineStr">
        <is>
          <t>SÖDERMANLANDS LÄN</t>
        </is>
      </c>
      <c r="E2452" t="inlineStr">
        <is>
          <t>ESKILSTUNA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29002-2021</t>
        </is>
      </c>
      <c r="B2453" s="1" t="n">
        <v>44358</v>
      </c>
      <c r="C2453" s="1" t="n">
        <v>45761</v>
      </c>
      <c r="D2453" t="inlineStr">
        <is>
          <t>SÖDERMANLANDS LÄN</t>
        </is>
      </c>
      <c r="E2453" t="inlineStr">
        <is>
          <t>FLEN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28984-2021</t>
        </is>
      </c>
      <c r="B2454" s="1" t="n">
        <v>44358</v>
      </c>
      <c r="C2454" s="1" t="n">
        <v>45761</v>
      </c>
      <c r="D2454" t="inlineStr">
        <is>
          <t>SÖDERMANLANDS LÄN</t>
        </is>
      </c>
      <c r="E2454" t="inlineStr">
        <is>
          <t>STRÄNGNÄS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29052-2021</t>
        </is>
      </c>
      <c r="B2455" s="1" t="n">
        <v>44358</v>
      </c>
      <c r="C2455" s="1" t="n">
        <v>45761</v>
      </c>
      <c r="D2455" t="inlineStr">
        <is>
          <t>SÖDERMANLANDS LÄN</t>
        </is>
      </c>
      <c r="E2455" t="inlineStr">
        <is>
          <t>NYKÖPING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29166-2021</t>
        </is>
      </c>
      <c r="B2456" s="1" t="n">
        <v>44358</v>
      </c>
      <c r="C2456" s="1" t="n">
        <v>45761</v>
      </c>
      <c r="D2456" t="inlineStr">
        <is>
          <t>SÖDERMANLANDS LÄN</t>
        </is>
      </c>
      <c r="E2456" t="inlineStr">
        <is>
          <t>VINGÅKER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29170-2021</t>
        </is>
      </c>
      <c r="B2457" s="1" t="n">
        <v>44358</v>
      </c>
      <c r="C2457" s="1" t="n">
        <v>45761</v>
      </c>
      <c r="D2457" t="inlineStr">
        <is>
          <t>SÖDERMANLANDS LÄN</t>
        </is>
      </c>
      <c r="E2457" t="inlineStr">
        <is>
          <t>VINGÅKER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29152-2021</t>
        </is>
      </c>
      <c r="B2458" s="1" t="n">
        <v>44358</v>
      </c>
      <c r="C2458" s="1" t="n">
        <v>45761</v>
      </c>
      <c r="D2458" t="inlineStr">
        <is>
          <t>SÖDERMANLANDS LÄN</t>
        </is>
      </c>
      <c r="E2458" t="inlineStr">
        <is>
          <t>VINGÅKER</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29172-2021</t>
        </is>
      </c>
      <c r="B2459" s="1" t="n">
        <v>44358</v>
      </c>
      <c r="C2459" s="1" t="n">
        <v>45761</v>
      </c>
      <c r="D2459" t="inlineStr">
        <is>
          <t>SÖDERMANLANDS LÄN</t>
        </is>
      </c>
      <c r="E2459" t="inlineStr">
        <is>
          <t>VINGÅKER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29234-2021</t>
        </is>
      </c>
      <c r="B2460" s="1" t="n">
        <v>44360</v>
      </c>
      <c r="C2460" s="1" t="n">
        <v>45761</v>
      </c>
      <c r="D2460" t="inlineStr">
        <is>
          <t>SÖDERMANLANDS LÄN</t>
        </is>
      </c>
      <c r="E2460" t="inlineStr">
        <is>
          <t>FLEN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29239-2021</t>
        </is>
      </c>
      <c r="B2461" s="1" t="n">
        <v>44360</v>
      </c>
      <c r="C2461" s="1" t="n">
        <v>45761</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29236-2021</t>
        </is>
      </c>
      <c r="B2462" s="1" t="n">
        <v>44360</v>
      </c>
      <c r="C2462" s="1" t="n">
        <v>45761</v>
      </c>
      <c r="D2462" t="inlineStr">
        <is>
          <t>SÖDERMANLANDS LÄN</t>
        </is>
      </c>
      <c r="E2462" t="inlineStr">
        <is>
          <t>FLEN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29233-2021</t>
        </is>
      </c>
      <c r="B2463" s="1" t="n">
        <v>44360</v>
      </c>
      <c r="C2463" s="1" t="n">
        <v>45761</v>
      </c>
      <c r="D2463" t="inlineStr">
        <is>
          <t>SÖDERMANLANDS LÄN</t>
        </is>
      </c>
      <c r="E2463" t="inlineStr">
        <is>
          <t>FLEN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29264-2021</t>
        </is>
      </c>
      <c r="B2464" s="1" t="n">
        <v>44361</v>
      </c>
      <c r="C2464" s="1" t="n">
        <v>45761</v>
      </c>
      <c r="D2464" t="inlineStr">
        <is>
          <t>SÖDERMANLANDS LÄN</t>
        </is>
      </c>
      <c r="E2464" t="inlineStr">
        <is>
          <t>KATRINEHOLM</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29665-2021</t>
        </is>
      </c>
      <c r="B2465" s="1" t="n">
        <v>44362</v>
      </c>
      <c r="C2465" s="1" t="n">
        <v>45761</v>
      </c>
      <c r="D2465" t="inlineStr">
        <is>
          <t>SÖDERMANLANDS LÄN</t>
        </is>
      </c>
      <c r="E2465" t="inlineStr">
        <is>
          <t>KATRINEHOLM</t>
        </is>
      </c>
      <c r="G2465" t="n">
        <v>14.3</v>
      </c>
      <c r="H2465" t="n">
        <v>0</v>
      </c>
      <c r="I2465" t="n">
        <v>0</v>
      </c>
      <c r="J2465" t="n">
        <v>0</v>
      </c>
      <c r="K2465" t="n">
        <v>0</v>
      </c>
      <c r="L2465" t="n">
        <v>0</v>
      </c>
      <c r="M2465" t="n">
        <v>0</v>
      </c>
      <c r="N2465" t="n">
        <v>0</v>
      </c>
      <c r="O2465" t="n">
        <v>0</v>
      </c>
      <c r="P2465" t="n">
        <v>0</v>
      </c>
      <c r="Q2465" t="n">
        <v>0</v>
      </c>
      <c r="R2465" s="2" t="inlineStr"/>
    </row>
    <row r="2466" ht="15" customHeight="1">
      <c r="A2466" t="inlineStr">
        <is>
          <t>A 29762-2021</t>
        </is>
      </c>
      <c r="B2466" s="1" t="n">
        <v>44362</v>
      </c>
      <c r="C2466" s="1" t="n">
        <v>45761</v>
      </c>
      <c r="D2466" t="inlineStr">
        <is>
          <t>SÖDERMANLANDS LÄN</t>
        </is>
      </c>
      <c r="E2466" t="inlineStr">
        <is>
          <t>ESKILSTUNA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29745-2021</t>
        </is>
      </c>
      <c r="B2467" s="1" t="n">
        <v>44362</v>
      </c>
      <c r="C2467" s="1" t="n">
        <v>45761</v>
      </c>
      <c r="D2467" t="inlineStr">
        <is>
          <t>SÖDERMANLANDS LÄN</t>
        </is>
      </c>
      <c r="E2467" t="inlineStr">
        <is>
          <t>ESKILSTUNA</t>
        </is>
      </c>
      <c r="F2467" t="inlineStr">
        <is>
          <t>Kyrkan</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29662-2021</t>
        </is>
      </c>
      <c r="B2468" s="1" t="n">
        <v>44362</v>
      </c>
      <c r="C2468" s="1" t="n">
        <v>45761</v>
      </c>
      <c r="D2468" t="inlineStr">
        <is>
          <t>SÖDERMANLANDS LÄN</t>
        </is>
      </c>
      <c r="E2468" t="inlineStr">
        <is>
          <t>KATRINEHOLM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29702-2021</t>
        </is>
      </c>
      <c r="B2469" s="1" t="n">
        <v>44362</v>
      </c>
      <c r="C2469" s="1" t="n">
        <v>45761</v>
      </c>
      <c r="D2469" t="inlineStr">
        <is>
          <t>SÖDERMANLANDS LÄN</t>
        </is>
      </c>
      <c r="E2469" t="inlineStr">
        <is>
          <t>KATRINEHOLM</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29891-2021</t>
        </is>
      </c>
      <c r="B2470" s="1" t="n">
        <v>44362</v>
      </c>
      <c r="C2470" s="1" t="n">
        <v>45761</v>
      </c>
      <c r="D2470" t="inlineStr">
        <is>
          <t>SÖDERMANLANDS LÄN</t>
        </is>
      </c>
      <c r="E2470" t="inlineStr">
        <is>
          <t>NYKÖPING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29893-2021</t>
        </is>
      </c>
      <c r="B2471" s="1" t="n">
        <v>44362</v>
      </c>
      <c r="C2471" s="1" t="n">
        <v>45761</v>
      </c>
      <c r="D2471" t="inlineStr">
        <is>
          <t>SÖDERMANLANDS LÄN</t>
        </is>
      </c>
      <c r="E2471" t="inlineStr">
        <is>
          <t>NYKÖPING</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29966-2021</t>
        </is>
      </c>
      <c r="B2472" s="1" t="n">
        <v>44363</v>
      </c>
      <c r="C2472" s="1" t="n">
        <v>45761</v>
      </c>
      <c r="D2472" t="inlineStr">
        <is>
          <t>SÖDERMANLANDS LÄN</t>
        </is>
      </c>
      <c r="E2472" t="inlineStr">
        <is>
          <t>NYKÖPING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30003-2021</t>
        </is>
      </c>
      <c r="B2473" s="1" t="n">
        <v>44363</v>
      </c>
      <c r="C2473" s="1" t="n">
        <v>45761</v>
      </c>
      <c r="D2473" t="inlineStr">
        <is>
          <t>SÖDERMANLANDS LÄN</t>
        </is>
      </c>
      <c r="E2473" t="inlineStr">
        <is>
          <t>NYKÖPING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30063-2021</t>
        </is>
      </c>
      <c r="B2474" s="1" t="n">
        <v>44363</v>
      </c>
      <c r="C2474" s="1" t="n">
        <v>45761</v>
      </c>
      <c r="D2474" t="inlineStr">
        <is>
          <t>SÖDERMANLANDS LÄN</t>
        </is>
      </c>
      <c r="E2474" t="inlineStr">
        <is>
          <t>STRÄNGNÄS</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29970-2021</t>
        </is>
      </c>
      <c r="B2475" s="1" t="n">
        <v>44363</v>
      </c>
      <c r="C2475" s="1" t="n">
        <v>45761</v>
      </c>
      <c r="D2475" t="inlineStr">
        <is>
          <t>SÖDERMANLANDS LÄN</t>
        </is>
      </c>
      <c r="E2475" t="inlineStr">
        <is>
          <t>STRÄNGNÄS</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30171-2021</t>
        </is>
      </c>
      <c r="B2476" s="1" t="n">
        <v>44363</v>
      </c>
      <c r="C2476" s="1" t="n">
        <v>45761</v>
      </c>
      <c r="D2476" t="inlineStr">
        <is>
          <t>SÖDERMANLANDS LÄN</t>
        </is>
      </c>
      <c r="E2476" t="inlineStr">
        <is>
          <t>NYKÖPING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30394-2021</t>
        </is>
      </c>
      <c r="B2477" s="1" t="n">
        <v>44364</v>
      </c>
      <c r="C2477" s="1" t="n">
        <v>45761</v>
      </c>
      <c r="D2477" t="inlineStr">
        <is>
          <t>SÖDERMANLANDS LÄN</t>
        </is>
      </c>
      <c r="E2477" t="inlineStr">
        <is>
          <t>NYKÖPING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30415-2021</t>
        </is>
      </c>
      <c r="B2478" s="1" t="n">
        <v>44364</v>
      </c>
      <c r="C2478" s="1" t="n">
        <v>45761</v>
      </c>
      <c r="D2478" t="inlineStr">
        <is>
          <t>SÖDERMANLANDS LÄN</t>
        </is>
      </c>
      <c r="E2478" t="inlineStr">
        <is>
          <t>NYKÖPING</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30397-2021</t>
        </is>
      </c>
      <c r="B2479" s="1" t="n">
        <v>44364</v>
      </c>
      <c r="C2479" s="1" t="n">
        <v>45761</v>
      </c>
      <c r="D2479" t="inlineStr">
        <is>
          <t>SÖDERMANLANDS LÄN</t>
        </is>
      </c>
      <c r="E2479" t="inlineStr">
        <is>
          <t>NYKÖPING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30423-2021</t>
        </is>
      </c>
      <c r="B2480" s="1" t="n">
        <v>44364</v>
      </c>
      <c r="C2480" s="1" t="n">
        <v>45761</v>
      </c>
      <c r="D2480" t="inlineStr">
        <is>
          <t>SÖDERMANLANDS LÄN</t>
        </is>
      </c>
      <c r="E2480" t="inlineStr">
        <is>
          <t>NYKÖPING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30509-2021</t>
        </is>
      </c>
      <c r="B2481" s="1" t="n">
        <v>44364</v>
      </c>
      <c r="C2481" s="1" t="n">
        <v>45761</v>
      </c>
      <c r="D2481" t="inlineStr">
        <is>
          <t>SÖDERMANLANDS LÄN</t>
        </is>
      </c>
      <c r="E2481" t="inlineStr">
        <is>
          <t>NYKÖPING</t>
        </is>
      </c>
      <c r="G2481" t="n">
        <v>16.7</v>
      </c>
      <c r="H2481" t="n">
        <v>0</v>
      </c>
      <c r="I2481" t="n">
        <v>0</v>
      </c>
      <c r="J2481" t="n">
        <v>0</v>
      </c>
      <c r="K2481" t="n">
        <v>0</v>
      </c>
      <c r="L2481" t="n">
        <v>0</v>
      </c>
      <c r="M2481" t="n">
        <v>0</v>
      </c>
      <c r="N2481" t="n">
        <v>0</v>
      </c>
      <c r="O2481" t="n">
        <v>0</v>
      </c>
      <c r="P2481" t="n">
        <v>0</v>
      </c>
      <c r="Q2481" t="n">
        <v>0</v>
      </c>
      <c r="R2481" s="2" t="inlineStr"/>
    </row>
    <row r="2482" ht="15" customHeight="1">
      <c r="A2482" t="inlineStr">
        <is>
          <t>A 30570-2021</t>
        </is>
      </c>
      <c r="B2482" s="1" t="n">
        <v>44364</v>
      </c>
      <c r="C2482" s="1" t="n">
        <v>45761</v>
      </c>
      <c r="D2482" t="inlineStr">
        <is>
          <t>SÖDERMANLANDS LÄN</t>
        </is>
      </c>
      <c r="E2482" t="inlineStr">
        <is>
          <t>NYKÖPING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30847-2021</t>
        </is>
      </c>
      <c r="B2483" s="1" t="n">
        <v>44365</v>
      </c>
      <c r="C2483" s="1" t="n">
        <v>45761</v>
      </c>
      <c r="D2483" t="inlineStr">
        <is>
          <t>SÖDERMANLANDS LÄN</t>
        </is>
      </c>
      <c r="E2483" t="inlineStr">
        <is>
          <t>FLEN</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30830-2021</t>
        </is>
      </c>
      <c r="B2484" s="1" t="n">
        <v>44365</v>
      </c>
      <c r="C2484" s="1" t="n">
        <v>45761</v>
      </c>
      <c r="D2484" t="inlineStr">
        <is>
          <t>SÖDERMANLANDS LÄN</t>
        </is>
      </c>
      <c r="E2484" t="inlineStr">
        <is>
          <t>FLEN</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31131-2021</t>
        </is>
      </c>
      <c r="B2485" s="1" t="n">
        <v>44365</v>
      </c>
      <c r="C2485" s="1" t="n">
        <v>45761</v>
      </c>
      <c r="D2485" t="inlineStr">
        <is>
          <t>SÖDERMANLANDS LÄN</t>
        </is>
      </c>
      <c r="E2485" t="inlineStr">
        <is>
          <t>FLEN</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31297-2021</t>
        </is>
      </c>
      <c r="B2486" s="1" t="n">
        <v>44368</v>
      </c>
      <c r="C2486" s="1" t="n">
        <v>45761</v>
      </c>
      <c r="D2486" t="inlineStr">
        <is>
          <t>SÖDERMANLANDS LÄN</t>
        </is>
      </c>
      <c r="E2486" t="inlineStr">
        <is>
          <t>VINGÅKER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31298-2021</t>
        </is>
      </c>
      <c r="B2487" s="1" t="n">
        <v>44368</v>
      </c>
      <c r="C2487" s="1" t="n">
        <v>45761</v>
      </c>
      <c r="D2487" t="inlineStr">
        <is>
          <t>SÖDERMANLANDS LÄN</t>
        </is>
      </c>
      <c r="E2487" t="inlineStr">
        <is>
          <t>VINGÅKER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31312-2021</t>
        </is>
      </c>
      <c r="B2488" s="1" t="n">
        <v>44368</v>
      </c>
      <c r="C2488" s="1" t="n">
        <v>45761</v>
      </c>
      <c r="D2488" t="inlineStr">
        <is>
          <t>SÖDERMANLANDS LÄN</t>
        </is>
      </c>
      <c r="E2488" t="inlineStr">
        <is>
          <t>VINGÅKER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31684-2021</t>
        </is>
      </c>
      <c r="B2489" s="1" t="n">
        <v>44369</v>
      </c>
      <c r="C2489" s="1" t="n">
        <v>45761</v>
      </c>
      <c r="D2489" t="inlineStr">
        <is>
          <t>SÖDERMANLANDS LÄN</t>
        </is>
      </c>
      <c r="E2489" t="inlineStr">
        <is>
          <t>KATRINEHOLM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31772-2021</t>
        </is>
      </c>
      <c r="B2490" s="1" t="n">
        <v>44369</v>
      </c>
      <c r="C2490" s="1" t="n">
        <v>45761</v>
      </c>
      <c r="D2490" t="inlineStr">
        <is>
          <t>SÖDERMANLANDS LÄN</t>
        </is>
      </c>
      <c r="E2490" t="inlineStr">
        <is>
          <t>STRÄNGNÄS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31836-2021</t>
        </is>
      </c>
      <c r="B2491" s="1" t="n">
        <v>44370</v>
      </c>
      <c r="C2491" s="1" t="n">
        <v>45761</v>
      </c>
      <c r="D2491" t="inlineStr">
        <is>
          <t>SÖDERMANLANDS LÄN</t>
        </is>
      </c>
      <c r="E2491" t="inlineStr">
        <is>
          <t>KATRINEHOLM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31846-2021</t>
        </is>
      </c>
      <c r="B2492" s="1" t="n">
        <v>44370</v>
      </c>
      <c r="C2492" s="1" t="n">
        <v>45761</v>
      </c>
      <c r="D2492" t="inlineStr">
        <is>
          <t>SÖDERMANLANDS LÄN</t>
        </is>
      </c>
      <c r="E2492" t="inlineStr">
        <is>
          <t>KATRINEHOLM</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31878-2021</t>
        </is>
      </c>
      <c r="B2493" s="1" t="n">
        <v>44370</v>
      </c>
      <c r="C2493" s="1" t="n">
        <v>45761</v>
      </c>
      <c r="D2493" t="inlineStr">
        <is>
          <t>SÖDERMANLANDS LÄN</t>
        </is>
      </c>
      <c r="E2493" t="inlineStr">
        <is>
          <t>KATRINEHOLM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32056-2021</t>
        </is>
      </c>
      <c r="B2494" s="1" t="n">
        <v>44370</v>
      </c>
      <c r="C2494" s="1" t="n">
        <v>45761</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32313-2021</t>
        </is>
      </c>
      <c r="B2495" s="1" t="n">
        <v>44371</v>
      </c>
      <c r="C2495" s="1" t="n">
        <v>45761</v>
      </c>
      <c r="D2495" t="inlineStr">
        <is>
          <t>SÖDERMANLANDS LÄN</t>
        </is>
      </c>
      <c r="E2495" t="inlineStr">
        <is>
          <t>NYKÖPING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32416-2021</t>
        </is>
      </c>
      <c r="B2496" s="1" t="n">
        <v>44371</v>
      </c>
      <c r="C2496" s="1" t="n">
        <v>45761</v>
      </c>
      <c r="D2496" t="inlineStr">
        <is>
          <t>SÖDERMANLANDS LÄN</t>
        </is>
      </c>
      <c r="E2496" t="inlineStr">
        <is>
          <t>FLEN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32733-2021</t>
        </is>
      </c>
      <c r="B2497" s="1" t="n">
        <v>44375</v>
      </c>
      <c r="C2497" s="1" t="n">
        <v>45761</v>
      </c>
      <c r="D2497" t="inlineStr">
        <is>
          <t>SÖDERMANLANDS LÄN</t>
        </is>
      </c>
      <c r="E2497" t="inlineStr">
        <is>
          <t>KATRINEHOLM</t>
        </is>
      </c>
      <c r="G2497" t="n">
        <v>9</v>
      </c>
      <c r="H2497" t="n">
        <v>0</v>
      </c>
      <c r="I2497" t="n">
        <v>0</v>
      </c>
      <c r="J2497" t="n">
        <v>0</v>
      </c>
      <c r="K2497" t="n">
        <v>0</v>
      </c>
      <c r="L2497" t="n">
        <v>0</v>
      </c>
      <c r="M2497" t="n">
        <v>0</v>
      </c>
      <c r="N2497" t="n">
        <v>0</v>
      </c>
      <c r="O2497" t="n">
        <v>0</v>
      </c>
      <c r="P2497" t="n">
        <v>0</v>
      </c>
      <c r="Q2497" t="n">
        <v>0</v>
      </c>
      <c r="R2497" s="2" t="inlineStr"/>
      <c r="U2497">
        <f>HYPERLINK("https://klasma.github.io/Logging_0483/knärot/A 32733-2021 karta knärot.png", "A 32733-2021")</f>
        <v/>
      </c>
      <c r="V2497">
        <f>HYPERLINK("https://klasma.github.io/Logging_0483/klagomål/A 32733-2021 FSC-klagomål.docx", "A 32733-2021")</f>
        <v/>
      </c>
      <c r="W2497">
        <f>HYPERLINK("https://klasma.github.io/Logging_0483/klagomålsmail/A 32733-2021 FSC-klagomål mail.docx", "A 32733-2021")</f>
        <v/>
      </c>
      <c r="X2497">
        <f>HYPERLINK("https://klasma.github.io/Logging_0483/tillsyn/A 32733-2021 tillsynsbegäran.docx", "A 32733-2021")</f>
        <v/>
      </c>
      <c r="Y2497">
        <f>HYPERLINK("https://klasma.github.io/Logging_0483/tillsynsmail/A 32733-2021 tillsynsbegäran mail.docx", "A 32733-2021")</f>
        <v/>
      </c>
    </row>
    <row r="2498" ht="15" customHeight="1">
      <c r="A2498" t="inlineStr">
        <is>
          <t>A 32551-2021</t>
        </is>
      </c>
      <c r="B2498" s="1" t="n">
        <v>44375</v>
      </c>
      <c r="C2498" s="1" t="n">
        <v>45761</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33312-2021</t>
        </is>
      </c>
      <c r="B2499" s="1" t="n">
        <v>44377</v>
      </c>
      <c r="C2499" s="1" t="n">
        <v>45761</v>
      </c>
      <c r="D2499" t="inlineStr">
        <is>
          <t>SÖDERMANLANDS LÄN</t>
        </is>
      </c>
      <c r="E2499" t="inlineStr">
        <is>
          <t>STRÄNGNÄS</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33314-2021</t>
        </is>
      </c>
      <c r="B2500" s="1" t="n">
        <v>44377</v>
      </c>
      <c r="C2500" s="1" t="n">
        <v>45761</v>
      </c>
      <c r="D2500" t="inlineStr">
        <is>
          <t>SÖDERMANLANDS LÄN</t>
        </is>
      </c>
      <c r="E2500" t="inlineStr">
        <is>
          <t>STRÄNGNÄS</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33321-2021</t>
        </is>
      </c>
      <c r="B2501" s="1" t="n">
        <v>44377</v>
      </c>
      <c r="C2501" s="1" t="n">
        <v>45761</v>
      </c>
      <c r="D2501" t="inlineStr">
        <is>
          <t>SÖDERMANLANDS LÄN</t>
        </is>
      </c>
      <c r="E2501" t="inlineStr">
        <is>
          <t>STRÄNGNÄS</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33307-2021</t>
        </is>
      </c>
      <c r="B2502" s="1" t="n">
        <v>44377</v>
      </c>
      <c r="C2502" s="1" t="n">
        <v>45761</v>
      </c>
      <c r="D2502" t="inlineStr">
        <is>
          <t>SÖDERMANLANDS LÄN</t>
        </is>
      </c>
      <c r="E2502" t="inlineStr">
        <is>
          <t>STRÄNGNÄS</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33752-2021</t>
        </is>
      </c>
      <c r="B2503" s="1" t="n">
        <v>44378</v>
      </c>
      <c r="C2503" s="1" t="n">
        <v>45761</v>
      </c>
      <c r="D2503" t="inlineStr">
        <is>
          <t>SÖDERMANLANDS LÄN</t>
        </is>
      </c>
      <c r="E2503" t="inlineStr">
        <is>
          <t>STRÄNGNÄS</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33949-2021</t>
        </is>
      </c>
      <c r="B2504" s="1" t="n">
        <v>44378</v>
      </c>
      <c r="C2504" s="1" t="n">
        <v>45761</v>
      </c>
      <c r="D2504" t="inlineStr">
        <is>
          <t>SÖDERMANLANDS LÄN</t>
        </is>
      </c>
      <c r="E2504" t="inlineStr">
        <is>
          <t>KATRINEHOLM</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34088-2021</t>
        </is>
      </c>
      <c r="B2505" s="1" t="n">
        <v>44378</v>
      </c>
      <c r="C2505" s="1" t="n">
        <v>45761</v>
      </c>
      <c r="D2505" t="inlineStr">
        <is>
          <t>SÖDERMANLANDS LÄN</t>
        </is>
      </c>
      <c r="E2505" t="inlineStr">
        <is>
          <t>FLEN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34003-2021</t>
        </is>
      </c>
      <c r="B2506" s="1" t="n">
        <v>44378</v>
      </c>
      <c r="C2506" s="1" t="n">
        <v>45761</v>
      </c>
      <c r="D2506" t="inlineStr">
        <is>
          <t>SÖDERMANLANDS LÄN</t>
        </is>
      </c>
      <c r="E2506" t="inlineStr">
        <is>
          <t>FLEN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34055-2021</t>
        </is>
      </c>
      <c r="B2507" s="1" t="n">
        <v>44379</v>
      </c>
      <c r="C2507" s="1" t="n">
        <v>45761</v>
      </c>
      <c r="D2507" t="inlineStr">
        <is>
          <t>SÖDERMANLANDS LÄN</t>
        </is>
      </c>
      <c r="E2507" t="inlineStr">
        <is>
          <t>ESKILSTUNA</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34675-2021</t>
        </is>
      </c>
      <c r="B2508" s="1" t="n">
        <v>44379</v>
      </c>
      <c r="C2508" s="1" t="n">
        <v>45761</v>
      </c>
      <c r="D2508" t="inlineStr">
        <is>
          <t>SÖDERMANLANDS LÄN</t>
        </is>
      </c>
      <c r="E2508" t="inlineStr">
        <is>
          <t>FLEN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34619-2021</t>
        </is>
      </c>
      <c r="B2509" s="1" t="n">
        <v>44379</v>
      </c>
      <c r="C2509" s="1" t="n">
        <v>45761</v>
      </c>
      <c r="D2509" t="inlineStr">
        <is>
          <t>SÖDERMANLANDS LÄN</t>
        </is>
      </c>
      <c r="E2509" t="inlineStr">
        <is>
          <t>NYKÖPING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34448-2021</t>
        </is>
      </c>
      <c r="B2510" s="1" t="n">
        <v>44381</v>
      </c>
      <c r="C2510" s="1" t="n">
        <v>45761</v>
      </c>
      <c r="D2510" t="inlineStr">
        <is>
          <t>SÖDERMANLANDS LÄN</t>
        </is>
      </c>
      <c r="E2510" t="inlineStr">
        <is>
          <t>FLEN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34447-2021</t>
        </is>
      </c>
      <c r="B2511" s="1" t="n">
        <v>44381</v>
      </c>
      <c r="C2511" s="1" t="n">
        <v>45761</v>
      </c>
      <c r="D2511" t="inlineStr">
        <is>
          <t>SÖDERMANLANDS LÄN</t>
        </is>
      </c>
      <c r="E2511" t="inlineStr">
        <is>
          <t>FLEN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34632-2021</t>
        </is>
      </c>
      <c r="B2512" s="1" t="n">
        <v>44382</v>
      </c>
      <c r="C2512" s="1" t="n">
        <v>45761</v>
      </c>
      <c r="D2512" t="inlineStr">
        <is>
          <t>SÖDERMANLANDS LÄN</t>
        </is>
      </c>
      <c r="E2512" t="inlineStr">
        <is>
          <t>NYKÖPING</t>
        </is>
      </c>
      <c r="F2512" t="inlineStr">
        <is>
          <t>Övriga Aktiebolag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34753-2021</t>
        </is>
      </c>
      <c r="B2513" s="1" t="n">
        <v>44382</v>
      </c>
      <c r="C2513" s="1" t="n">
        <v>45761</v>
      </c>
      <c r="D2513" t="inlineStr">
        <is>
          <t>SÖDERMANLANDS LÄN</t>
        </is>
      </c>
      <c r="E2513" t="inlineStr">
        <is>
          <t>NYKÖPING</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34915-2021</t>
        </is>
      </c>
      <c r="B2514" s="1" t="n">
        <v>44382</v>
      </c>
      <c r="C2514" s="1" t="n">
        <v>45761</v>
      </c>
      <c r="D2514" t="inlineStr">
        <is>
          <t>SÖDERMANLANDS LÄN</t>
        </is>
      </c>
      <c r="E2514" t="inlineStr">
        <is>
          <t>ESKILSTUNA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34794-2021</t>
        </is>
      </c>
      <c r="B2515" s="1" t="n">
        <v>44383</v>
      </c>
      <c r="C2515" s="1" t="n">
        <v>45761</v>
      </c>
      <c r="D2515" t="inlineStr">
        <is>
          <t>SÖDERMANLANDS LÄN</t>
        </is>
      </c>
      <c r="E2515" t="inlineStr">
        <is>
          <t>KATRINEHOLM</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34841-2021</t>
        </is>
      </c>
      <c r="B2516" s="1" t="n">
        <v>44383</v>
      </c>
      <c r="C2516" s="1" t="n">
        <v>45761</v>
      </c>
      <c r="D2516" t="inlineStr">
        <is>
          <t>SÖDERMANLANDS LÄN</t>
        </is>
      </c>
      <c r="E2516" t="inlineStr">
        <is>
          <t>NYKÖPING</t>
        </is>
      </c>
      <c r="F2516" t="inlineStr">
        <is>
          <t>Holmen skog AB</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35250-2021</t>
        </is>
      </c>
      <c r="B2517" s="1" t="n">
        <v>44384</v>
      </c>
      <c r="C2517" s="1" t="n">
        <v>45761</v>
      </c>
      <c r="D2517" t="inlineStr">
        <is>
          <t>SÖDERMANLANDS LÄN</t>
        </is>
      </c>
      <c r="E2517" t="inlineStr">
        <is>
          <t>FLEN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35257-2021</t>
        </is>
      </c>
      <c r="B2518" s="1" t="n">
        <v>44384</v>
      </c>
      <c r="C2518" s="1" t="n">
        <v>45761</v>
      </c>
      <c r="D2518" t="inlineStr">
        <is>
          <t>SÖDERMANLANDS LÄN</t>
        </is>
      </c>
      <c r="E2518" t="inlineStr">
        <is>
          <t>FLEN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35192-2021</t>
        </is>
      </c>
      <c r="B2519" s="1" t="n">
        <v>44384</v>
      </c>
      <c r="C2519" s="1" t="n">
        <v>45761</v>
      </c>
      <c r="D2519" t="inlineStr">
        <is>
          <t>SÖDERMANLANDS LÄN</t>
        </is>
      </c>
      <c r="E2519" t="inlineStr">
        <is>
          <t>NYKÖPING</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35367-2021</t>
        </is>
      </c>
      <c r="B2520" s="1" t="n">
        <v>44384</v>
      </c>
      <c r="C2520" s="1" t="n">
        <v>45761</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35368-2021</t>
        </is>
      </c>
      <c r="B2521" s="1" t="n">
        <v>44384</v>
      </c>
      <c r="C2521" s="1" t="n">
        <v>45761</v>
      </c>
      <c r="D2521" t="inlineStr">
        <is>
          <t>SÖDERMANLANDS LÄN</t>
        </is>
      </c>
      <c r="E2521" t="inlineStr">
        <is>
          <t>STRÄNGNÄS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35649-2021</t>
        </is>
      </c>
      <c r="B2522" s="1" t="n">
        <v>44384</v>
      </c>
      <c r="C2522" s="1" t="n">
        <v>45761</v>
      </c>
      <c r="D2522" t="inlineStr">
        <is>
          <t>SÖDERMANLANDS LÄN</t>
        </is>
      </c>
      <c r="E2522" t="inlineStr">
        <is>
          <t>FLEN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35369-2021</t>
        </is>
      </c>
      <c r="B2523" s="1" t="n">
        <v>44385</v>
      </c>
      <c r="C2523" s="1" t="n">
        <v>45761</v>
      </c>
      <c r="D2523" t="inlineStr">
        <is>
          <t>SÖDERMANLANDS LÄN</t>
        </is>
      </c>
      <c r="E2523" t="inlineStr">
        <is>
          <t>STRÄNGNÄS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35714-2021</t>
        </is>
      </c>
      <c r="B2524" s="1" t="n">
        <v>44386</v>
      </c>
      <c r="C2524" s="1" t="n">
        <v>45761</v>
      </c>
      <c r="D2524" t="inlineStr">
        <is>
          <t>SÖDERMANLANDS LÄN</t>
        </is>
      </c>
      <c r="E2524" t="inlineStr">
        <is>
          <t>FLEN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36133-2021</t>
        </is>
      </c>
      <c r="B2525" s="1" t="n">
        <v>44386</v>
      </c>
      <c r="C2525" s="1" t="n">
        <v>45761</v>
      </c>
      <c r="D2525" t="inlineStr">
        <is>
          <t>SÖDERMANLANDS LÄN</t>
        </is>
      </c>
      <c r="E2525" t="inlineStr">
        <is>
          <t>KATRINEHOLM</t>
        </is>
      </c>
      <c r="F2525" t="inlineStr">
        <is>
          <t>Övriga Aktiebolag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35893-2021</t>
        </is>
      </c>
      <c r="B2526" s="1" t="n">
        <v>44387</v>
      </c>
      <c r="C2526" s="1" t="n">
        <v>45761</v>
      </c>
      <c r="D2526" t="inlineStr">
        <is>
          <t>SÖDERMANLANDS LÄN</t>
        </is>
      </c>
      <c r="E2526" t="inlineStr">
        <is>
          <t>VINGÅKER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36009-2021</t>
        </is>
      </c>
      <c r="B2527" s="1" t="n">
        <v>44389</v>
      </c>
      <c r="C2527" s="1" t="n">
        <v>45761</v>
      </c>
      <c r="D2527" t="inlineStr">
        <is>
          <t>SÖDERMANLANDS LÄN</t>
        </is>
      </c>
      <c r="E2527" t="inlineStr">
        <is>
          <t>VINGÅKER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36016-2021</t>
        </is>
      </c>
      <c r="B2528" s="1" t="n">
        <v>44389</v>
      </c>
      <c r="C2528" s="1" t="n">
        <v>45761</v>
      </c>
      <c r="D2528" t="inlineStr">
        <is>
          <t>SÖDERMANLANDS LÄN</t>
        </is>
      </c>
      <c r="E2528" t="inlineStr">
        <is>
          <t>VINGÅKER</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36012-2021</t>
        </is>
      </c>
      <c r="B2529" s="1" t="n">
        <v>44389</v>
      </c>
      <c r="C2529" s="1" t="n">
        <v>45761</v>
      </c>
      <c r="D2529" t="inlineStr">
        <is>
          <t>SÖDERMANLANDS LÄN</t>
        </is>
      </c>
      <c r="E2529" t="inlineStr">
        <is>
          <t>VINGÅKER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36192-2021</t>
        </is>
      </c>
      <c r="B2530" s="1" t="n">
        <v>44389</v>
      </c>
      <c r="C2530" s="1" t="n">
        <v>45761</v>
      </c>
      <c r="D2530" t="inlineStr">
        <is>
          <t>SÖDERMANLANDS LÄN</t>
        </is>
      </c>
      <c r="E2530" t="inlineStr">
        <is>
          <t>VINGÅKER</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36013-2021</t>
        </is>
      </c>
      <c r="B2531" s="1" t="n">
        <v>44389</v>
      </c>
      <c r="C2531" s="1" t="n">
        <v>45761</v>
      </c>
      <c r="D2531" t="inlineStr">
        <is>
          <t>SÖDERMANLANDS LÄN</t>
        </is>
      </c>
      <c r="E2531" t="inlineStr">
        <is>
          <t>VINGÅKER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36439-2021</t>
        </is>
      </c>
      <c r="B2532" s="1" t="n">
        <v>44391</v>
      </c>
      <c r="C2532" s="1" t="n">
        <v>45761</v>
      </c>
      <c r="D2532" t="inlineStr">
        <is>
          <t>SÖDERMANLANDS LÄN</t>
        </is>
      </c>
      <c r="E2532" t="inlineStr">
        <is>
          <t>VINGÅKER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36595-2021</t>
        </is>
      </c>
      <c r="B2533" s="1" t="n">
        <v>44391</v>
      </c>
      <c r="C2533" s="1" t="n">
        <v>45761</v>
      </c>
      <c r="D2533" t="inlineStr">
        <is>
          <t>SÖDERMANLANDS LÄN</t>
        </is>
      </c>
      <c r="E2533" t="inlineStr">
        <is>
          <t>FLEN</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36608-2021</t>
        </is>
      </c>
      <c r="B2534" s="1" t="n">
        <v>44391</v>
      </c>
      <c r="C2534" s="1" t="n">
        <v>45761</v>
      </c>
      <c r="D2534" t="inlineStr">
        <is>
          <t>SÖDERMANLANDS LÄN</t>
        </is>
      </c>
      <c r="E2534" t="inlineStr">
        <is>
          <t>KATRINEHOLM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36621-2021</t>
        </is>
      </c>
      <c r="B2535" s="1" t="n">
        <v>44391</v>
      </c>
      <c r="C2535" s="1" t="n">
        <v>45761</v>
      </c>
      <c r="D2535" t="inlineStr">
        <is>
          <t>SÖDERMANLANDS LÄN</t>
        </is>
      </c>
      <c r="E2535" t="inlineStr">
        <is>
          <t>GNESTA</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36605-2021</t>
        </is>
      </c>
      <c r="B2536" s="1" t="n">
        <v>44391</v>
      </c>
      <c r="C2536" s="1" t="n">
        <v>45761</v>
      </c>
      <c r="D2536" t="inlineStr">
        <is>
          <t>SÖDERMANLANDS LÄN</t>
        </is>
      </c>
      <c r="E2536" t="inlineStr">
        <is>
          <t>KATRINEHOLM</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36735-2021</t>
        </is>
      </c>
      <c r="B2537" s="1" t="n">
        <v>44392</v>
      </c>
      <c r="C2537" s="1" t="n">
        <v>45761</v>
      </c>
      <c r="D2537" t="inlineStr">
        <is>
          <t>SÖDERMANLANDS LÄN</t>
        </is>
      </c>
      <c r="E2537" t="inlineStr">
        <is>
          <t>ESKILSTUNA</t>
        </is>
      </c>
      <c r="F2537" t="inlineStr">
        <is>
          <t>Kommuner</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36856-2021</t>
        </is>
      </c>
      <c r="B2538" s="1" t="n">
        <v>44393</v>
      </c>
      <c r="C2538" s="1" t="n">
        <v>45761</v>
      </c>
      <c r="D2538" t="inlineStr">
        <is>
          <t>SÖDERMANLANDS LÄN</t>
        </is>
      </c>
      <c r="E2538" t="inlineStr">
        <is>
          <t>KATRINEHOLM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36964-2021</t>
        </is>
      </c>
      <c r="B2539" s="1" t="n">
        <v>44393</v>
      </c>
      <c r="C2539" s="1" t="n">
        <v>45761</v>
      </c>
      <c r="D2539" t="inlineStr">
        <is>
          <t>SÖDERMANLANDS LÄN</t>
        </is>
      </c>
      <c r="E2539" t="inlineStr">
        <is>
          <t>KATRINEHOLM</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37223-2021</t>
        </is>
      </c>
      <c r="B2540" s="1" t="n">
        <v>44396</v>
      </c>
      <c r="C2540" s="1" t="n">
        <v>45761</v>
      </c>
      <c r="D2540" t="inlineStr">
        <is>
          <t>SÖDERMANLANDS LÄN</t>
        </is>
      </c>
      <c r="E2540" t="inlineStr">
        <is>
          <t>NYKÖPING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37272-2021</t>
        </is>
      </c>
      <c r="B2541" s="1" t="n">
        <v>44397</v>
      </c>
      <c r="C2541" s="1" t="n">
        <v>45761</v>
      </c>
      <c r="D2541" t="inlineStr">
        <is>
          <t>SÖDERMANLANDS LÄN</t>
        </is>
      </c>
      <c r="E2541" t="inlineStr">
        <is>
          <t>NYKÖPING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37282-2021</t>
        </is>
      </c>
      <c r="B2542" s="1" t="n">
        <v>44397</v>
      </c>
      <c r="C2542" s="1" t="n">
        <v>45761</v>
      </c>
      <c r="D2542" t="inlineStr">
        <is>
          <t>SÖDERMANLANDS LÄN</t>
        </is>
      </c>
      <c r="E2542" t="inlineStr">
        <is>
          <t>GNESTA</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37430-2021</t>
        </is>
      </c>
      <c r="B2543" s="1" t="n">
        <v>44398</v>
      </c>
      <c r="C2543" s="1" t="n">
        <v>45761</v>
      </c>
      <c r="D2543" t="inlineStr">
        <is>
          <t>SÖDERMANLANDS LÄN</t>
        </is>
      </c>
      <c r="E2543" t="inlineStr">
        <is>
          <t>STRÄNGNÄS</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37431-2021</t>
        </is>
      </c>
      <c r="B2544" s="1" t="n">
        <v>44398</v>
      </c>
      <c r="C2544" s="1" t="n">
        <v>45761</v>
      </c>
      <c r="D2544" t="inlineStr">
        <is>
          <t>SÖDERMANLANDS LÄN</t>
        </is>
      </c>
      <c r="E2544" t="inlineStr">
        <is>
          <t>STRÄNGNÄS</t>
        </is>
      </c>
      <c r="F2544" t="inlineStr">
        <is>
          <t>Sveaskog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37385-2021</t>
        </is>
      </c>
      <c r="B2545" s="1" t="n">
        <v>44398</v>
      </c>
      <c r="C2545" s="1" t="n">
        <v>45761</v>
      </c>
      <c r="D2545" t="inlineStr">
        <is>
          <t>SÖDERMANLANDS LÄN</t>
        </is>
      </c>
      <c r="E2545" t="inlineStr">
        <is>
          <t>FLEN</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37429-2021</t>
        </is>
      </c>
      <c r="B2546" s="1" t="n">
        <v>44398</v>
      </c>
      <c r="C2546" s="1" t="n">
        <v>45761</v>
      </c>
      <c r="D2546" t="inlineStr">
        <is>
          <t>SÖDERMANLANDS LÄN</t>
        </is>
      </c>
      <c r="E2546" t="inlineStr">
        <is>
          <t>STRÄNGNÄS</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37908-2021</t>
        </is>
      </c>
      <c r="B2547" s="1" t="n">
        <v>44403</v>
      </c>
      <c r="C2547" s="1" t="n">
        <v>45761</v>
      </c>
      <c r="D2547" t="inlineStr">
        <is>
          <t>SÖDERMANLANDS LÄN</t>
        </is>
      </c>
      <c r="E2547" t="inlineStr">
        <is>
          <t>ESKILSTUNA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38029-2021</t>
        </is>
      </c>
      <c r="B2548" s="1" t="n">
        <v>44404</v>
      </c>
      <c r="C2548" s="1" t="n">
        <v>45761</v>
      </c>
      <c r="D2548" t="inlineStr">
        <is>
          <t>SÖDERMANLANDS LÄN</t>
        </is>
      </c>
      <c r="E2548" t="inlineStr">
        <is>
          <t>NYKÖPING</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38008-2021</t>
        </is>
      </c>
      <c r="B2549" s="1" t="n">
        <v>44404</v>
      </c>
      <c r="C2549" s="1" t="n">
        <v>45761</v>
      </c>
      <c r="D2549" t="inlineStr">
        <is>
          <t>SÖDERMANLANDS LÄN</t>
        </is>
      </c>
      <c r="E2549" t="inlineStr">
        <is>
          <t>FLEN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38023-2021</t>
        </is>
      </c>
      <c r="B2550" s="1" t="n">
        <v>44404</v>
      </c>
      <c r="C2550" s="1" t="n">
        <v>45761</v>
      </c>
      <c r="D2550" t="inlineStr">
        <is>
          <t>SÖDERMANLANDS LÄN</t>
        </is>
      </c>
      <c r="E2550" t="inlineStr">
        <is>
          <t>NYKÖPING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38136-2021</t>
        </is>
      </c>
      <c r="B2551" s="1" t="n">
        <v>44404</v>
      </c>
      <c r="C2551" s="1" t="n">
        <v>45761</v>
      </c>
      <c r="D2551" t="inlineStr">
        <is>
          <t>SÖDERMANLANDS LÄN</t>
        </is>
      </c>
      <c r="E2551" t="inlineStr">
        <is>
          <t>VINGÅKER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38158-2021</t>
        </is>
      </c>
      <c r="B2552" s="1" t="n">
        <v>44405</v>
      </c>
      <c r="C2552" s="1" t="n">
        <v>45761</v>
      </c>
      <c r="D2552" t="inlineStr">
        <is>
          <t>SÖDERMANLANDS LÄN</t>
        </is>
      </c>
      <c r="E2552" t="inlineStr">
        <is>
          <t>KATRINEHOLM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38263-2021</t>
        </is>
      </c>
      <c r="B2553" s="1" t="n">
        <v>44405</v>
      </c>
      <c r="C2553" s="1" t="n">
        <v>45761</v>
      </c>
      <c r="D2553" t="inlineStr">
        <is>
          <t>SÖDERMANLANDS LÄN</t>
        </is>
      </c>
      <c r="E2553" t="inlineStr">
        <is>
          <t>ESKILSTUNA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38332-2021</t>
        </is>
      </c>
      <c r="B2554" s="1" t="n">
        <v>44406</v>
      </c>
      <c r="C2554" s="1" t="n">
        <v>45761</v>
      </c>
      <c r="D2554" t="inlineStr">
        <is>
          <t>SÖDERMANLANDS LÄN</t>
        </is>
      </c>
      <c r="E2554" t="inlineStr">
        <is>
          <t>STRÄNGNÄS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38308-2021</t>
        </is>
      </c>
      <c r="B2555" s="1" t="n">
        <v>44406</v>
      </c>
      <c r="C2555" s="1" t="n">
        <v>45761</v>
      </c>
      <c r="D2555" t="inlineStr">
        <is>
          <t>SÖDERMANLANDS LÄN</t>
        </is>
      </c>
      <c r="E2555" t="inlineStr">
        <is>
          <t>KATRINEHOLM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38339-2021</t>
        </is>
      </c>
      <c r="B2556" s="1" t="n">
        <v>44406</v>
      </c>
      <c r="C2556" s="1" t="n">
        <v>45761</v>
      </c>
      <c r="D2556" t="inlineStr">
        <is>
          <t>SÖDERMANLANDS LÄN</t>
        </is>
      </c>
      <c r="E2556" t="inlineStr">
        <is>
          <t>STRÄNGNÄS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38471-2021</t>
        </is>
      </c>
      <c r="B2557" s="1" t="n">
        <v>44407</v>
      </c>
      <c r="C2557" s="1" t="n">
        <v>45761</v>
      </c>
      <c r="D2557" t="inlineStr">
        <is>
          <t>SÖDERMANLANDS LÄN</t>
        </is>
      </c>
      <c r="E2557" t="inlineStr">
        <is>
          <t>KATRINEHOLM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38530-2021</t>
        </is>
      </c>
      <c r="B2558" s="1" t="n">
        <v>44407</v>
      </c>
      <c r="C2558" s="1" t="n">
        <v>45761</v>
      </c>
      <c r="D2558" t="inlineStr">
        <is>
          <t>SÖDERMANLANDS LÄN</t>
        </is>
      </c>
      <c r="E2558" t="inlineStr">
        <is>
          <t>VINGÅKER</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38534-2021</t>
        </is>
      </c>
      <c r="B2559" s="1" t="n">
        <v>44407</v>
      </c>
      <c r="C2559" s="1" t="n">
        <v>45761</v>
      </c>
      <c r="D2559" t="inlineStr">
        <is>
          <t>SÖDERMANLANDS LÄN</t>
        </is>
      </c>
      <c r="E2559" t="inlineStr">
        <is>
          <t>VINGÅKER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38607-2021</t>
        </is>
      </c>
      <c r="B2560" s="1" t="n">
        <v>44409</v>
      </c>
      <c r="C2560" s="1" t="n">
        <v>45761</v>
      </c>
      <c r="D2560" t="inlineStr">
        <is>
          <t>SÖDERMANLANDS LÄN</t>
        </is>
      </c>
      <c r="E2560" t="inlineStr">
        <is>
          <t>KATRINEHOLM</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38606-2021</t>
        </is>
      </c>
      <c r="B2561" s="1" t="n">
        <v>44409</v>
      </c>
      <c r="C2561" s="1" t="n">
        <v>45761</v>
      </c>
      <c r="D2561" t="inlineStr">
        <is>
          <t>SÖDERMANLANDS LÄN</t>
        </is>
      </c>
      <c r="E2561" t="inlineStr">
        <is>
          <t>KATRINEHOLM</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38611-2021</t>
        </is>
      </c>
      <c r="B2562" s="1" t="n">
        <v>44409</v>
      </c>
      <c r="C2562" s="1" t="n">
        <v>45761</v>
      </c>
      <c r="D2562" t="inlineStr">
        <is>
          <t>SÖDERMANLANDS LÄN</t>
        </is>
      </c>
      <c r="E2562" t="inlineStr">
        <is>
          <t>KATRINEHOLM</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38824-2021</t>
        </is>
      </c>
      <c r="B2563" s="1" t="n">
        <v>44410</v>
      </c>
      <c r="C2563" s="1" t="n">
        <v>45761</v>
      </c>
      <c r="D2563" t="inlineStr">
        <is>
          <t>SÖDERMANLANDS LÄN</t>
        </is>
      </c>
      <c r="E2563" t="inlineStr">
        <is>
          <t>ESKILSTUNA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38866-2021</t>
        </is>
      </c>
      <c r="B2564" s="1" t="n">
        <v>44410</v>
      </c>
      <c r="C2564" s="1" t="n">
        <v>45761</v>
      </c>
      <c r="D2564" t="inlineStr">
        <is>
          <t>SÖDERMANLANDS LÄN</t>
        </is>
      </c>
      <c r="E2564" t="inlineStr">
        <is>
          <t>ESKILSTUNA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38849-2021</t>
        </is>
      </c>
      <c r="B2565" s="1" t="n">
        <v>44410</v>
      </c>
      <c r="C2565" s="1" t="n">
        <v>45761</v>
      </c>
      <c r="D2565" t="inlineStr">
        <is>
          <t>SÖDERMANLANDS LÄN</t>
        </is>
      </c>
      <c r="E2565" t="inlineStr">
        <is>
          <t>ESKILSTUNA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38842-2021</t>
        </is>
      </c>
      <c r="B2566" s="1" t="n">
        <v>44411</v>
      </c>
      <c r="C2566" s="1" t="n">
        <v>45761</v>
      </c>
      <c r="D2566" t="inlineStr">
        <is>
          <t>SÖDERMANLANDS LÄN</t>
        </is>
      </c>
      <c r="E2566" t="inlineStr">
        <is>
          <t>FLEN</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38826-2021</t>
        </is>
      </c>
      <c r="B2567" s="1" t="n">
        <v>44411</v>
      </c>
      <c r="C2567" s="1" t="n">
        <v>45761</v>
      </c>
      <c r="D2567" t="inlineStr">
        <is>
          <t>SÖDERMANLANDS LÄN</t>
        </is>
      </c>
      <c r="E2567" t="inlineStr">
        <is>
          <t>KATRINEHOLM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38835-2021</t>
        </is>
      </c>
      <c r="B2568" s="1" t="n">
        <v>44411</v>
      </c>
      <c r="C2568" s="1" t="n">
        <v>45761</v>
      </c>
      <c r="D2568" t="inlineStr">
        <is>
          <t>SÖDERMANLANDS LÄN</t>
        </is>
      </c>
      <c r="E2568" t="inlineStr">
        <is>
          <t>KATRINEHOLM</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39001-2021</t>
        </is>
      </c>
      <c r="B2569" s="1" t="n">
        <v>44412</v>
      </c>
      <c r="C2569" s="1" t="n">
        <v>45761</v>
      </c>
      <c r="D2569" t="inlineStr">
        <is>
          <t>SÖDERMANLANDS LÄN</t>
        </is>
      </c>
      <c r="E2569" t="inlineStr">
        <is>
          <t>KATRINEHOLM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39010-2021</t>
        </is>
      </c>
      <c r="B2570" s="1" t="n">
        <v>44412</v>
      </c>
      <c r="C2570" s="1" t="n">
        <v>45761</v>
      </c>
      <c r="D2570" t="inlineStr">
        <is>
          <t>SÖDERMANLANDS LÄN</t>
        </is>
      </c>
      <c r="E2570" t="inlineStr">
        <is>
          <t>KATRINEHOLM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39018-2021</t>
        </is>
      </c>
      <c r="B2571" s="1" t="n">
        <v>44412</v>
      </c>
      <c r="C2571" s="1" t="n">
        <v>45761</v>
      </c>
      <c r="D2571" t="inlineStr">
        <is>
          <t>SÖDERMANLANDS LÄN</t>
        </is>
      </c>
      <c r="E2571" t="inlineStr">
        <is>
          <t>GNESTA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39355-2021</t>
        </is>
      </c>
      <c r="B2572" s="1" t="n">
        <v>44412</v>
      </c>
      <c r="C2572" s="1" t="n">
        <v>45761</v>
      </c>
      <c r="D2572" t="inlineStr">
        <is>
          <t>SÖDERMANLANDS LÄN</t>
        </is>
      </c>
      <c r="E2572" t="inlineStr">
        <is>
          <t>VINGÅKER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39175-2021</t>
        </is>
      </c>
      <c r="B2573" s="1" t="n">
        <v>44412</v>
      </c>
      <c r="C2573" s="1" t="n">
        <v>45761</v>
      </c>
      <c r="D2573" t="inlineStr">
        <is>
          <t>SÖDERMANLANDS LÄN</t>
        </is>
      </c>
      <c r="E2573" t="inlineStr">
        <is>
          <t>STRÄNGNÄS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39343-2021</t>
        </is>
      </c>
      <c r="B2574" s="1" t="n">
        <v>44412</v>
      </c>
      <c r="C2574" s="1" t="n">
        <v>45761</v>
      </c>
      <c r="D2574" t="inlineStr">
        <is>
          <t>SÖDERMANLANDS LÄN</t>
        </is>
      </c>
      <c r="E2574" t="inlineStr">
        <is>
          <t>VINGÅKER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39188-2021</t>
        </is>
      </c>
      <c r="B2575" s="1" t="n">
        <v>44413</v>
      </c>
      <c r="C2575" s="1" t="n">
        <v>45761</v>
      </c>
      <c r="D2575" t="inlineStr">
        <is>
          <t>SÖDERMANLANDS LÄN</t>
        </is>
      </c>
      <c r="E2575" t="inlineStr">
        <is>
          <t>FLEN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39306-2021</t>
        </is>
      </c>
      <c r="B2576" s="1" t="n">
        <v>44413</v>
      </c>
      <c r="C2576" s="1" t="n">
        <v>45761</v>
      </c>
      <c r="D2576" t="inlineStr">
        <is>
          <t>SÖDERMANLANDS LÄN</t>
        </is>
      </c>
      <c r="E2576" t="inlineStr">
        <is>
          <t>NYKÖPING</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39380-2021</t>
        </is>
      </c>
      <c r="B2577" s="1" t="n">
        <v>44414</v>
      </c>
      <c r="C2577" s="1" t="n">
        <v>45761</v>
      </c>
      <c r="D2577" t="inlineStr">
        <is>
          <t>SÖDERMANLANDS LÄN</t>
        </is>
      </c>
      <c r="E2577" t="inlineStr">
        <is>
          <t>STRÄNGNÄS</t>
        </is>
      </c>
      <c r="F2577" t="inlineStr">
        <is>
          <t>Övriga Aktiebolag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39456-2021</t>
        </is>
      </c>
      <c r="B2578" s="1" t="n">
        <v>44414</v>
      </c>
      <c r="C2578" s="1" t="n">
        <v>45761</v>
      </c>
      <c r="D2578" t="inlineStr">
        <is>
          <t>SÖDERMANLANDS LÄN</t>
        </is>
      </c>
      <c r="E2578" t="inlineStr">
        <is>
          <t>GNESTA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39461-2021</t>
        </is>
      </c>
      <c r="B2579" s="1" t="n">
        <v>44414</v>
      </c>
      <c r="C2579" s="1" t="n">
        <v>45761</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39368-2021</t>
        </is>
      </c>
      <c r="B2580" s="1" t="n">
        <v>44414</v>
      </c>
      <c r="C2580" s="1" t="n">
        <v>45761</v>
      </c>
      <c r="D2580" t="inlineStr">
        <is>
          <t>SÖDERMANLANDS LÄN</t>
        </is>
      </c>
      <c r="E2580" t="inlineStr">
        <is>
          <t>NYKÖPING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39513-2021</t>
        </is>
      </c>
      <c r="B2581" s="1" t="n">
        <v>44414</v>
      </c>
      <c r="C2581" s="1" t="n">
        <v>45761</v>
      </c>
      <c r="D2581" t="inlineStr">
        <is>
          <t>SÖDERMANLANDS LÄN</t>
        </is>
      </c>
      <c r="E2581" t="inlineStr">
        <is>
          <t>FLEN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39518-2021</t>
        </is>
      </c>
      <c r="B2582" s="1" t="n">
        <v>44414</v>
      </c>
      <c r="C2582" s="1" t="n">
        <v>45761</v>
      </c>
      <c r="D2582" t="inlineStr">
        <is>
          <t>SÖDERMANLANDS LÄN</t>
        </is>
      </c>
      <c r="E2582" t="inlineStr">
        <is>
          <t>FLEN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39527-2021</t>
        </is>
      </c>
      <c r="B2583" s="1" t="n">
        <v>44415</v>
      </c>
      <c r="C2583" s="1" t="n">
        <v>45761</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39540-2021</t>
        </is>
      </c>
      <c r="B2584" s="1" t="n">
        <v>44416</v>
      </c>
      <c r="C2584" s="1" t="n">
        <v>45761</v>
      </c>
      <c r="D2584" t="inlineStr">
        <is>
          <t>SÖDERMANLANDS LÄN</t>
        </is>
      </c>
      <c r="E2584" t="inlineStr">
        <is>
          <t>NYKÖPING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39539-2021</t>
        </is>
      </c>
      <c r="B2585" s="1" t="n">
        <v>44416</v>
      </c>
      <c r="C2585" s="1" t="n">
        <v>45761</v>
      </c>
      <c r="D2585" t="inlineStr">
        <is>
          <t>SÖDERMANLANDS LÄN</t>
        </is>
      </c>
      <c r="E2585" t="inlineStr">
        <is>
          <t>NYKÖPING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39549-2021</t>
        </is>
      </c>
      <c r="B2586" s="1" t="n">
        <v>44416</v>
      </c>
      <c r="C2586" s="1" t="n">
        <v>45761</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39538-2021</t>
        </is>
      </c>
      <c r="B2587" s="1" t="n">
        <v>44416</v>
      </c>
      <c r="C2587" s="1" t="n">
        <v>45761</v>
      </c>
      <c r="D2587" t="inlineStr">
        <is>
          <t>SÖDERMANLANDS LÄN</t>
        </is>
      </c>
      <c r="E2587" t="inlineStr">
        <is>
          <t>NYKÖPING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39546-2021</t>
        </is>
      </c>
      <c r="B2588" s="1" t="n">
        <v>44416</v>
      </c>
      <c r="C2588" s="1" t="n">
        <v>45761</v>
      </c>
      <c r="D2588" t="inlineStr">
        <is>
          <t>SÖDERMANLANDS LÄN</t>
        </is>
      </c>
      <c r="E2588" t="inlineStr">
        <is>
          <t>KATRINEHOLM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39542-2021</t>
        </is>
      </c>
      <c r="B2589" s="1" t="n">
        <v>44416</v>
      </c>
      <c r="C2589" s="1" t="n">
        <v>45761</v>
      </c>
      <c r="D2589" t="inlineStr">
        <is>
          <t>SÖDERMANLANDS LÄN</t>
        </is>
      </c>
      <c r="E2589" t="inlineStr">
        <is>
          <t>NYKÖPING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39862-2021</t>
        </is>
      </c>
      <c r="B2590" s="1" t="n">
        <v>44417</v>
      </c>
      <c r="C2590" s="1" t="n">
        <v>45761</v>
      </c>
      <c r="D2590" t="inlineStr">
        <is>
          <t>SÖDERMANLANDS LÄN</t>
        </is>
      </c>
      <c r="E2590" t="inlineStr">
        <is>
          <t>KATRINEHOLM</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40025-2021</t>
        </is>
      </c>
      <c r="B2591" s="1" t="n">
        <v>44418</v>
      </c>
      <c r="C2591" s="1" t="n">
        <v>45761</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39978-2021</t>
        </is>
      </c>
      <c r="B2592" s="1" t="n">
        <v>44418</v>
      </c>
      <c r="C2592" s="1" t="n">
        <v>45761</v>
      </c>
      <c r="D2592" t="inlineStr">
        <is>
          <t>SÖDERMANLANDS LÄN</t>
        </is>
      </c>
      <c r="E2592" t="inlineStr">
        <is>
          <t>VINGÅKER</t>
        </is>
      </c>
      <c r="F2592" t="inlineStr">
        <is>
          <t>Övriga Aktiebolag</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40182-2021</t>
        </is>
      </c>
      <c r="B2593" s="1" t="n">
        <v>44418</v>
      </c>
      <c r="C2593" s="1" t="n">
        <v>45761</v>
      </c>
      <c r="D2593" t="inlineStr">
        <is>
          <t>SÖDERMANLANDS LÄN</t>
        </is>
      </c>
      <c r="E2593" t="inlineStr">
        <is>
          <t>VINGÅKER</t>
        </is>
      </c>
      <c r="F2593" t="inlineStr">
        <is>
          <t>Övriga Aktiebolag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40169-2021</t>
        </is>
      </c>
      <c r="B2594" s="1" t="n">
        <v>44418</v>
      </c>
      <c r="C2594" s="1" t="n">
        <v>45761</v>
      </c>
      <c r="D2594" t="inlineStr">
        <is>
          <t>SÖDERMANLANDS LÄN</t>
        </is>
      </c>
      <c r="E2594" t="inlineStr">
        <is>
          <t>TROSA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40291-2021</t>
        </is>
      </c>
      <c r="B2595" s="1" t="n">
        <v>44419</v>
      </c>
      <c r="C2595" s="1" t="n">
        <v>45761</v>
      </c>
      <c r="D2595" t="inlineStr">
        <is>
          <t>SÖDERMANLANDS LÄN</t>
        </is>
      </c>
      <c r="E2595" t="inlineStr">
        <is>
          <t>NYKÖPING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40289-2021</t>
        </is>
      </c>
      <c r="B2596" s="1" t="n">
        <v>44419</v>
      </c>
      <c r="C2596" s="1" t="n">
        <v>45761</v>
      </c>
      <c r="D2596" t="inlineStr">
        <is>
          <t>SÖDERMANLANDS LÄN</t>
        </is>
      </c>
      <c r="E2596" t="inlineStr">
        <is>
          <t>KATRINEHOLM</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40395-2021</t>
        </is>
      </c>
      <c r="B2597" s="1" t="n">
        <v>44419</v>
      </c>
      <c r="C2597" s="1" t="n">
        <v>45761</v>
      </c>
      <c r="D2597" t="inlineStr">
        <is>
          <t>SÖDERMANLANDS LÄN</t>
        </is>
      </c>
      <c r="E2597" t="inlineStr">
        <is>
          <t>GNESTA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40400-2021</t>
        </is>
      </c>
      <c r="B2598" s="1" t="n">
        <v>44419</v>
      </c>
      <c r="C2598" s="1" t="n">
        <v>45761</v>
      </c>
      <c r="D2598" t="inlineStr">
        <is>
          <t>SÖDERMANLANDS LÄN</t>
        </is>
      </c>
      <c r="E2598" t="inlineStr">
        <is>
          <t>KATRINEHOLM</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40680-2021</t>
        </is>
      </c>
      <c r="B2599" s="1" t="n">
        <v>44420</v>
      </c>
      <c r="C2599" s="1" t="n">
        <v>45761</v>
      </c>
      <c r="D2599" t="inlineStr">
        <is>
          <t>SÖDERMANLANDS LÄN</t>
        </is>
      </c>
      <c r="E2599" t="inlineStr">
        <is>
          <t>NYKÖPING</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40685-2021</t>
        </is>
      </c>
      <c r="B2600" s="1" t="n">
        <v>44420</v>
      </c>
      <c r="C2600" s="1" t="n">
        <v>45761</v>
      </c>
      <c r="D2600" t="inlineStr">
        <is>
          <t>SÖDERMANLANDS LÄN</t>
        </is>
      </c>
      <c r="E2600" t="inlineStr">
        <is>
          <t>NYKÖPING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40866-2021</t>
        </is>
      </c>
      <c r="B2601" s="1" t="n">
        <v>44421</v>
      </c>
      <c r="C2601" s="1" t="n">
        <v>45761</v>
      </c>
      <c r="D2601" t="inlineStr">
        <is>
          <t>SÖDERMANLANDS LÄN</t>
        </is>
      </c>
      <c r="E2601" t="inlineStr">
        <is>
          <t>NYKÖPING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40814-2021</t>
        </is>
      </c>
      <c r="B2602" s="1" t="n">
        <v>44421</v>
      </c>
      <c r="C2602" s="1" t="n">
        <v>45761</v>
      </c>
      <c r="D2602" t="inlineStr">
        <is>
          <t>SÖDERMANLANDS LÄN</t>
        </is>
      </c>
      <c r="E2602" t="inlineStr">
        <is>
          <t>STRÄNGNÄS</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40796-2021</t>
        </is>
      </c>
      <c r="B2603" s="1" t="n">
        <v>44421</v>
      </c>
      <c r="C2603" s="1" t="n">
        <v>45761</v>
      </c>
      <c r="D2603" t="inlineStr">
        <is>
          <t>SÖDERMANLANDS LÄN</t>
        </is>
      </c>
      <c r="E2603" t="inlineStr">
        <is>
          <t>FLEN</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40831-2021</t>
        </is>
      </c>
      <c r="B2604" s="1" t="n">
        <v>44421</v>
      </c>
      <c r="C2604" s="1" t="n">
        <v>45761</v>
      </c>
      <c r="D2604" t="inlineStr">
        <is>
          <t>SÖDERMANLANDS LÄN</t>
        </is>
      </c>
      <c r="E2604" t="inlineStr">
        <is>
          <t>VINGÅKER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40961-2021</t>
        </is>
      </c>
      <c r="B2605" s="1" t="n">
        <v>44421</v>
      </c>
      <c r="C2605" s="1" t="n">
        <v>45761</v>
      </c>
      <c r="D2605" t="inlineStr">
        <is>
          <t>SÖDERMANLANDS LÄN</t>
        </is>
      </c>
      <c r="E2605" t="inlineStr">
        <is>
          <t>FLEN</t>
        </is>
      </c>
      <c r="F2605" t="inlineStr">
        <is>
          <t>Holmen skog AB</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41104-2021</t>
        </is>
      </c>
      <c r="B2606" s="1" t="n">
        <v>44423</v>
      </c>
      <c r="C2606" s="1" t="n">
        <v>45761</v>
      </c>
      <c r="D2606" t="inlineStr">
        <is>
          <t>SÖDERMANLANDS LÄN</t>
        </is>
      </c>
      <c r="E2606" t="inlineStr">
        <is>
          <t>GNESTA</t>
        </is>
      </c>
      <c r="G2606" t="n">
        <v>11.2</v>
      </c>
      <c r="H2606" t="n">
        <v>0</v>
      </c>
      <c r="I2606" t="n">
        <v>0</v>
      </c>
      <c r="J2606" t="n">
        <v>0</v>
      </c>
      <c r="K2606" t="n">
        <v>0</v>
      </c>
      <c r="L2606" t="n">
        <v>0</v>
      </c>
      <c r="M2606" t="n">
        <v>0</v>
      </c>
      <c r="N2606" t="n">
        <v>0</v>
      </c>
      <c r="O2606" t="n">
        <v>0</v>
      </c>
      <c r="P2606" t="n">
        <v>0</v>
      </c>
      <c r="Q2606" t="n">
        <v>0</v>
      </c>
      <c r="R2606" s="2" t="inlineStr"/>
    </row>
    <row r="2607" ht="15" customHeight="1">
      <c r="A2607" t="inlineStr">
        <is>
          <t>A 41148-2021</t>
        </is>
      </c>
      <c r="B2607" s="1" t="n">
        <v>44423</v>
      </c>
      <c r="C2607" s="1" t="n">
        <v>45761</v>
      </c>
      <c r="D2607" t="inlineStr">
        <is>
          <t>SÖDERMANLANDS LÄN</t>
        </is>
      </c>
      <c r="E2607" t="inlineStr">
        <is>
          <t>FLEN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41103-2021</t>
        </is>
      </c>
      <c r="B2608" s="1" t="n">
        <v>44423</v>
      </c>
      <c r="C2608" s="1" t="n">
        <v>45761</v>
      </c>
      <c r="D2608" t="inlineStr">
        <is>
          <t>SÖDERMANLANDS LÄN</t>
        </is>
      </c>
      <c r="E2608" t="inlineStr">
        <is>
          <t>GNESTA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41141-2021</t>
        </is>
      </c>
      <c r="B2609" s="1" t="n">
        <v>44423</v>
      </c>
      <c r="C2609" s="1" t="n">
        <v>45761</v>
      </c>
      <c r="D2609" t="inlineStr">
        <is>
          <t>SÖDERMANLANDS LÄN</t>
        </is>
      </c>
      <c r="E2609" t="inlineStr">
        <is>
          <t>KATRINEHOLM</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41150-2021</t>
        </is>
      </c>
      <c r="B2610" s="1" t="n">
        <v>44423</v>
      </c>
      <c r="C2610" s="1" t="n">
        <v>45761</v>
      </c>
      <c r="D2610" t="inlineStr">
        <is>
          <t>SÖDERMANLANDS LÄN</t>
        </is>
      </c>
      <c r="E2610" t="inlineStr">
        <is>
          <t>FLEN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41205-2021</t>
        </is>
      </c>
      <c r="B2611" s="1" t="n">
        <v>44424</v>
      </c>
      <c r="C2611" s="1" t="n">
        <v>45761</v>
      </c>
      <c r="D2611" t="inlineStr">
        <is>
          <t>SÖDERMANLANDS LÄN</t>
        </is>
      </c>
      <c r="E2611" t="inlineStr">
        <is>
          <t>KATRINEHOLM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41409-2021</t>
        </is>
      </c>
      <c r="B2612" s="1" t="n">
        <v>44424</v>
      </c>
      <c r="C2612" s="1" t="n">
        <v>45761</v>
      </c>
      <c r="D2612" t="inlineStr">
        <is>
          <t>SÖDERMANLANDS LÄN</t>
        </is>
      </c>
      <c r="E2612" t="inlineStr">
        <is>
          <t>NYKÖPING</t>
        </is>
      </c>
      <c r="F2612" t="inlineStr">
        <is>
          <t>Holmen skog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41437-2021</t>
        </is>
      </c>
      <c r="B2613" s="1" t="n">
        <v>44424</v>
      </c>
      <c r="C2613" s="1" t="n">
        <v>45761</v>
      </c>
      <c r="D2613" t="inlineStr">
        <is>
          <t>SÖDERMANLANDS LÄN</t>
        </is>
      </c>
      <c r="E2613" t="inlineStr">
        <is>
          <t>NYKÖPING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41600-2021</t>
        </is>
      </c>
      <c r="B2614" s="1" t="n">
        <v>44425</v>
      </c>
      <c r="C2614" s="1" t="n">
        <v>45761</v>
      </c>
      <c r="D2614" t="inlineStr">
        <is>
          <t>SÖDERMANLANDS LÄN</t>
        </is>
      </c>
      <c r="E2614" t="inlineStr">
        <is>
          <t>GNESTA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41597-2021</t>
        </is>
      </c>
      <c r="B2615" s="1" t="n">
        <v>44425</v>
      </c>
      <c r="C2615" s="1" t="n">
        <v>45761</v>
      </c>
      <c r="D2615" t="inlineStr">
        <is>
          <t>SÖDERMANLANDS LÄN</t>
        </is>
      </c>
      <c r="E2615" t="inlineStr">
        <is>
          <t>FLEN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41640-2021</t>
        </is>
      </c>
      <c r="B2616" s="1" t="n">
        <v>44425</v>
      </c>
      <c r="C2616" s="1" t="n">
        <v>45761</v>
      </c>
      <c r="D2616" t="inlineStr">
        <is>
          <t>SÖDERMANLANDS LÄN</t>
        </is>
      </c>
      <c r="E2616" t="inlineStr">
        <is>
          <t>FLEN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41658-2021</t>
        </is>
      </c>
      <c r="B2617" s="1" t="n">
        <v>44425</v>
      </c>
      <c r="C2617" s="1" t="n">
        <v>45761</v>
      </c>
      <c r="D2617" t="inlineStr">
        <is>
          <t>SÖDERMANLANDS LÄN</t>
        </is>
      </c>
      <c r="E2617" t="inlineStr">
        <is>
          <t>FLEN</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41728-2021</t>
        </is>
      </c>
      <c r="B2618" s="1" t="n">
        <v>44425</v>
      </c>
      <c r="C2618" s="1" t="n">
        <v>45761</v>
      </c>
      <c r="D2618" t="inlineStr">
        <is>
          <t>SÖDERMANLANDS LÄN</t>
        </is>
      </c>
      <c r="E2618" t="inlineStr">
        <is>
          <t>GNESTA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41629-2021</t>
        </is>
      </c>
      <c r="B2619" s="1" t="n">
        <v>44425</v>
      </c>
      <c r="C2619" s="1" t="n">
        <v>45761</v>
      </c>
      <c r="D2619" t="inlineStr">
        <is>
          <t>SÖDERMANLANDS LÄN</t>
        </is>
      </c>
      <c r="E2619" t="inlineStr">
        <is>
          <t>NYKÖPING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41638-2021</t>
        </is>
      </c>
      <c r="B2620" s="1" t="n">
        <v>44425</v>
      </c>
      <c r="C2620" s="1" t="n">
        <v>45761</v>
      </c>
      <c r="D2620" t="inlineStr">
        <is>
          <t>SÖDERMANLANDS LÄN</t>
        </is>
      </c>
      <c r="E2620" t="inlineStr">
        <is>
          <t>FLEN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41646-2021</t>
        </is>
      </c>
      <c r="B2621" s="1" t="n">
        <v>44425</v>
      </c>
      <c r="C2621" s="1" t="n">
        <v>45761</v>
      </c>
      <c r="D2621" t="inlineStr">
        <is>
          <t>SÖDERMANLANDS LÄN</t>
        </is>
      </c>
      <c r="E2621" t="inlineStr">
        <is>
          <t>NYKÖPING</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41721-2021</t>
        </is>
      </c>
      <c r="B2622" s="1" t="n">
        <v>44425</v>
      </c>
      <c r="C2622" s="1" t="n">
        <v>45761</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41735-2021</t>
        </is>
      </c>
      <c r="B2623" s="1" t="n">
        <v>44425</v>
      </c>
      <c r="C2623" s="1" t="n">
        <v>45761</v>
      </c>
      <c r="D2623" t="inlineStr">
        <is>
          <t>SÖDERMANLANDS LÄN</t>
        </is>
      </c>
      <c r="E2623" t="inlineStr">
        <is>
          <t>NYKÖPING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41709-2021</t>
        </is>
      </c>
      <c r="B2624" s="1" t="n">
        <v>44425</v>
      </c>
      <c r="C2624" s="1" t="n">
        <v>45761</v>
      </c>
      <c r="D2624" t="inlineStr">
        <is>
          <t>SÖDERMANLANDS LÄN</t>
        </is>
      </c>
      <c r="E2624" t="inlineStr">
        <is>
          <t>FLEN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41719-2021</t>
        </is>
      </c>
      <c r="B2625" s="1" t="n">
        <v>44425</v>
      </c>
      <c r="C2625" s="1" t="n">
        <v>45761</v>
      </c>
      <c r="D2625" t="inlineStr">
        <is>
          <t>SÖDERMANLANDS LÄN</t>
        </is>
      </c>
      <c r="E2625" t="inlineStr">
        <is>
          <t>NYKÖPING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41748-2021</t>
        </is>
      </c>
      <c r="B2626" s="1" t="n">
        <v>44425</v>
      </c>
      <c r="C2626" s="1" t="n">
        <v>45761</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41715-2021</t>
        </is>
      </c>
      <c r="B2627" s="1" t="n">
        <v>44425</v>
      </c>
      <c r="C2627" s="1" t="n">
        <v>45761</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41723-2021</t>
        </is>
      </c>
      <c r="B2628" s="1" t="n">
        <v>44425</v>
      </c>
      <c r="C2628" s="1" t="n">
        <v>45761</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41737-2021</t>
        </is>
      </c>
      <c r="B2629" s="1" t="n">
        <v>44425</v>
      </c>
      <c r="C2629" s="1" t="n">
        <v>45761</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41745-2021</t>
        </is>
      </c>
      <c r="B2630" s="1" t="n">
        <v>44425</v>
      </c>
      <c r="C2630" s="1" t="n">
        <v>45761</v>
      </c>
      <c r="D2630" t="inlineStr">
        <is>
          <t>SÖDERMANLANDS LÄN</t>
        </is>
      </c>
      <c r="E2630" t="inlineStr">
        <is>
          <t>GNESTA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41800-2021</t>
        </is>
      </c>
      <c r="B2631" s="1" t="n">
        <v>44425</v>
      </c>
      <c r="C2631" s="1" t="n">
        <v>45761</v>
      </c>
      <c r="D2631" t="inlineStr">
        <is>
          <t>SÖDERMANLANDS LÄN</t>
        </is>
      </c>
      <c r="E2631" t="inlineStr">
        <is>
          <t>FLEN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41939-2021</t>
        </is>
      </c>
      <c r="B2632" s="1" t="n">
        <v>44425</v>
      </c>
      <c r="C2632" s="1" t="n">
        <v>45761</v>
      </c>
      <c r="D2632" t="inlineStr">
        <is>
          <t>SÖDERMANLANDS LÄN</t>
        </is>
      </c>
      <c r="E2632" t="inlineStr">
        <is>
          <t>VINGÅKER</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41894-2021</t>
        </is>
      </c>
      <c r="B2633" s="1" t="n">
        <v>44425</v>
      </c>
      <c r="C2633" s="1" t="n">
        <v>45761</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41968-2021</t>
        </is>
      </c>
      <c r="B2634" s="1" t="n">
        <v>44425</v>
      </c>
      <c r="C2634" s="1" t="n">
        <v>45761</v>
      </c>
      <c r="D2634" t="inlineStr">
        <is>
          <t>SÖDERMANLANDS LÄN</t>
        </is>
      </c>
      <c r="E2634" t="inlineStr">
        <is>
          <t>GNESTA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41920-2021</t>
        </is>
      </c>
      <c r="B2635" s="1" t="n">
        <v>44425</v>
      </c>
      <c r="C2635" s="1" t="n">
        <v>45761</v>
      </c>
      <c r="D2635" t="inlineStr">
        <is>
          <t>SÖDERMANLANDS LÄN</t>
        </is>
      </c>
      <c r="E2635" t="inlineStr">
        <is>
          <t>VINGÅKER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41863-2021</t>
        </is>
      </c>
      <c r="B2636" s="1" t="n">
        <v>44426</v>
      </c>
      <c r="C2636" s="1" t="n">
        <v>45761</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41997-2021</t>
        </is>
      </c>
      <c r="B2637" s="1" t="n">
        <v>44426</v>
      </c>
      <c r="C2637" s="1" t="n">
        <v>45761</v>
      </c>
      <c r="D2637" t="inlineStr">
        <is>
          <t>SÖDERMANLANDS LÄN</t>
        </is>
      </c>
      <c r="E2637" t="inlineStr">
        <is>
          <t>ESKILSTUNA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42012-2021</t>
        </is>
      </c>
      <c r="B2638" s="1" t="n">
        <v>44426</v>
      </c>
      <c r="C2638" s="1" t="n">
        <v>45761</v>
      </c>
      <c r="D2638" t="inlineStr">
        <is>
          <t>SÖDERMANLANDS LÄN</t>
        </is>
      </c>
      <c r="E2638" t="inlineStr">
        <is>
          <t>ESKILSTUNA</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41955-2021</t>
        </is>
      </c>
      <c r="B2639" s="1" t="n">
        <v>44426</v>
      </c>
      <c r="C2639" s="1" t="n">
        <v>45761</v>
      </c>
      <c r="D2639" t="inlineStr">
        <is>
          <t>SÖDERMANLANDS LÄN</t>
        </is>
      </c>
      <c r="E2639" t="inlineStr">
        <is>
          <t>GNESTA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42002-2021</t>
        </is>
      </c>
      <c r="B2640" s="1" t="n">
        <v>44426</v>
      </c>
      <c r="C2640" s="1" t="n">
        <v>45761</v>
      </c>
      <c r="D2640" t="inlineStr">
        <is>
          <t>SÖDERMANLANDS LÄN</t>
        </is>
      </c>
      <c r="E2640" t="inlineStr">
        <is>
          <t>ESKILSTUNA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42016-2021</t>
        </is>
      </c>
      <c r="B2641" s="1" t="n">
        <v>44426</v>
      </c>
      <c r="C2641" s="1" t="n">
        <v>45761</v>
      </c>
      <c r="D2641" t="inlineStr">
        <is>
          <t>SÖDERMANLANDS LÄN</t>
        </is>
      </c>
      <c r="E2641" t="inlineStr">
        <is>
          <t>ESKILSTUNA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41876-2021</t>
        </is>
      </c>
      <c r="B2642" s="1" t="n">
        <v>44426</v>
      </c>
      <c r="C2642" s="1" t="n">
        <v>45761</v>
      </c>
      <c r="D2642" t="inlineStr">
        <is>
          <t>SÖDERMANLANDS LÄN</t>
        </is>
      </c>
      <c r="E2642" t="inlineStr">
        <is>
          <t>KATRINEHOLM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41914-2021</t>
        </is>
      </c>
      <c r="B2643" s="1" t="n">
        <v>44426</v>
      </c>
      <c r="C2643" s="1" t="n">
        <v>45761</v>
      </c>
      <c r="D2643" t="inlineStr">
        <is>
          <t>SÖDERMANLANDS LÄN</t>
        </is>
      </c>
      <c r="E2643" t="inlineStr">
        <is>
          <t>GNESTA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42417-2021</t>
        </is>
      </c>
      <c r="B2644" s="1" t="n">
        <v>44427</v>
      </c>
      <c r="C2644" s="1" t="n">
        <v>45761</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42428-2021</t>
        </is>
      </c>
      <c r="B2645" s="1" t="n">
        <v>44427</v>
      </c>
      <c r="C2645" s="1" t="n">
        <v>45761</v>
      </c>
      <c r="D2645" t="inlineStr">
        <is>
          <t>SÖDERMANLANDS LÄN</t>
        </is>
      </c>
      <c r="E2645" t="inlineStr">
        <is>
          <t>GNESTA</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42462-2021</t>
        </is>
      </c>
      <c r="B2646" s="1" t="n">
        <v>44427</v>
      </c>
      <c r="C2646" s="1" t="n">
        <v>45761</v>
      </c>
      <c r="D2646" t="inlineStr">
        <is>
          <t>SÖDERMANLANDS LÄN</t>
        </is>
      </c>
      <c r="E2646" t="inlineStr">
        <is>
          <t>STRÄNGNÄS</t>
        </is>
      </c>
      <c r="G2646" t="n">
        <v>18.5</v>
      </c>
      <c r="H2646" t="n">
        <v>0</v>
      </c>
      <c r="I2646" t="n">
        <v>0</v>
      </c>
      <c r="J2646" t="n">
        <v>0</v>
      </c>
      <c r="K2646" t="n">
        <v>0</v>
      </c>
      <c r="L2646" t="n">
        <v>0</v>
      </c>
      <c r="M2646" t="n">
        <v>0</v>
      </c>
      <c r="N2646" t="n">
        <v>0</v>
      </c>
      <c r="O2646" t="n">
        <v>0</v>
      </c>
      <c r="P2646" t="n">
        <v>0</v>
      </c>
      <c r="Q2646" t="n">
        <v>0</v>
      </c>
      <c r="R2646" s="2" t="inlineStr"/>
    </row>
    <row r="2647" ht="15" customHeight="1">
      <c r="A2647" t="inlineStr">
        <is>
          <t>A 42858-2021</t>
        </is>
      </c>
      <c r="B2647" s="1" t="n">
        <v>44430</v>
      </c>
      <c r="C2647" s="1" t="n">
        <v>45761</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42920-2021</t>
        </is>
      </c>
      <c r="B2648" s="1" t="n">
        <v>44430</v>
      </c>
      <c r="C2648" s="1" t="n">
        <v>45761</v>
      </c>
      <c r="D2648" t="inlineStr">
        <is>
          <t>SÖDERMANLANDS LÄN</t>
        </is>
      </c>
      <c r="E2648" t="inlineStr">
        <is>
          <t>NYKÖPING</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42853-2021</t>
        </is>
      </c>
      <c r="B2649" s="1" t="n">
        <v>44430</v>
      </c>
      <c r="C2649" s="1" t="n">
        <v>45761</v>
      </c>
      <c r="D2649" t="inlineStr">
        <is>
          <t>SÖDERMANLANDS LÄN</t>
        </is>
      </c>
      <c r="E2649" t="inlineStr">
        <is>
          <t>KATRINEHOLM</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42966-2021</t>
        </is>
      </c>
      <c r="B2650" s="1" t="n">
        <v>44430</v>
      </c>
      <c r="C2650" s="1" t="n">
        <v>45761</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42971-2021</t>
        </is>
      </c>
      <c r="B2651" s="1" t="n">
        <v>44430</v>
      </c>
      <c r="C2651" s="1" t="n">
        <v>45761</v>
      </c>
      <c r="D2651" t="inlineStr">
        <is>
          <t>SÖDERMANLANDS LÄN</t>
        </is>
      </c>
      <c r="E2651" t="inlineStr">
        <is>
          <t>NYKÖPING</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42856-2021</t>
        </is>
      </c>
      <c r="B2652" s="1" t="n">
        <v>44430</v>
      </c>
      <c r="C2652" s="1" t="n">
        <v>45761</v>
      </c>
      <c r="D2652" t="inlineStr">
        <is>
          <t>SÖDERMANLANDS LÄN</t>
        </is>
      </c>
      <c r="E2652" t="inlineStr">
        <is>
          <t>NYKÖPING</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42977-2021</t>
        </is>
      </c>
      <c r="B2653" s="1" t="n">
        <v>44430</v>
      </c>
      <c r="C2653" s="1" t="n">
        <v>45761</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42937-2021</t>
        </is>
      </c>
      <c r="B2654" s="1" t="n">
        <v>44431</v>
      </c>
      <c r="C2654" s="1" t="n">
        <v>45761</v>
      </c>
      <c r="D2654" t="inlineStr">
        <is>
          <t>SÖDERMANLANDS LÄN</t>
        </is>
      </c>
      <c r="E2654" t="inlineStr">
        <is>
          <t>NYKÖPING</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43035-2021</t>
        </is>
      </c>
      <c r="B2655" s="1" t="n">
        <v>44431</v>
      </c>
      <c r="C2655" s="1" t="n">
        <v>45761</v>
      </c>
      <c r="D2655" t="inlineStr">
        <is>
          <t>SÖDERMANLANDS LÄN</t>
        </is>
      </c>
      <c r="E2655" t="inlineStr">
        <is>
          <t>GNESTA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42990-2021</t>
        </is>
      </c>
      <c r="B2656" s="1" t="n">
        <v>44431</v>
      </c>
      <c r="C2656" s="1" t="n">
        <v>45761</v>
      </c>
      <c r="D2656" t="inlineStr">
        <is>
          <t>SÖDERMANLANDS LÄN</t>
        </is>
      </c>
      <c r="E2656" t="inlineStr">
        <is>
          <t>NYKÖPING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42936-2021</t>
        </is>
      </c>
      <c r="B2657" s="1" t="n">
        <v>44431</v>
      </c>
      <c r="C2657" s="1" t="n">
        <v>45761</v>
      </c>
      <c r="D2657" t="inlineStr">
        <is>
          <t>SÖDERMANLANDS LÄN</t>
        </is>
      </c>
      <c r="E2657" t="inlineStr">
        <is>
          <t>FLEN</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43178-2021</t>
        </is>
      </c>
      <c r="B2658" s="1" t="n">
        <v>44431</v>
      </c>
      <c r="C2658" s="1" t="n">
        <v>45761</v>
      </c>
      <c r="D2658" t="inlineStr">
        <is>
          <t>SÖDERMANLANDS LÄN</t>
        </is>
      </c>
      <c r="E2658" t="inlineStr">
        <is>
          <t>GNESTA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43130-2021</t>
        </is>
      </c>
      <c r="B2659" s="1" t="n">
        <v>44431</v>
      </c>
      <c r="C2659" s="1" t="n">
        <v>45761</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43156-2021</t>
        </is>
      </c>
      <c r="B2660" s="1" t="n">
        <v>44431</v>
      </c>
      <c r="C2660" s="1" t="n">
        <v>45761</v>
      </c>
      <c r="D2660" t="inlineStr">
        <is>
          <t>SÖDERMANLANDS LÄN</t>
        </is>
      </c>
      <c r="E2660" t="inlineStr">
        <is>
          <t>ESKILSTUNA</t>
        </is>
      </c>
      <c r="F2660" t="inlineStr">
        <is>
          <t>Kyrkan</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43149-2021</t>
        </is>
      </c>
      <c r="B2661" s="1" t="n">
        <v>44431</v>
      </c>
      <c r="C2661" s="1" t="n">
        <v>45761</v>
      </c>
      <c r="D2661" t="inlineStr">
        <is>
          <t>SÖDERMANLANDS LÄN</t>
        </is>
      </c>
      <c r="E2661" t="inlineStr">
        <is>
          <t>ESKILSTUNA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45761</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43397-2021</t>
        </is>
      </c>
      <c r="B2663" s="1" t="n">
        <v>44432</v>
      </c>
      <c r="C2663" s="1" t="n">
        <v>45761</v>
      </c>
      <c r="D2663" t="inlineStr">
        <is>
          <t>SÖDERMANLANDS LÄN</t>
        </is>
      </c>
      <c r="E2663" t="inlineStr">
        <is>
          <t>ESKILSTUNA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43396-2021</t>
        </is>
      </c>
      <c r="B2664" s="1" t="n">
        <v>44432</v>
      </c>
      <c r="C2664" s="1" t="n">
        <v>45761</v>
      </c>
      <c r="D2664" t="inlineStr">
        <is>
          <t>SÖDERMANLANDS LÄN</t>
        </is>
      </c>
      <c r="E2664" t="inlineStr">
        <is>
          <t>ESKILSTUNA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43523-2021</t>
        </is>
      </c>
      <c r="B2665" s="1" t="n">
        <v>44432</v>
      </c>
      <c r="C2665" s="1" t="n">
        <v>45761</v>
      </c>
      <c r="D2665" t="inlineStr">
        <is>
          <t>SÖDERMANLANDS LÄN</t>
        </is>
      </c>
      <c r="E2665" t="inlineStr">
        <is>
          <t>STRÄNGNÄS</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43394-2021</t>
        </is>
      </c>
      <c r="B2666" s="1" t="n">
        <v>44432</v>
      </c>
      <c r="C2666" s="1" t="n">
        <v>45761</v>
      </c>
      <c r="D2666" t="inlineStr">
        <is>
          <t>SÖDERMANLANDS LÄN</t>
        </is>
      </c>
      <c r="E2666" t="inlineStr">
        <is>
          <t>FLEN</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43403-2021</t>
        </is>
      </c>
      <c r="B2667" s="1" t="n">
        <v>44432</v>
      </c>
      <c r="C2667" s="1" t="n">
        <v>45761</v>
      </c>
      <c r="D2667" t="inlineStr">
        <is>
          <t>SÖDERMANLANDS LÄN</t>
        </is>
      </c>
      <c r="E2667" t="inlineStr">
        <is>
          <t>ESKILSTUNA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43389-2021</t>
        </is>
      </c>
      <c r="B2668" s="1" t="n">
        <v>44432</v>
      </c>
      <c r="C2668" s="1" t="n">
        <v>45761</v>
      </c>
      <c r="D2668" t="inlineStr">
        <is>
          <t>SÖDERMANLANDS LÄN</t>
        </is>
      </c>
      <c r="E2668" t="inlineStr">
        <is>
          <t>ESKILSTUNA</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43412-2021</t>
        </is>
      </c>
      <c r="B2669" s="1" t="n">
        <v>44432</v>
      </c>
      <c r="C2669" s="1" t="n">
        <v>45761</v>
      </c>
      <c r="D2669" t="inlineStr">
        <is>
          <t>SÖDERMANLANDS LÄN</t>
        </is>
      </c>
      <c r="E2669" t="inlineStr">
        <is>
          <t>STRÄNGNÄS</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43535-2021</t>
        </is>
      </c>
      <c r="B2670" s="1" t="n">
        <v>44432</v>
      </c>
      <c r="C2670" s="1" t="n">
        <v>45761</v>
      </c>
      <c r="D2670" t="inlineStr">
        <is>
          <t>SÖDERMANLANDS LÄN</t>
        </is>
      </c>
      <c r="E2670" t="inlineStr">
        <is>
          <t>STRÄNGNÄS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43426-2021</t>
        </is>
      </c>
      <c r="B2671" s="1" t="n">
        <v>44432</v>
      </c>
      <c r="C2671" s="1" t="n">
        <v>45761</v>
      </c>
      <c r="D2671" t="inlineStr">
        <is>
          <t>SÖDERMANLANDS LÄN</t>
        </is>
      </c>
      <c r="E2671" t="inlineStr">
        <is>
          <t>ESKILSTUNA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43450-2021</t>
        </is>
      </c>
      <c r="B2672" s="1" t="n">
        <v>44432</v>
      </c>
      <c r="C2672" s="1" t="n">
        <v>45761</v>
      </c>
      <c r="D2672" t="inlineStr">
        <is>
          <t>SÖDERMANLANDS LÄN</t>
        </is>
      </c>
      <c r="E2672" t="inlineStr">
        <is>
          <t>FLEN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43499-2021</t>
        </is>
      </c>
      <c r="B2673" s="1" t="n">
        <v>44433</v>
      </c>
      <c r="C2673" s="1" t="n">
        <v>45761</v>
      </c>
      <c r="D2673" t="inlineStr">
        <is>
          <t>SÖDERMANLANDS LÄN</t>
        </is>
      </c>
      <c r="E2673" t="inlineStr">
        <is>
          <t>KATRINEHOLM</t>
        </is>
      </c>
      <c r="F2673" t="inlineStr">
        <is>
          <t>Övriga Aktiebolag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43640-2021</t>
        </is>
      </c>
      <c r="B2674" s="1" t="n">
        <v>44433</v>
      </c>
      <c r="C2674" s="1" t="n">
        <v>45761</v>
      </c>
      <c r="D2674" t="inlineStr">
        <is>
          <t>SÖDERMANLANDS LÄN</t>
        </is>
      </c>
      <c r="E2674" t="inlineStr">
        <is>
          <t>FLEN</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43541-2021</t>
        </is>
      </c>
      <c r="B2675" s="1" t="n">
        <v>44433</v>
      </c>
      <c r="C2675" s="1" t="n">
        <v>45761</v>
      </c>
      <c r="D2675" t="inlineStr">
        <is>
          <t>SÖDERMANLANDS LÄN</t>
        </is>
      </c>
      <c r="E2675" t="inlineStr">
        <is>
          <t>FLEN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43569-2021</t>
        </is>
      </c>
      <c r="B2676" s="1" t="n">
        <v>44433</v>
      </c>
      <c r="C2676" s="1" t="n">
        <v>45761</v>
      </c>
      <c r="D2676" t="inlineStr">
        <is>
          <t>SÖDERMANLANDS LÄN</t>
        </is>
      </c>
      <c r="E2676" t="inlineStr">
        <is>
          <t>KATRINEHOLM</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43606-2021</t>
        </is>
      </c>
      <c r="B2677" s="1" t="n">
        <v>44433</v>
      </c>
      <c r="C2677" s="1" t="n">
        <v>45761</v>
      </c>
      <c r="D2677" t="inlineStr">
        <is>
          <t>SÖDERMANLANDS LÄN</t>
        </is>
      </c>
      <c r="E2677" t="inlineStr">
        <is>
          <t>ESKILSTUNA</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45856-2021</t>
        </is>
      </c>
      <c r="B2678" s="1" t="n">
        <v>44433</v>
      </c>
      <c r="C2678" s="1" t="n">
        <v>45761</v>
      </c>
      <c r="D2678" t="inlineStr">
        <is>
          <t>SÖDERMANLANDS LÄN</t>
        </is>
      </c>
      <c r="E2678" t="inlineStr">
        <is>
          <t>NYKÖPING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44019-2021</t>
        </is>
      </c>
      <c r="B2679" s="1" t="n">
        <v>44434</v>
      </c>
      <c r="C2679" s="1" t="n">
        <v>45761</v>
      </c>
      <c r="D2679" t="inlineStr">
        <is>
          <t>SÖDERMANLANDS LÄN</t>
        </is>
      </c>
      <c r="E2679" t="inlineStr">
        <is>
          <t>ESKILSTUNA</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44024-2021</t>
        </is>
      </c>
      <c r="B2680" s="1" t="n">
        <v>44434</v>
      </c>
      <c r="C2680" s="1" t="n">
        <v>45761</v>
      </c>
      <c r="D2680" t="inlineStr">
        <is>
          <t>SÖDERMANLANDS LÄN</t>
        </is>
      </c>
      <c r="E2680" t="inlineStr">
        <is>
          <t>KATRINEHOLM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43868-2021</t>
        </is>
      </c>
      <c r="B2681" s="1" t="n">
        <v>44434</v>
      </c>
      <c r="C2681" s="1" t="n">
        <v>45761</v>
      </c>
      <c r="D2681" t="inlineStr">
        <is>
          <t>SÖDERMANLANDS LÄN</t>
        </is>
      </c>
      <c r="E2681" t="inlineStr">
        <is>
          <t>VINGÅKER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44477-2021</t>
        </is>
      </c>
      <c r="B2682" s="1" t="n">
        <v>44435</v>
      </c>
      <c r="C2682" s="1" t="n">
        <v>45761</v>
      </c>
      <c r="D2682" t="inlineStr">
        <is>
          <t>SÖDERMANLANDS LÄN</t>
        </is>
      </c>
      <c r="E2682" t="inlineStr">
        <is>
          <t>NYKÖPING</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44359-2021</t>
        </is>
      </c>
      <c r="B2683" s="1" t="n">
        <v>44435</v>
      </c>
      <c r="C2683" s="1" t="n">
        <v>45761</v>
      </c>
      <c r="D2683" t="inlineStr">
        <is>
          <t>SÖDERMANLANDS LÄN</t>
        </is>
      </c>
      <c r="E2683" t="inlineStr">
        <is>
          <t>FLEN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44347-2021</t>
        </is>
      </c>
      <c r="B2684" s="1" t="n">
        <v>44435</v>
      </c>
      <c r="C2684" s="1" t="n">
        <v>45761</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44533-2021</t>
        </is>
      </c>
      <c r="B2685" s="1" t="n">
        <v>44435</v>
      </c>
      <c r="C2685" s="1" t="n">
        <v>45761</v>
      </c>
      <c r="D2685" t="inlineStr">
        <is>
          <t>SÖDERMANLANDS LÄN</t>
        </is>
      </c>
      <c r="E2685" t="inlineStr">
        <is>
          <t>NYKÖPING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44473-2021</t>
        </is>
      </c>
      <c r="B2686" s="1" t="n">
        <v>44435</v>
      </c>
      <c r="C2686" s="1" t="n">
        <v>45761</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44536-2021</t>
        </is>
      </c>
      <c r="B2687" s="1" t="n">
        <v>44435</v>
      </c>
      <c r="C2687" s="1" t="n">
        <v>45761</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44943-2021</t>
        </is>
      </c>
      <c r="B2688" s="1" t="n">
        <v>44438</v>
      </c>
      <c r="C2688" s="1" t="n">
        <v>45761</v>
      </c>
      <c r="D2688" t="inlineStr">
        <is>
          <t>SÖDERMANLANDS LÄN</t>
        </is>
      </c>
      <c r="E2688" t="inlineStr">
        <is>
          <t>GNESTA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45034-2021</t>
        </is>
      </c>
      <c r="B2689" s="1" t="n">
        <v>44438</v>
      </c>
      <c r="C2689" s="1" t="n">
        <v>45761</v>
      </c>
      <c r="D2689" t="inlineStr">
        <is>
          <t>SÖDERMANLANDS LÄN</t>
        </is>
      </c>
      <c r="E2689" t="inlineStr">
        <is>
          <t>NYKÖPING</t>
        </is>
      </c>
      <c r="F2689" t="inlineStr">
        <is>
          <t>Allmännings- och besparingsskogar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45129-2021</t>
        </is>
      </c>
      <c r="B2690" s="1" t="n">
        <v>44439</v>
      </c>
      <c r="C2690" s="1" t="n">
        <v>45761</v>
      </c>
      <c r="D2690" t="inlineStr">
        <is>
          <t>SÖDERMANLANDS LÄN</t>
        </is>
      </c>
      <c r="E2690" t="inlineStr">
        <is>
          <t>STRÄNGNÄS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45120-2021</t>
        </is>
      </c>
      <c r="B2691" s="1" t="n">
        <v>44439</v>
      </c>
      <c r="C2691" s="1" t="n">
        <v>45761</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45130-2021</t>
        </is>
      </c>
      <c r="B2692" s="1" t="n">
        <v>44439</v>
      </c>
      <c r="C2692" s="1" t="n">
        <v>45761</v>
      </c>
      <c r="D2692" t="inlineStr">
        <is>
          <t>SÖDERMANLANDS LÄN</t>
        </is>
      </c>
      <c r="E2692" t="inlineStr">
        <is>
          <t>KATRINEHOLM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45147-2021</t>
        </is>
      </c>
      <c r="B2693" s="1" t="n">
        <v>44439</v>
      </c>
      <c r="C2693" s="1" t="n">
        <v>45761</v>
      </c>
      <c r="D2693" t="inlineStr">
        <is>
          <t>SÖDERMANLANDS LÄN</t>
        </is>
      </c>
      <c r="E2693" t="inlineStr">
        <is>
          <t>KATRINEHOLM</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45131-2021</t>
        </is>
      </c>
      <c r="B2694" s="1" t="n">
        <v>44439</v>
      </c>
      <c r="C2694" s="1" t="n">
        <v>45761</v>
      </c>
      <c r="D2694" t="inlineStr">
        <is>
          <t>SÖDERMANLANDS LÄN</t>
        </is>
      </c>
      <c r="E2694" t="inlineStr">
        <is>
          <t>STRÄNGNÄS</t>
        </is>
      </c>
      <c r="F2694" t="inlineStr">
        <is>
          <t>Kommuner</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45142-2021</t>
        </is>
      </c>
      <c r="B2695" s="1" t="n">
        <v>44439</v>
      </c>
      <c r="C2695" s="1" t="n">
        <v>45761</v>
      </c>
      <c r="D2695" t="inlineStr">
        <is>
          <t>SÖDERMANLANDS LÄN</t>
        </is>
      </c>
      <c r="E2695" t="inlineStr">
        <is>
          <t>KATRINEHOLM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47251-2021</t>
        </is>
      </c>
      <c r="B2696" s="1" t="n">
        <v>44439</v>
      </c>
      <c r="C2696" s="1" t="n">
        <v>45761</v>
      </c>
      <c r="D2696" t="inlineStr">
        <is>
          <t>SÖDERMANLANDS LÄN</t>
        </is>
      </c>
      <c r="E2696" t="inlineStr">
        <is>
          <t>STRÄNGNÄS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45435-2021</t>
        </is>
      </c>
      <c r="B2697" s="1" t="n">
        <v>44440</v>
      </c>
      <c r="C2697" s="1" t="n">
        <v>45761</v>
      </c>
      <c r="D2697" t="inlineStr">
        <is>
          <t>SÖDERMANLANDS LÄN</t>
        </is>
      </c>
      <c r="E2697" t="inlineStr">
        <is>
          <t>KATRINEHOLM</t>
        </is>
      </c>
      <c r="F2697" t="inlineStr">
        <is>
          <t>Kommuner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45438-2021</t>
        </is>
      </c>
      <c r="B2698" s="1" t="n">
        <v>44440</v>
      </c>
      <c r="C2698" s="1" t="n">
        <v>45761</v>
      </c>
      <c r="D2698" t="inlineStr">
        <is>
          <t>SÖDERMANLANDS LÄN</t>
        </is>
      </c>
      <c r="E2698" t="inlineStr">
        <is>
          <t>KATRINEHOLM</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45468-2021</t>
        </is>
      </c>
      <c r="B2699" s="1" t="n">
        <v>44440</v>
      </c>
      <c r="C2699" s="1" t="n">
        <v>45761</v>
      </c>
      <c r="D2699" t="inlineStr">
        <is>
          <t>SÖDERMANLANDS LÄN</t>
        </is>
      </c>
      <c r="E2699" t="inlineStr">
        <is>
          <t>FLEN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45533-2021</t>
        </is>
      </c>
      <c r="B2700" s="1" t="n">
        <v>44440</v>
      </c>
      <c r="C2700" s="1" t="n">
        <v>45761</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45574-2021</t>
        </is>
      </c>
      <c r="B2701" s="1" t="n">
        <v>44440</v>
      </c>
      <c r="C2701" s="1" t="n">
        <v>45761</v>
      </c>
      <c r="D2701" t="inlineStr">
        <is>
          <t>SÖDERMANLANDS LÄN</t>
        </is>
      </c>
      <c r="E2701" t="inlineStr">
        <is>
          <t>NYKÖPING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45569-2021</t>
        </is>
      </c>
      <c r="B2702" s="1" t="n">
        <v>44440</v>
      </c>
      <c r="C2702" s="1" t="n">
        <v>45761</v>
      </c>
      <c r="D2702" t="inlineStr">
        <is>
          <t>SÖDERMANLANDS LÄN</t>
        </is>
      </c>
      <c r="E2702" t="inlineStr">
        <is>
          <t>NYKÖPING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45785-2021</t>
        </is>
      </c>
      <c r="B2703" s="1" t="n">
        <v>44441</v>
      </c>
      <c r="C2703" s="1" t="n">
        <v>45761</v>
      </c>
      <c r="D2703" t="inlineStr">
        <is>
          <t>SÖDERMANLANDS LÄN</t>
        </is>
      </c>
      <c r="E2703" t="inlineStr">
        <is>
          <t>KATRINEHOLM</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45852-2021</t>
        </is>
      </c>
      <c r="B2704" s="1" t="n">
        <v>44441</v>
      </c>
      <c r="C2704" s="1" t="n">
        <v>45761</v>
      </c>
      <c r="D2704" t="inlineStr">
        <is>
          <t>SÖDERMANLANDS LÄN</t>
        </is>
      </c>
      <c r="E2704" t="inlineStr">
        <is>
          <t>ESKILSTUNA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45999-2021</t>
        </is>
      </c>
      <c r="B2705" s="1" t="n">
        <v>44441</v>
      </c>
      <c r="C2705" s="1" t="n">
        <v>45761</v>
      </c>
      <c r="D2705" t="inlineStr">
        <is>
          <t>SÖDERMANLANDS LÄN</t>
        </is>
      </c>
      <c r="E2705" t="inlineStr">
        <is>
          <t>ESKILSTUNA</t>
        </is>
      </c>
      <c r="F2705" t="inlineStr">
        <is>
          <t>Kommuner</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45914-2021</t>
        </is>
      </c>
      <c r="B2706" s="1" t="n">
        <v>44441</v>
      </c>
      <c r="C2706" s="1" t="n">
        <v>45761</v>
      </c>
      <c r="D2706" t="inlineStr">
        <is>
          <t>SÖDERMANLANDS LÄN</t>
        </is>
      </c>
      <c r="E2706" t="inlineStr">
        <is>
          <t>KATRINEHOLM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46011-2021</t>
        </is>
      </c>
      <c r="B2707" s="1" t="n">
        <v>44441</v>
      </c>
      <c r="C2707" s="1" t="n">
        <v>45761</v>
      </c>
      <c r="D2707" t="inlineStr">
        <is>
          <t>SÖDERMANLANDS LÄN</t>
        </is>
      </c>
      <c r="E2707" t="inlineStr">
        <is>
          <t>KATRINEHOLM</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45921-2021</t>
        </is>
      </c>
      <c r="B2708" s="1" t="n">
        <v>44441</v>
      </c>
      <c r="C2708" s="1" t="n">
        <v>45761</v>
      </c>
      <c r="D2708" t="inlineStr">
        <is>
          <t>SÖDERMANLANDS LÄN</t>
        </is>
      </c>
      <c r="E2708" t="inlineStr">
        <is>
          <t>KATRINEHOLM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45789-2021</t>
        </is>
      </c>
      <c r="B2709" s="1" t="n">
        <v>44441</v>
      </c>
      <c r="C2709" s="1" t="n">
        <v>45761</v>
      </c>
      <c r="D2709" t="inlineStr">
        <is>
          <t>SÖDERMANLANDS LÄN</t>
        </is>
      </c>
      <c r="E2709" t="inlineStr">
        <is>
          <t>VINGÅKER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46079-2021</t>
        </is>
      </c>
      <c r="B2710" s="1" t="n">
        <v>44442</v>
      </c>
      <c r="C2710" s="1" t="n">
        <v>45761</v>
      </c>
      <c r="D2710" t="inlineStr">
        <is>
          <t>SÖDERMANLANDS LÄN</t>
        </is>
      </c>
      <c r="E2710" t="inlineStr">
        <is>
          <t>GNESTA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46085-2021</t>
        </is>
      </c>
      <c r="B2711" s="1" t="n">
        <v>44442</v>
      </c>
      <c r="C2711" s="1" t="n">
        <v>45761</v>
      </c>
      <c r="D2711" t="inlineStr">
        <is>
          <t>SÖDERMANLANDS LÄN</t>
        </is>
      </c>
      <c r="E2711" t="inlineStr">
        <is>
          <t>GNESTA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46257-2021</t>
        </is>
      </c>
      <c r="B2712" s="1" t="n">
        <v>44442</v>
      </c>
      <c r="C2712" s="1" t="n">
        <v>45761</v>
      </c>
      <c r="D2712" t="inlineStr">
        <is>
          <t>SÖDERMANLANDS LÄN</t>
        </is>
      </c>
      <c r="E2712" t="inlineStr">
        <is>
          <t>KATRINEHOLM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46575-2021</t>
        </is>
      </c>
      <c r="B2713" s="1" t="n">
        <v>44445</v>
      </c>
      <c r="C2713" s="1" t="n">
        <v>45761</v>
      </c>
      <c r="D2713" t="inlineStr">
        <is>
          <t>SÖDERMANLANDS LÄN</t>
        </is>
      </c>
      <c r="E2713" t="inlineStr">
        <is>
          <t>NYKÖPING</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46586-2021</t>
        </is>
      </c>
      <c r="B2714" s="1" t="n">
        <v>44445</v>
      </c>
      <c r="C2714" s="1" t="n">
        <v>45761</v>
      </c>
      <c r="D2714" t="inlineStr">
        <is>
          <t>SÖDERMANLANDS LÄN</t>
        </is>
      </c>
      <c r="E2714" t="inlineStr">
        <is>
          <t>STRÄNGNÄS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46640-2021</t>
        </is>
      </c>
      <c r="B2715" s="1" t="n">
        <v>44445</v>
      </c>
      <c r="C2715" s="1" t="n">
        <v>45761</v>
      </c>
      <c r="D2715" t="inlineStr">
        <is>
          <t>SÖDERMANLANDS LÄN</t>
        </is>
      </c>
      <c r="E2715" t="inlineStr">
        <is>
          <t>KATRINEHOLM</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46648-2021</t>
        </is>
      </c>
      <c r="B2716" s="1" t="n">
        <v>44445</v>
      </c>
      <c r="C2716" s="1" t="n">
        <v>45761</v>
      </c>
      <c r="D2716" t="inlineStr">
        <is>
          <t>SÖDERMANLANDS LÄN</t>
        </is>
      </c>
      <c r="E2716" t="inlineStr">
        <is>
          <t>NYKÖPING</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46574-2021</t>
        </is>
      </c>
      <c r="B2717" s="1" t="n">
        <v>44445</v>
      </c>
      <c r="C2717" s="1" t="n">
        <v>45761</v>
      </c>
      <c r="D2717" t="inlineStr">
        <is>
          <t>SÖDERMANLANDS LÄN</t>
        </is>
      </c>
      <c r="E2717" t="inlineStr">
        <is>
          <t>NYKÖPING</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46584-2021</t>
        </is>
      </c>
      <c r="B2718" s="1" t="n">
        <v>44445</v>
      </c>
      <c r="C2718" s="1" t="n">
        <v>45761</v>
      </c>
      <c r="D2718" t="inlineStr">
        <is>
          <t>SÖDERMANLANDS LÄN</t>
        </is>
      </c>
      <c r="E2718" t="inlineStr">
        <is>
          <t>KATRINEHOLM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46703-2021</t>
        </is>
      </c>
      <c r="B2719" s="1" t="n">
        <v>44445</v>
      </c>
      <c r="C2719" s="1" t="n">
        <v>45761</v>
      </c>
      <c r="D2719" t="inlineStr">
        <is>
          <t>SÖDERMANLANDS LÄN</t>
        </is>
      </c>
      <c r="E2719" t="inlineStr">
        <is>
          <t>KATRINEHOLM</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46723-2021</t>
        </is>
      </c>
      <c r="B2720" s="1" t="n">
        <v>44445</v>
      </c>
      <c r="C2720" s="1" t="n">
        <v>45761</v>
      </c>
      <c r="D2720" t="inlineStr">
        <is>
          <t>SÖDERMANLANDS LÄN</t>
        </is>
      </c>
      <c r="E2720" t="inlineStr">
        <is>
          <t>KATRINEHOLM</t>
        </is>
      </c>
      <c r="F2720" t="inlineStr">
        <is>
          <t>Allmännings- och besparingsskogar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46670-2021</t>
        </is>
      </c>
      <c r="B2721" s="1" t="n">
        <v>44445</v>
      </c>
      <c r="C2721" s="1" t="n">
        <v>45761</v>
      </c>
      <c r="D2721" t="inlineStr">
        <is>
          <t>SÖDERMANLANDS LÄN</t>
        </is>
      </c>
      <c r="E2721" t="inlineStr">
        <is>
          <t>KATRINEHOLM</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46828-2021</t>
        </is>
      </c>
      <c r="B2722" s="1" t="n">
        <v>44446</v>
      </c>
      <c r="C2722" s="1" t="n">
        <v>45761</v>
      </c>
      <c r="D2722" t="inlineStr">
        <is>
          <t>SÖDERMANLANDS LÄN</t>
        </is>
      </c>
      <c r="E2722" t="inlineStr">
        <is>
          <t>NYKÖPING</t>
        </is>
      </c>
      <c r="G2722" t="n">
        <v>30.2</v>
      </c>
      <c r="H2722" t="n">
        <v>0</v>
      </c>
      <c r="I2722" t="n">
        <v>0</v>
      </c>
      <c r="J2722" t="n">
        <v>0</v>
      </c>
      <c r="K2722" t="n">
        <v>0</v>
      </c>
      <c r="L2722" t="n">
        <v>0</v>
      </c>
      <c r="M2722" t="n">
        <v>0</v>
      </c>
      <c r="N2722" t="n">
        <v>0</v>
      </c>
      <c r="O2722" t="n">
        <v>0</v>
      </c>
      <c r="P2722" t="n">
        <v>0</v>
      </c>
      <c r="Q2722" t="n">
        <v>0</v>
      </c>
      <c r="R2722" s="2" t="inlineStr"/>
    </row>
    <row r="2723" ht="15" customHeight="1">
      <c r="A2723" t="inlineStr">
        <is>
          <t>A 46838-2021</t>
        </is>
      </c>
      <c r="B2723" s="1" t="n">
        <v>44446</v>
      </c>
      <c r="C2723" s="1" t="n">
        <v>45761</v>
      </c>
      <c r="D2723" t="inlineStr">
        <is>
          <t>SÖDERMANLANDS LÄN</t>
        </is>
      </c>
      <c r="E2723" t="inlineStr">
        <is>
          <t>NYKÖPING</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47107-2021</t>
        </is>
      </c>
      <c r="B2724" s="1" t="n">
        <v>44446</v>
      </c>
      <c r="C2724" s="1" t="n">
        <v>45761</v>
      </c>
      <c r="D2724" t="inlineStr">
        <is>
          <t>SÖDERMANLANDS LÄN</t>
        </is>
      </c>
      <c r="E2724" t="inlineStr">
        <is>
          <t>NYKÖPING</t>
        </is>
      </c>
      <c r="F2724" t="inlineStr">
        <is>
          <t>Kommuner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47172-2021</t>
        </is>
      </c>
      <c r="B2725" s="1" t="n">
        <v>44446</v>
      </c>
      <c r="C2725" s="1" t="n">
        <v>45761</v>
      </c>
      <c r="D2725" t="inlineStr">
        <is>
          <t>SÖDERMANLANDS LÄN</t>
        </is>
      </c>
      <c r="E2725" t="inlineStr">
        <is>
          <t>VINGÅKER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47314-2021</t>
        </is>
      </c>
      <c r="B2726" s="1" t="n">
        <v>44447</v>
      </c>
      <c r="C2726" s="1" t="n">
        <v>45761</v>
      </c>
      <c r="D2726" t="inlineStr">
        <is>
          <t>SÖDERMANLANDS LÄN</t>
        </is>
      </c>
      <c r="E2726" t="inlineStr">
        <is>
          <t>GNESTA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47609-2021</t>
        </is>
      </c>
      <c r="B2727" s="1" t="n">
        <v>44448</v>
      </c>
      <c r="C2727" s="1" t="n">
        <v>45761</v>
      </c>
      <c r="D2727" t="inlineStr">
        <is>
          <t>SÖDERMANLANDS LÄN</t>
        </is>
      </c>
      <c r="E2727" t="inlineStr">
        <is>
          <t>FLEN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47613-2021</t>
        </is>
      </c>
      <c r="B2728" s="1" t="n">
        <v>44448</v>
      </c>
      <c r="C2728" s="1" t="n">
        <v>45761</v>
      </c>
      <c r="D2728" t="inlineStr">
        <is>
          <t>SÖDERMANLANDS LÄN</t>
        </is>
      </c>
      <c r="E2728" t="inlineStr">
        <is>
          <t>FLEN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47644-2021</t>
        </is>
      </c>
      <c r="B2729" s="1" t="n">
        <v>44448</v>
      </c>
      <c r="C2729" s="1" t="n">
        <v>45761</v>
      </c>
      <c r="D2729" t="inlineStr">
        <is>
          <t>SÖDERMANLANDS LÄN</t>
        </is>
      </c>
      <c r="E2729" t="inlineStr">
        <is>
          <t>FLEN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47604-2021</t>
        </is>
      </c>
      <c r="B2730" s="1" t="n">
        <v>44448</v>
      </c>
      <c r="C2730" s="1" t="n">
        <v>45761</v>
      </c>
      <c r="D2730" t="inlineStr">
        <is>
          <t>SÖDERMANLANDS LÄN</t>
        </is>
      </c>
      <c r="E2730" t="inlineStr">
        <is>
          <t>FLEN</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47726-2021</t>
        </is>
      </c>
      <c r="B2731" s="1" t="n">
        <v>44448</v>
      </c>
      <c r="C2731" s="1" t="n">
        <v>45761</v>
      </c>
      <c r="D2731" t="inlineStr">
        <is>
          <t>SÖDERMANLANDS LÄN</t>
        </is>
      </c>
      <c r="E2731" t="inlineStr">
        <is>
          <t>STRÄNGNÄS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47988-2021</t>
        </is>
      </c>
      <c r="B2732" s="1" t="n">
        <v>44449</v>
      </c>
      <c r="C2732" s="1" t="n">
        <v>45761</v>
      </c>
      <c r="D2732" t="inlineStr">
        <is>
          <t>SÖDERMANLANDS LÄN</t>
        </is>
      </c>
      <c r="E2732" t="inlineStr">
        <is>
          <t>ESKILSTUNA</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47965-2021</t>
        </is>
      </c>
      <c r="B2733" s="1" t="n">
        <v>44449</v>
      </c>
      <c r="C2733" s="1" t="n">
        <v>45761</v>
      </c>
      <c r="D2733" t="inlineStr">
        <is>
          <t>SÖDERMANLANDS LÄN</t>
        </is>
      </c>
      <c r="E2733" t="inlineStr">
        <is>
          <t>ESKILSTUNA</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47981-2021</t>
        </is>
      </c>
      <c r="B2734" s="1" t="n">
        <v>44449</v>
      </c>
      <c r="C2734" s="1" t="n">
        <v>45761</v>
      </c>
      <c r="D2734" t="inlineStr">
        <is>
          <t>SÖDERMANLANDS LÄN</t>
        </is>
      </c>
      <c r="E2734" t="inlineStr">
        <is>
          <t>ESKILSTUNA</t>
        </is>
      </c>
      <c r="F2734" t="inlineStr">
        <is>
          <t>Holmen skog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48168-2021</t>
        </is>
      </c>
      <c r="B2735" s="1" t="n">
        <v>44449</v>
      </c>
      <c r="C2735" s="1" t="n">
        <v>45761</v>
      </c>
      <c r="D2735" t="inlineStr">
        <is>
          <t>SÖDERMANLANDS LÄN</t>
        </is>
      </c>
      <c r="E2735" t="inlineStr">
        <is>
          <t>ESKILSTUNA</t>
        </is>
      </c>
      <c r="F2735" t="inlineStr">
        <is>
          <t>Holmen skog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48166-2021</t>
        </is>
      </c>
      <c r="B2736" s="1" t="n">
        <v>44449</v>
      </c>
      <c r="C2736" s="1" t="n">
        <v>45761</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48497-2021</t>
        </is>
      </c>
      <c r="B2737" s="1" t="n">
        <v>44449</v>
      </c>
      <c r="C2737" s="1" t="n">
        <v>45761</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52063-2021</t>
        </is>
      </c>
      <c r="B2738" s="1" t="n">
        <v>44449</v>
      </c>
      <c r="C2738" s="1" t="n">
        <v>45761</v>
      </c>
      <c r="D2738" t="inlineStr">
        <is>
          <t>SÖDERMANLANDS LÄN</t>
        </is>
      </c>
      <c r="E2738" t="inlineStr">
        <is>
          <t>KATRINEHOLM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48298-2021</t>
        </is>
      </c>
      <c r="B2739" s="1" t="n">
        <v>44450</v>
      </c>
      <c r="C2739" s="1" t="n">
        <v>45761</v>
      </c>
      <c r="D2739" t="inlineStr">
        <is>
          <t>SÖDERMANLANDS LÄN</t>
        </is>
      </c>
      <c r="E2739" t="inlineStr">
        <is>
          <t>FLEN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48459-2021</t>
        </is>
      </c>
      <c r="B2740" s="1" t="n">
        <v>44452</v>
      </c>
      <c r="C2740" s="1" t="n">
        <v>45761</v>
      </c>
      <c r="D2740" t="inlineStr">
        <is>
          <t>SÖDERMANLANDS LÄN</t>
        </is>
      </c>
      <c r="E2740" t="inlineStr">
        <is>
          <t>NYKÖPING</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48437-2021</t>
        </is>
      </c>
      <c r="B2741" s="1" t="n">
        <v>44452</v>
      </c>
      <c r="C2741" s="1" t="n">
        <v>45761</v>
      </c>
      <c r="D2741" t="inlineStr">
        <is>
          <t>SÖDERMANLANDS LÄN</t>
        </is>
      </c>
      <c r="E2741" t="inlineStr">
        <is>
          <t>GNESTA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48763-2021</t>
        </is>
      </c>
      <c r="B2742" s="1" t="n">
        <v>44452</v>
      </c>
      <c r="C2742" s="1" t="n">
        <v>45761</v>
      </c>
      <c r="D2742" t="inlineStr">
        <is>
          <t>SÖDERMANLANDS LÄN</t>
        </is>
      </c>
      <c r="E2742" t="inlineStr">
        <is>
          <t>FLEN</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48671-2021</t>
        </is>
      </c>
      <c r="B2743" s="1" t="n">
        <v>44452</v>
      </c>
      <c r="C2743" s="1" t="n">
        <v>45761</v>
      </c>
      <c r="D2743" t="inlineStr">
        <is>
          <t>SÖDERMANLANDS LÄN</t>
        </is>
      </c>
      <c r="E2743" t="inlineStr">
        <is>
          <t>ESKILSTUNA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48738-2021</t>
        </is>
      </c>
      <c r="B2744" s="1" t="n">
        <v>44452</v>
      </c>
      <c r="C2744" s="1" t="n">
        <v>45761</v>
      </c>
      <c r="D2744" t="inlineStr">
        <is>
          <t>SÖDERMANLANDS LÄN</t>
        </is>
      </c>
      <c r="E2744" t="inlineStr">
        <is>
          <t>GNESTA</t>
        </is>
      </c>
      <c r="F2744" t="inlineStr">
        <is>
          <t>Kyrkan</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48785-2021</t>
        </is>
      </c>
      <c r="B2745" s="1" t="n">
        <v>44452</v>
      </c>
      <c r="C2745" s="1" t="n">
        <v>45761</v>
      </c>
      <c r="D2745" t="inlineStr">
        <is>
          <t>SÖDERMANLANDS LÄN</t>
        </is>
      </c>
      <c r="E2745" t="inlineStr">
        <is>
          <t>STRÄNGNÄS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48550-2021</t>
        </is>
      </c>
      <c r="B2746" s="1" t="n">
        <v>44452</v>
      </c>
      <c r="C2746" s="1" t="n">
        <v>45761</v>
      </c>
      <c r="D2746" t="inlineStr">
        <is>
          <t>SÖDERMANLANDS LÄN</t>
        </is>
      </c>
      <c r="E2746" t="inlineStr">
        <is>
          <t>VINGÅKER</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48676-2021</t>
        </is>
      </c>
      <c r="B2747" s="1" t="n">
        <v>44452</v>
      </c>
      <c r="C2747" s="1" t="n">
        <v>45761</v>
      </c>
      <c r="D2747" t="inlineStr">
        <is>
          <t>SÖDERMANLANDS LÄN</t>
        </is>
      </c>
      <c r="E2747" t="inlineStr">
        <is>
          <t>ESKILSTUNA</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48819-2021</t>
        </is>
      </c>
      <c r="B2748" s="1" t="n">
        <v>44452</v>
      </c>
      <c r="C2748" s="1" t="n">
        <v>45761</v>
      </c>
      <c r="D2748" t="inlineStr">
        <is>
          <t>SÖDERMANLANDS LÄN</t>
        </is>
      </c>
      <c r="E2748" t="inlineStr">
        <is>
          <t>NYKÖPING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48925-2021</t>
        </is>
      </c>
      <c r="B2749" s="1" t="n">
        <v>44452</v>
      </c>
      <c r="C2749" s="1" t="n">
        <v>45761</v>
      </c>
      <c r="D2749" t="inlineStr">
        <is>
          <t>SÖDERMANLANDS LÄN</t>
        </is>
      </c>
      <c r="E2749" t="inlineStr">
        <is>
          <t>FLEN</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48926-2021</t>
        </is>
      </c>
      <c r="B2750" s="1" t="n">
        <v>44453</v>
      </c>
      <c r="C2750" s="1" t="n">
        <v>45761</v>
      </c>
      <c r="D2750" t="inlineStr">
        <is>
          <t>SÖDERMANLANDS LÄN</t>
        </is>
      </c>
      <c r="E2750" t="inlineStr">
        <is>
          <t>STRÄNGNÄS</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49055-2021</t>
        </is>
      </c>
      <c r="B2751" s="1" t="n">
        <v>44453</v>
      </c>
      <c r="C2751" s="1" t="n">
        <v>45761</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49323-2021</t>
        </is>
      </c>
      <c r="B2752" s="1" t="n">
        <v>44453</v>
      </c>
      <c r="C2752" s="1" t="n">
        <v>45761</v>
      </c>
      <c r="D2752" t="inlineStr">
        <is>
          <t>SÖDERMANLANDS LÄN</t>
        </is>
      </c>
      <c r="E2752" t="inlineStr">
        <is>
          <t>FLEN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49275-2021</t>
        </is>
      </c>
      <c r="B2753" s="1" t="n">
        <v>44453</v>
      </c>
      <c r="C2753" s="1" t="n">
        <v>45761</v>
      </c>
      <c r="D2753" t="inlineStr">
        <is>
          <t>SÖDERMANLANDS LÄN</t>
        </is>
      </c>
      <c r="E2753" t="inlineStr">
        <is>
          <t>FLEN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49234-2021</t>
        </is>
      </c>
      <c r="B2754" s="1" t="n">
        <v>44454</v>
      </c>
      <c r="C2754" s="1" t="n">
        <v>45761</v>
      </c>
      <c r="D2754" t="inlineStr">
        <is>
          <t>SÖDERMANLANDS LÄN</t>
        </is>
      </c>
      <c r="E2754" t="inlineStr">
        <is>
          <t>NYKÖPING</t>
        </is>
      </c>
      <c r="F2754" t="inlineStr">
        <is>
          <t>Holmen skog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49252-2021</t>
        </is>
      </c>
      <c r="B2755" s="1" t="n">
        <v>44454</v>
      </c>
      <c r="C2755" s="1" t="n">
        <v>45761</v>
      </c>
      <c r="D2755" t="inlineStr">
        <is>
          <t>SÖDERMANLANDS LÄN</t>
        </is>
      </c>
      <c r="E2755" t="inlineStr">
        <is>
          <t>FLEN</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49255-2021</t>
        </is>
      </c>
      <c r="B2756" s="1" t="n">
        <v>44454</v>
      </c>
      <c r="C2756" s="1" t="n">
        <v>45761</v>
      </c>
      <c r="D2756" t="inlineStr">
        <is>
          <t>SÖDERMANLANDS LÄN</t>
        </is>
      </c>
      <c r="E2756" t="inlineStr">
        <is>
          <t>FLEN</t>
        </is>
      </c>
      <c r="G2756" t="n">
        <v>15.6</v>
      </c>
      <c r="H2756" t="n">
        <v>0</v>
      </c>
      <c r="I2756" t="n">
        <v>0</v>
      </c>
      <c r="J2756" t="n">
        <v>0</v>
      </c>
      <c r="K2756" t="n">
        <v>0</v>
      </c>
      <c r="L2756" t="n">
        <v>0</v>
      </c>
      <c r="M2756" t="n">
        <v>0</v>
      </c>
      <c r="N2756" t="n">
        <v>0</v>
      </c>
      <c r="O2756" t="n">
        <v>0</v>
      </c>
      <c r="P2756" t="n">
        <v>0</v>
      </c>
      <c r="Q2756" t="n">
        <v>0</v>
      </c>
      <c r="R2756" s="2" t="inlineStr"/>
    </row>
    <row r="2757" ht="15" customHeight="1">
      <c r="A2757" t="inlineStr">
        <is>
          <t>A 49267-2021</t>
        </is>
      </c>
      <c r="B2757" s="1" t="n">
        <v>44454</v>
      </c>
      <c r="C2757" s="1" t="n">
        <v>45761</v>
      </c>
      <c r="D2757" t="inlineStr">
        <is>
          <t>SÖDERMANLANDS LÄN</t>
        </is>
      </c>
      <c r="E2757" t="inlineStr">
        <is>
          <t>VINGÅKER</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49439-2021</t>
        </is>
      </c>
      <c r="B2758" s="1" t="n">
        <v>44454</v>
      </c>
      <c r="C2758" s="1" t="n">
        <v>45761</v>
      </c>
      <c r="D2758" t="inlineStr">
        <is>
          <t>SÖDERMANLANDS LÄN</t>
        </is>
      </c>
      <c r="E2758" t="inlineStr">
        <is>
          <t>ESKILSTUNA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49494-2021</t>
        </is>
      </c>
      <c r="B2759" s="1" t="n">
        <v>44454</v>
      </c>
      <c r="C2759" s="1" t="n">
        <v>45761</v>
      </c>
      <c r="D2759" t="inlineStr">
        <is>
          <t>SÖDERMANLANDS LÄN</t>
        </is>
      </c>
      <c r="E2759" t="inlineStr">
        <is>
          <t>NYKÖPING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49666-2021</t>
        </is>
      </c>
      <c r="B2760" s="1" t="n">
        <v>44455</v>
      </c>
      <c r="C2760" s="1" t="n">
        <v>45761</v>
      </c>
      <c r="D2760" t="inlineStr">
        <is>
          <t>SÖDERMANLANDS LÄN</t>
        </is>
      </c>
      <c r="E2760" t="inlineStr">
        <is>
          <t>ESKILSTUNA</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49677-2021</t>
        </is>
      </c>
      <c r="B2761" s="1" t="n">
        <v>44455</v>
      </c>
      <c r="C2761" s="1" t="n">
        <v>45761</v>
      </c>
      <c r="D2761" t="inlineStr">
        <is>
          <t>SÖDERMANLANDS LÄN</t>
        </is>
      </c>
      <c r="E2761" t="inlineStr">
        <is>
          <t>KATRINEHOLM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49885-2021</t>
        </is>
      </c>
      <c r="B2762" s="1" t="n">
        <v>44455</v>
      </c>
      <c r="C2762" s="1" t="n">
        <v>45761</v>
      </c>
      <c r="D2762" t="inlineStr">
        <is>
          <t>SÖDERMANLANDS LÄN</t>
        </is>
      </c>
      <c r="E2762" t="inlineStr">
        <is>
          <t>GNESTA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49569-2021</t>
        </is>
      </c>
      <c r="B2763" s="1" t="n">
        <v>44455</v>
      </c>
      <c r="C2763" s="1" t="n">
        <v>45761</v>
      </c>
      <c r="D2763" t="inlineStr">
        <is>
          <t>SÖDERMANLANDS LÄN</t>
        </is>
      </c>
      <c r="E2763" t="inlineStr">
        <is>
          <t>FLEN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49784-2021</t>
        </is>
      </c>
      <c r="B2764" s="1" t="n">
        <v>44455</v>
      </c>
      <c r="C2764" s="1" t="n">
        <v>45761</v>
      </c>
      <c r="D2764" t="inlineStr">
        <is>
          <t>SÖDERMANLANDS LÄN</t>
        </is>
      </c>
      <c r="E2764" t="inlineStr">
        <is>
          <t>KATRINEHOLM</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49992-2021</t>
        </is>
      </c>
      <c r="B2765" s="1" t="n">
        <v>44456</v>
      </c>
      <c r="C2765" s="1" t="n">
        <v>45761</v>
      </c>
      <c r="D2765" t="inlineStr">
        <is>
          <t>SÖDERMANLANDS LÄN</t>
        </is>
      </c>
      <c r="E2765" t="inlineStr">
        <is>
          <t>STRÄNGNÄS</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50156-2021</t>
        </is>
      </c>
      <c r="B2766" s="1" t="n">
        <v>44456</v>
      </c>
      <c r="C2766" s="1" t="n">
        <v>45761</v>
      </c>
      <c r="D2766" t="inlineStr">
        <is>
          <t>SÖDERMANLANDS LÄN</t>
        </is>
      </c>
      <c r="E2766" t="inlineStr">
        <is>
          <t>NYKÖPING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50494-2021</t>
        </is>
      </c>
      <c r="B2767" s="1" t="n">
        <v>44458</v>
      </c>
      <c r="C2767" s="1" t="n">
        <v>45761</v>
      </c>
      <c r="D2767" t="inlineStr">
        <is>
          <t>SÖDERMANLANDS LÄN</t>
        </is>
      </c>
      <c r="E2767" t="inlineStr">
        <is>
          <t>FLEN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50500-2021</t>
        </is>
      </c>
      <c r="B2768" s="1" t="n">
        <v>44458</v>
      </c>
      <c r="C2768" s="1" t="n">
        <v>45761</v>
      </c>
      <c r="D2768" t="inlineStr">
        <is>
          <t>SÖDERMANLANDS LÄN</t>
        </is>
      </c>
      <c r="E2768" t="inlineStr">
        <is>
          <t>FLEN</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50334-2021</t>
        </is>
      </c>
      <c r="B2769" s="1" t="n">
        <v>44459</v>
      </c>
      <c r="C2769" s="1" t="n">
        <v>45761</v>
      </c>
      <c r="D2769" t="inlineStr">
        <is>
          <t>SÖDERMANLANDS LÄN</t>
        </is>
      </c>
      <c r="E2769" t="inlineStr">
        <is>
          <t>STRÄNGNÄS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50301-2021</t>
        </is>
      </c>
      <c r="B2770" s="1" t="n">
        <v>44459</v>
      </c>
      <c r="C2770" s="1" t="n">
        <v>45761</v>
      </c>
      <c r="D2770" t="inlineStr">
        <is>
          <t>SÖDERMANLANDS LÄN</t>
        </is>
      </c>
      <c r="E2770" t="inlineStr">
        <is>
          <t>FLEN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50311-2021</t>
        </is>
      </c>
      <c r="B2771" s="1" t="n">
        <v>44459</v>
      </c>
      <c r="C2771" s="1" t="n">
        <v>45761</v>
      </c>
      <c r="D2771" t="inlineStr">
        <is>
          <t>SÖDERMANLANDS LÄN</t>
        </is>
      </c>
      <c r="E2771" t="inlineStr">
        <is>
          <t>STRÄNGNÄS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50296-2021</t>
        </is>
      </c>
      <c r="B2772" s="1" t="n">
        <v>44459</v>
      </c>
      <c r="C2772" s="1" t="n">
        <v>45761</v>
      </c>
      <c r="D2772" t="inlineStr">
        <is>
          <t>SÖDERMANLANDS LÄN</t>
        </is>
      </c>
      <c r="E2772" t="inlineStr">
        <is>
          <t>STRÄNGNÄS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50799-2021</t>
        </is>
      </c>
      <c r="B2773" s="1" t="n">
        <v>44459</v>
      </c>
      <c r="C2773" s="1" t="n">
        <v>45761</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50796-2021</t>
        </is>
      </c>
      <c r="B2774" s="1" t="n">
        <v>44459</v>
      </c>
      <c r="C2774" s="1" t="n">
        <v>45761</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51128-2021</t>
        </is>
      </c>
      <c r="B2775" s="1" t="n">
        <v>44460</v>
      </c>
      <c r="C2775" s="1" t="n">
        <v>45761</v>
      </c>
      <c r="D2775" t="inlineStr">
        <is>
          <t>SÖDERMANLANDS LÄN</t>
        </is>
      </c>
      <c r="E2775" t="inlineStr">
        <is>
          <t>KATRINEHOLM</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51133-2021</t>
        </is>
      </c>
      <c r="B2776" s="1" t="n">
        <v>44461</v>
      </c>
      <c r="C2776" s="1" t="n">
        <v>45761</v>
      </c>
      <c r="D2776" t="inlineStr">
        <is>
          <t>SÖDERMANLANDS LÄN</t>
        </is>
      </c>
      <c r="E2776" t="inlineStr">
        <is>
          <t>KATRINEHOLM</t>
        </is>
      </c>
      <c r="F2776" t="inlineStr">
        <is>
          <t>Allmännings- och besparingsskogar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51264-2021</t>
        </is>
      </c>
      <c r="B2777" s="1" t="n">
        <v>44461</v>
      </c>
      <c r="C2777" s="1" t="n">
        <v>45761</v>
      </c>
      <c r="D2777" t="inlineStr">
        <is>
          <t>SÖDERMANLANDS LÄN</t>
        </is>
      </c>
      <c r="E2777" t="inlineStr">
        <is>
          <t>KATRINEHOLM</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51260-2021</t>
        </is>
      </c>
      <c r="B2778" s="1" t="n">
        <v>44461</v>
      </c>
      <c r="C2778" s="1" t="n">
        <v>45761</v>
      </c>
      <c r="D2778" t="inlineStr">
        <is>
          <t>SÖDERMANLANDS LÄN</t>
        </is>
      </c>
      <c r="E2778" t="inlineStr">
        <is>
          <t>KATRINEHOLM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51339-2021</t>
        </is>
      </c>
      <c r="B2779" s="1" t="n">
        <v>44461</v>
      </c>
      <c r="C2779" s="1" t="n">
        <v>45761</v>
      </c>
      <c r="D2779" t="inlineStr">
        <is>
          <t>SÖDERMANLANDS LÄN</t>
        </is>
      </c>
      <c r="E2779" t="inlineStr">
        <is>
          <t>GNESTA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51486-2021</t>
        </is>
      </c>
      <c r="B2780" s="1" t="n">
        <v>44461</v>
      </c>
      <c r="C2780" s="1" t="n">
        <v>45761</v>
      </c>
      <c r="D2780" t="inlineStr">
        <is>
          <t>SÖDERMANLANDS LÄN</t>
        </is>
      </c>
      <c r="E2780" t="inlineStr">
        <is>
          <t>ESKILSTUNA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51741-2021</t>
        </is>
      </c>
      <c r="B2781" s="1" t="n">
        <v>44461</v>
      </c>
      <c r="C2781" s="1" t="n">
        <v>45761</v>
      </c>
      <c r="D2781" t="inlineStr">
        <is>
          <t>SÖDERMANLANDS LÄN</t>
        </is>
      </c>
      <c r="E2781" t="inlineStr">
        <is>
          <t>KATRINEHOLM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51689-2021</t>
        </is>
      </c>
      <c r="B2782" s="1" t="n">
        <v>44462</v>
      </c>
      <c r="C2782" s="1" t="n">
        <v>45761</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51715-2021</t>
        </is>
      </c>
      <c r="B2783" s="1" t="n">
        <v>44462</v>
      </c>
      <c r="C2783" s="1" t="n">
        <v>45761</v>
      </c>
      <c r="D2783" t="inlineStr">
        <is>
          <t>SÖDERMANLANDS LÄN</t>
        </is>
      </c>
      <c r="E2783" t="inlineStr">
        <is>
          <t>NYKÖPING</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51722-2021</t>
        </is>
      </c>
      <c r="B2784" s="1" t="n">
        <v>44462</v>
      </c>
      <c r="C2784" s="1" t="n">
        <v>45761</v>
      </c>
      <c r="D2784" t="inlineStr">
        <is>
          <t>SÖDERMANLANDS LÄN</t>
        </is>
      </c>
      <c r="E2784" t="inlineStr">
        <is>
          <t>NYKÖPING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51691-2021</t>
        </is>
      </c>
      <c r="B2785" s="1" t="n">
        <v>44462</v>
      </c>
      <c r="C2785" s="1" t="n">
        <v>45761</v>
      </c>
      <c r="D2785" t="inlineStr">
        <is>
          <t>SÖDERMANLANDS LÄN</t>
        </is>
      </c>
      <c r="E2785" t="inlineStr">
        <is>
          <t>NYKÖPING</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51700-2021</t>
        </is>
      </c>
      <c r="B2786" s="1" t="n">
        <v>44462</v>
      </c>
      <c r="C2786" s="1" t="n">
        <v>45761</v>
      </c>
      <c r="D2786" t="inlineStr">
        <is>
          <t>SÖDERMANLANDS LÄN</t>
        </is>
      </c>
      <c r="E2786" t="inlineStr">
        <is>
          <t>NYKÖPING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51720-2021</t>
        </is>
      </c>
      <c r="B2787" s="1" t="n">
        <v>44462</v>
      </c>
      <c r="C2787" s="1" t="n">
        <v>45761</v>
      </c>
      <c r="D2787" t="inlineStr">
        <is>
          <t>SÖDERMANLANDS LÄN</t>
        </is>
      </c>
      <c r="E2787" t="inlineStr">
        <is>
          <t>NYKÖPING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51725-2021</t>
        </is>
      </c>
      <c r="B2788" s="1" t="n">
        <v>44462</v>
      </c>
      <c r="C2788" s="1" t="n">
        <v>45761</v>
      </c>
      <c r="D2788" t="inlineStr">
        <is>
          <t>SÖDERMANLANDS LÄN</t>
        </is>
      </c>
      <c r="E2788" t="inlineStr">
        <is>
          <t>NYKÖPING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51698-2021</t>
        </is>
      </c>
      <c r="B2789" s="1" t="n">
        <v>44462</v>
      </c>
      <c r="C2789" s="1" t="n">
        <v>45761</v>
      </c>
      <c r="D2789" t="inlineStr">
        <is>
          <t>SÖDERMANLANDS LÄN</t>
        </is>
      </c>
      <c r="E2789" t="inlineStr">
        <is>
          <t>NYKÖPING</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52055-2021</t>
        </is>
      </c>
      <c r="B2790" s="1" t="n">
        <v>44462</v>
      </c>
      <c r="C2790" s="1" t="n">
        <v>45761</v>
      </c>
      <c r="D2790" t="inlineStr">
        <is>
          <t>SÖDERMANLANDS LÄN</t>
        </is>
      </c>
      <c r="E2790" t="inlineStr">
        <is>
          <t>NYKÖPING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51865-2021</t>
        </is>
      </c>
      <c r="B2791" s="1" t="n">
        <v>44462</v>
      </c>
      <c r="C2791" s="1" t="n">
        <v>45761</v>
      </c>
      <c r="D2791" t="inlineStr">
        <is>
          <t>SÖDERMANLANDS LÄN</t>
        </is>
      </c>
      <c r="E2791" t="inlineStr">
        <is>
          <t>VINGÅKER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52044-2021</t>
        </is>
      </c>
      <c r="B2792" s="1" t="n">
        <v>44463</v>
      </c>
      <c r="C2792" s="1" t="n">
        <v>45761</v>
      </c>
      <c r="D2792" t="inlineStr">
        <is>
          <t>SÖDERMANLANDS LÄN</t>
        </is>
      </c>
      <c r="E2792" t="inlineStr">
        <is>
          <t>KATRINEHOLM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52045-2021</t>
        </is>
      </c>
      <c r="B2793" s="1" t="n">
        <v>44463</v>
      </c>
      <c r="C2793" s="1" t="n">
        <v>45761</v>
      </c>
      <c r="D2793" t="inlineStr">
        <is>
          <t>SÖDERMANLANDS LÄN</t>
        </is>
      </c>
      <c r="E2793" t="inlineStr">
        <is>
          <t>NYKÖPING</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52541-2021</t>
        </is>
      </c>
      <c r="B2794" s="1" t="n">
        <v>44463</v>
      </c>
      <c r="C2794" s="1" t="n">
        <v>45761</v>
      </c>
      <c r="D2794" t="inlineStr">
        <is>
          <t>SÖDERMANLANDS LÄN</t>
        </is>
      </c>
      <c r="E2794" t="inlineStr">
        <is>
          <t>FLEN</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52519-2021</t>
        </is>
      </c>
      <c r="B2795" s="1" t="n">
        <v>44463</v>
      </c>
      <c r="C2795" s="1" t="n">
        <v>45761</v>
      </c>
      <c r="D2795" t="inlineStr">
        <is>
          <t>SÖDERMANLANDS LÄN</t>
        </is>
      </c>
      <c r="E2795" t="inlineStr">
        <is>
          <t>FLEN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52563-2021</t>
        </is>
      </c>
      <c r="B2796" s="1" t="n">
        <v>44463</v>
      </c>
      <c r="C2796" s="1" t="n">
        <v>45761</v>
      </c>
      <c r="D2796" t="inlineStr">
        <is>
          <t>SÖDERMANLANDS LÄN</t>
        </is>
      </c>
      <c r="E2796" t="inlineStr">
        <is>
          <t>FLEN</t>
        </is>
      </c>
      <c r="G2796" t="n">
        <v>9</v>
      </c>
      <c r="H2796" t="n">
        <v>0</v>
      </c>
      <c r="I2796" t="n">
        <v>0</v>
      </c>
      <c r="J2796" t="n">
        <v>0</v>
      </c>
      <c r="K2796" t="n">
        <v>0</v>
      </c>
      <c r="L2796" t="n">
        <v>0</v>
      </c>
      <c r="M2796" t="n">
        <v>0</v>
      </c>
      <c r="N2796" t="n">
        <v>0</v>
      </c>
      <c r="O2796" t="n">
        <v>0</v>
      </c>
      <c r="P2796" t="n">
        <v>0</v>
      </c>
      <c r="Q2796" t="n">
        <v>0</v>
      </c>
      <c r="R2796" s="2" t="inlineStr"/>
    </row>
    <row r="2797" ht="15" customHeight="1">
      <c r="A2797" t="inlineStr">
        <is>
          <t>A 52500-2021</t>
        </is>
      </c>
      <c r="B2797" s="1" t="n">
        <v>44463</v>
      </c>
      <c r="C2797" s="1" t="n">
        <v>45761</v>
      </c>
      <c r="D2797" t="inlineStr">
        <is>
          <t>SÖDERMANLANDS LÄN</t>
        </is>
      </c>
      <c r="E2797" t="inlineStr">
        <is>
          <t>FLEN</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52546-2021</t>
        </is>
      </c>
      <c r="B2798" s="1" t="n">
        <v>44463</v>
      </c>
      <c r="C2798" s="1" t="n">
        <v>45761</v>
      </c>
      <c r="D2798" t="inlineStr">
        <is>
          <t>SÖDERMANLANDS LÄN</t>
        </is>
      </c>
      <c r="E2798" t="inlineStr">
        <is>
          <t>FLEN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52534-2021</t>
        </is>
      </c>
      <c r="B2799" s="1" t="n">
        <v>44463</v>
      </c>
      <c r="C2799" s="1" t="n">
        <v>45761</v>
      </c>
      <c r="D2799" t="inlineStr">
        <is>
          <t>SÖDERMANLANDS LÄN</t>
        </is>
      </c>
      <c r="E2799" t="inlineStr">
        <is>
          <t>FLEN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52348-2021</t>
        </is>
      </c>
      <c r="B2800" s="1" t="n">
        <v>44464</v>
      </c>
      <c r="C2800" s="1" t="n">
        <v>45761</v>
      </c>
      <c r="D2800" t="inlineStr">
        <is>
          <t>SÖDERMANLANDS LÄN</t>
        </is>
      </c>
      <c r="E2800" t="inlineStr">
        <is>
          <t>KATRINEHOLM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52543-2021</t>
        </is>
      </c>
      <c r="B2801" s="1" t="n">
        <v>44466</v>
      </c>
      <c r="C2801" s="1" t="n">
        <v>45761</v>
      </c>
      <c r="D2801" t="inlineStr">
        <is>
          <t>SÖDERMANLANDS LÄN</t>
        </is>
      </c>
      <c r="E2801" t="inlineStr">
        <is>
          <t>NYKÖPING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52535-2021</t>
        </is>
      </c>
      <c r="B2802" s="1" t="n">
        <v>44466</v>
      </c>
      <c r="C2802" s="1" t="n">
        <v>45761</v>
      </c>
      <c r="D2802" t="inlineStr">
        <is>
          <t>SÖDERMANLANDS LÄN</t>
        </is>
      </c>
      <c r="E2802" t="inlineStr">
        <is>
          <t>NYKÖPING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52692-2021</t>
        </is>
      </c>
      <c r="B2803" s="1" t="n">
        <v>44466</v>
      </c>
      <c r="C2803" s="1" t="n">
        <v>45761</v>
      </c>
      <c r="D2803" t="inlineStr">
        <is>
          <t>SÖDERMANLANDS LÄN</t>
        </is>
      </c>
      <c r="E2803" t="inlineStr">
        <is>
          <t>FLEN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52857-2021</t>
        </is>
      </c>
      <c r="B2804" s="1" t="n">
        <v>44466</v>
      </c>
      <c r="C2804" s="1" t="n">
        <v>45761</v>
      </c>
      <c r="D2804" t="inlineStr">
        <is>
          <t>SÖDERMANLANDS LÄN</t>
        </is>
      </c>
      <c r="E2804" t="inlineStr">
        <is>
          <t>KATRINEHOLM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52684-2021</t>
        </is>
      </c>
      <c r="B2805" s="1" t="n">
        <v>44466</v>
      </c>
      <c r="C2805" s="1" t="n">
        <v>45761</v>
      </c>
      <c r="D2805" t="inlineStr">
        <is>
          <t>SÖDERMANLANDS LÄN</t>
        </is>
      </c>
      <c r="E2805" t="inlineStr">
        <is>
          <t>NYKÖPING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53240-2021</t>
        </is>
      </c>
      <c r="B2806" s="1" t="n">
        <v>44466</v>
      </c>
      <c r="C2806" s="1" t="n">
        <v>45761</v>
      </c>
      <c r="D2806" t="inlineStr">
        <is>
          <t>SÖDERMANLANDS LÄN</t>
        </is>
      </c>
      <c r="E2806" t="inlineStr">
        <is>
          <t>KATRINEHOLM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53201-2021</t>
        </is>
      </c>
      <c r="B2807" s="1" t="n">
        <v>44466</v>
      </c>
      <c r="C2807" s="1" t="n">
        <v>45761</v>
      </c>
      <c r="D2807" t="inlineStr">
        <is>
          <t>SÖDERMANLANDS LÄN</t>
        </is>
      </c>
      <c r="E2807" t="inlineStr">
        <is>
          <t>NYKÖPING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61174-2021</t>
        </is>
      </c>
      <c r="B2808" s="1" t="n">
        <v>44466</v>
      </c>
      <c r="C2808" s="1" t="n">
        <v>45761</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52830-2021</t>
        </is>
      </c>
      <c r="B2809" s="1" t="n">
        <v>44467</v>
      </c>
      <c r="C2809" s="1" t="n">
        <v>45761</v>
      </c>
      <c r="D2809" t="inlineStr">
        <is>
          <t>SÖDERMANLANDS LÄN</t>
        </is>
      </c>
      <c r="E2809" t="inlineStr">
        <is>
          <t>ESKILSTUNA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52825-2021</t>
        </is>
      </c>
      <c r="B2810" s="1" t="n">
        <v>44467</v>
      </c>
      <c r="C2810" s="1" t="n">
        <v>45761</v>
      </c>
      <c r="D2810" t="inlineStr">
        <is>
          <t>SÖDERMANLANDS LÄN</t>
        </is>
      </c>
      <c r="E2810" t="inlineStr">
        <is>
          <t>ESKILSTUNA</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53049-2021</t>
        </is>
      </c>
      <c r="B2811" s="1" t="n">
        <v>44467</v>
      </c>
      <c r="C2811" s="1" t="n">
        <v>45761</v>
      </c>
      <c r="D2811" t="inlineStr">
        <is>
          <t>SÖDERMANLANDS LÄN</t>
        </is>
      </c>
      <c r="E2811" t="inlineStr">
        <is>
          <t>GNESTA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53829-2021</t>
        </is>
      </c>
      <c r="B2812" s="1" t="n">
        <v>44467</v>
      </c>
      <c r="C2812" s="1" t="n">
        <v>45761</v>
      </c>
      <c r="D2812" t="inlineStr">
        <is>
          <t>SÖDERMANLANDS LÄN</t>
        </is>
      </c>
      <c r="E2812" t="inlineStr">
        <is>
          <t>KATRINEHOLM</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53823-2021</t>
        </is>
      </c>
      <c r="B2813" s="1" t="n">
        <v>44467</v>
      </c>
      <c r="C2813" s="1" t="n">
        <v>45761</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53860-2021</t>
        </is>
      </c>
      <c r="B2814" s="1" t="n">
        <v>44467</v>
      </c>
      <c r="C2814" s="1" t="n">
        <v>45761</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53809-2021</t>
        </is>
      </c>
      <c r="B2815" s="1" t="n">
        <v>44467</v>
      </c>
      <c r="C2815" s="1" t="n">
        <v>45761</v>
      </c>
      <c r="D2815" t="inlineStr">
        <is>
          <t>SÖDERMANLANDS LÄN</t>
        </is>
      </c>
      <c r="E2815" t="inlineStr">
        <is>
          <t>KATRINEHOLM</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53846-2021</t>
        </is>
      </c>
      <c r="B2816" s="1" t="n">
        <v>44467</v>
      </c>
      <c r="C2816" s="1" t="n">
        <v>45761</v>
      </c>
      <c r="D2816" t="inlineStr">
        <is>
          <t>SÖDERMANLANDS LÄN</t>
        </is>
      </c>
      <c r="E2816" t="inlineStr">
        <is>
          <t>KATRINEHOLM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53280-2021</t>
        </is>
      </c>
      <c r="B2817" s="1" t="n">
        <v>44468</v>
      </c>
      <c r="C2817" s="1" t="n">
        <v>45761</v>
      </c>
      <c r="D2817" t="inlineStr">
        <is>
          <t>SÖDERMANLANDS LÄN</t>
        </is>
      </c>
      <c r="E2817" t="inlineStr">
        <is>
          <t>ESKILSTUNA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53374-2021</t>
        </is>
      </c>
      <c r="B2818" s="1" t="n">
        <v>44468</v>
      </c>
      <c r="C2818" s="1" t="n">
        <v>45761</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53208-2021</t>
        </is>
      </c>
      <c r="B2819" s="1" t="n">
        <v>44468</v>
      </c>
      <c r="C2819" s="1" t="n">
        <v>45761</v>
      </c>
      <c r="D2819" t="inlineStr">
        <is>
          <t>SÖDERMANLANDS LÄN</t>
        </is>
      </c>
      <c r="E2819" t="inlineStr">
        <is>
          <t>ESKILSTUNA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53349-2021</t>
        </is>
      </c>
      <c r="B2820" s="1" t="n">
        <v>44468</v>
      </c>
      <c r="C2820" s="1" t="n">
        <v>45761</v>
      </c>
      <c r="D2820" t="inlineStr">
        <is>
          <t>SÖDERMANLANDS LÄN</t>
        </is>
      </c>
      <c r="E2820" t="inlineStr">
        <is>
          <t>KATRINEHOLM</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53476-2021</t>
        </is>
      </c>
      <c r="B2821" s="1" t="n">
        <v>44468</v>
      </c>
      <c r="C2821" s="1" t="n">
        <v>45761</v>
      </c>
      <c r="D2821" t="inlineStr">
        <is>
          <t>SÖDERMANLANDS LÄN</t>
        </is>
      </c>
      <c r="E2821" t="inlineStr">
        <is>
          <t>ESKILSTUNA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53473-2021</t>
        </is>
      </c>
      <c r="B2822" s="1" t="n">
        <v>44468</v>
      </c>
      <c r="C2822" s="1" t="n">
        <v>45761</v>
      </c>
      <c r="D2822" t="inlineStr">
        <is>
          <t>SÖDERMANLANDS LÄN</t>
        </is>
      </c>
      <c r="E2822" t="inlineStr">
        <is>
          <t>KATRINEHOLM</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53492-2021</t>
        </is>
      </c>
      <c r="B2823" s="1" t="n">
        <v>44468</v>
      </c>
      <c r="C2823" s="1" t="n">
        <v>45761</v>
      </c>
      <c r="D2823" t="inlineStr">
        <is>
          <t>SÖDERMANLANDS LÄN</t>
        </is>
      </c>
      <c r="E2823" t="inlineStr">
        <is>
          <t>GNESTA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53863-2021</t>
        </is>
      </c>
      <c r="B2824" s="1" t="n">
        <v>44468</v>
      </c>
      <c r="C2824" s="1" t="n">
        <v>45761</v>
      </c>
      <c r="D2824" t="inlineStr">
        <is>
          <t>SÖDERMANLANDS LÄN</t>
        </is>
      </c>
      <c r="E2824" t="inlineStr">
        <is>
          <t>VINGÅKER</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53608-2021</t>
        </is>
      </c>
      <c r="B2825" s="1" t="n">
        <v>44469</v>
      </c>
      <c r="C2825" s="1" t="n">
        <v>45761</v>
      </c>
      <c r="D2825" t="inlineStr">
        <is>
          <t>SÖDERMANLANDS LÄN</t>
        </is>
      </c>
      <c r="E2825" t="inlineStr">
        <is>
          <t>FLEN</t>
        </is>
      </c>
      <c r="F2825" t="inlineStr">
        <is>
          <t>Holmen skog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53661-2021</t>
        </is>
      </c>
      <c r="B2826" s="1" t="n">
        <v>44469</v>
      </c>
      <c r="C2826" s="1" t="n">
        <v>45761</v>
      </c>
      <c r="D2826" t="inlineStr">
        <is>
          <t>SÖDERMANLANDS LÄN</t>
        </is>
      </c>
      <c r="E2826" t="inlineStr">
        <is>
          <t>ESKILSTUNA</t>
        </is>
      </c>
      <c r="F2826" t="inlineStr">
        <is>
          <t>Kommuner</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53920-2021</t>
        </is>
      </c>
      <c r="B2827" s="1" t="n">
        <v>44469</v>
      </c>
      <c r="C2827" s="1" t="n">
        <v>45761</v>
      </c>
      <c r="D2827" t="inlineStr">
        <is>
          <t>SÖDERMANLANDS LÄN</t>
        </is>
      </c>
      <c r="E2827" t="inlineStr">
        <is>
          <t>NYKÖPING</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53930-2021</t>
        </is>
      </c>
      <c r="B2828" s="1" t="n">
        <v>44469</v>
      </c>
      <c r="C2828" s="1" t="n">
        <v>45761</v>
      </c>
      <c r="D2828" t="inlineStr">
        <is>
          <t>SÖDERMANLANDS LÄN</t>
        </is>
      </c>
      <c r="E2828" t="inlineStr">
        <is>
          <t>FLEN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54169-2021</t>
        </is>
      </c>
      <c r="B2829" s="1" t="n">
        <v>44469</v>
      </c>
      <c r="C2829" s="1" t="n">
        <v>45761</v>
      </c>
      <c r="D2829" t="inlineStr">
        <is>
          <t>SÖDERMANLANDS LÄN</t>
        </is>
      </c>
      <c r="E2829" t="inlineStr">
        <is>
          <t>ESKILSTUNA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54047-2021</t>
        </is>
      </c>
      <c r="B2830" s="1" t="n">
        <v>44470</v>
      </c>
      <c r="C2830" s="1" t="n">
        <v>45761</v>
      </c>
      <c r="D2830" t="inlineStr">
        <is>
          <t>SÖDERMANLANDS LÄN</t>
        </is>
      </c>
      <c r="E2830" t="inlineStr">
        <is>
          <t>ESKILSTUNA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54112-2021</t>
        </is>
      </c>
      <c r="B2831" s="1" t="n">
        <v>44470</v>
      </c>
      <c r="C2831" s="1" t="n">
        <v>45761</v>
      </c>
      <c r="D2831" t="inlineStr">
        <is>
          <t>SÖDERMANLANDS LÄN</t>
        </is>
      </c>
      <c r="E2831" t="inlineStr">
        <is>
          <t>VINGÅKER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54179-2021</t>
        </is>
      </c>
      <c r="B2832" s="1" t="n">
        <v>44470</v>
      </c>
      <c r="C2832" s="1" t="n">
        <v>45761</v>
      </c>
      <c r="D2832" t="inlineStr">
        <is>
          <t>SÖDERMANLANDS LÄN</t>
        </is>
      </c>
      <c r="E2832" t="inlineStr">
        <is>
          <t>FLEN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54325-2021</t>
        </is>
      </c>
      <c r="B2833" s="1" t="n">
        <v>44472</v>
      </c>
      <c r="C2833" s="1" t="n">
        <v>45761</v>
      </c>
      <c r="D2833" t="inlineStr">
        <is>
          <t>SÖDERMANLANDS LÄN</t>
        </is>
      </c>
      <c r="E2833" t="inlineStr">
        <is>
          <t>FLEN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54598-2021</t>
        </is>
      </c>
      <c r="B2834" s="1" t="n">
        <v>44473</v>
      </c>
      <c r="C2834" s="1" t="n">
        <v>45761</v>
      </c>
      <c r="D2834" t="inlineStr">
        <is>
          <t>SÖDERMANLANDS LÄN</t>
        </is>
      </c>
      <c r="E2834" t="inlineStr">
        <is>
          <t>ESKILSTUNA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54645-2021</t>
        </is>
      </c>
      <c r="B2835" s="1" t="n">
        <v>44473</v>
      </c>
      <c r="C2835" s="1" t="n">
        <v>45761</v>
      </c>
      <c r="D2835" t="inlineStr">
        <is>
          <t>SÖDERMANLANDS LÄN</t>
        </is>
      </c>
      <c r="E2835" t="inlineStr">
        <is>
          <t>FLEN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54698-2021</t>
        </is>
      </c>
      <c r="B2836" s="1" t="n">
        <v>44473</v>
      </c>
      <c r="C2836" s="1" t="n">
        <v>45761</v>
      </c>
      <c r="D2836" t="inlineStr">
        <is>
          <t>SÖDERMANLANDS LÄN</t>
        </is>
      </c>
      <c r="E2836" t="inlineStr">
        <is>
          <t>KATRINEHOLM</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54704-2021</t>
        </is>
      </c>
      <c r="B2837" s="1" t="n">
        <v>44473</v>
      </c>
      <c r="C2837" s="1" t="n">
        <v>45761</v>
      </c>
      <c r="D2837" t="inlineStr">
        <is>
          <t>SÖDERMANLANDS LÄN</t>
        </is>
      </c>
      <c r="E2837" t="inlineStr">
        <is>
          <t>KATRINEHOLM</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54666-2021</t>
        </is>
      </c>
      <c r="B2838" s="1" t="n">
        <v>44473</v>
      </c>
      <c r="C2838" s="1" t="n">
        <v>45761</v>
      </c>
      <c r="D2838" t="inlineStr">
        <is>
          <t>SÖDERMANLANDS LÄN</t>
        </is>
      </c>
      <c r="E2838" t="inlineStr">
        <is>
          <t>FLEN</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54633-2021</t>
        </is>
      </c>
      <c r="B2839" s="1" t="n">
        <v>44473</v>
      </c>
      <c r="C2839" s="1" t="n">
        <v>45761</v>
      </c>
      <c r="D2839" t="inlineStr">
        <is>
          <t>SÖDERMANLANDS LÄN</t>
        </is>
      </c>
      <c r="E2839" t="inlineStr">
        <is>
          <t>ESKILSTUNA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54702-2021</t>
        </is>
      </c>
      <c r="B2840" s="1" t="n">
        <v>44473</v>
      </c>
      <c r="C2840" s="1" t="n">
        <v>45761</v>
      </c>
      <c r="D2840" t="inlineStr">
        <is>
          <t>SÖDERMANLANDS LÄN</t>
        </is>
      </c>
      <c r="E2840" t="inlineStr">
        <is>
          <t>GNESTA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55034-2021</t>
        </is>
      </c>
      <c r="B2841" s="1" t="n">
        <v>44474</v>
      </c>
      <c r="C2841" s="1" t="n">
        <v>45761</v>
      </c>
      <c r="D2841" t="inlineStr">
        <is>
          <t>SÖDERMANLANDS LÄN</t>
        </is>
      </c>
      <c r="E2841" t="inlineStr">
        <is>
          <t>KATRINEHOLM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54953-2021</t>
        </is>
      </c>
      <c r="B2842" s="1" t="n">
        <v>44474</v>
      </c>
      <c r="C2842" s="1" t="n">
        <v>45761</v>
      </c>
      <c r="D2842" t="inlineStr">
        <is>
          <t>SÖDERMANLANDS LÄN</t>
        </is>
      </c>
      <c r="E2842" t="inlineStr">
        <is>
          <t>ESKILSTUNA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54978-2021</t>
        </is>
      </c>
      <c r="B2843" s="1" t="n">
        <v>44474</v>
      </c>
      <c r="C2843" s="1" t="n">
        <v>45761</v>
      </c>
      <c r="D2843" t="inlineStr">
        <is>
          <t>SÖDERMANLANDS LÄN</t>
        </is>
      </c>
      <c r="E2843" t="inlineStr">
        <is>
          <t>VINGÅKER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54980-2021</t>
        </is>
      </c>
      <c r="B2844" s="1" t="n">
        <v>44474</v>
      </c>
      <c r="C2844" s="1" t="n">
        <v>45761</v>
      </c>
      <c r="D2844" t="inlineStr">
        <is>
          <t>SÖDERMANLANDS LÄN</t>
        </is>
      </c>
      <c r="E2844" t="inlineStr">
        <is>
          <t>VINGÅKER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55014-2021</t>
        </is>
      </c>
      <c r="B2845" s="1" t="n">
        <v>44474</v>
      </c>
      <c r="C2845" s="1" t="n">
        <v>45761</v>
      </c>
      <c r="D2845" t="inlineStr">
        <is>
          <t>SÖDERMANLANDS LÄN</t>
        </is>
      </c>
      <c r="E2845" t="inlineStr">
        <is>
          <t>NYKÖPING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54897-2021</t>
        </is>
      </c>
      <c r="B2846" s="1" t="n">
        <v>44474</v>
      </c>
      <c r="C2846" s="1" t="n">
        <v>45761</v>
      </c>
      <c r="D2846" t="inlineStr">
        <is>
          <t>SÖDERMANLANDS LÄN</t>
        </is>
      </c>
      <c r="E2846" t="inlineStr">
        <is>
          <t>NYKÖPING</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55199-2021</t>
        </is>
      </c>
      <c r="B2847" s="1" t="n">
        <v>44475</v>
      </c>
      <c r="C2847" s="1" t="n">
        <v>45761</v>
      </c>
      <c r="D2847" t="inlineStr">
        <is>
          <t>SÖDERMANLANDS LÄN</t>
        </is>
      </c>
      <c r="E2847" t="inlineStr">
        <is>
          <t>NYKÖPING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55272-2021</t>
        </is>
      </c>
      <c r="B2848" s="1" t="n">
        <v>44475</v>
      </c>
      <c r="C2848" s="1" t="n">
        <v>45761</v>
      </c>
      <c r="D2848" t="inlineStr">
        <is>
          <t>SÖDERMANLANDS LÄN</t>
        </is>
      </c>
      <c r="E2848" t="inlineStr">
        <is>
          <t>NYKÖPING</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55497-2021</t>
        </is>
      </c>
      <c r="B2849" s="1" t="n">
        <v>44475</v>
      </c>
      <c r="C2849" s="1" t="n">
        <v>45761</v>
      </c>
      <c r="D2849" t="inlineStr">
        <is>
          <t>SÖDERMANLANDS LÄN</t>
        </is>
      </c>
      <c r="E2849" t="inlineStr">
        <is>
          <t>NYKÖPING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55307-2021</t>
        </is>
      </c>
      <c r="B2850" s="1" t="n">
        <v>44475</v>
      </c>
      <c r="C2850" s="1" t="n">
        <v>45761</v>
      </c>
      <c r="D2850" t="inlineStr">
        <is>
          <t>SÖDERMANLANDS LÄN</t>
        </is>
      </c>
      <c r="E2850" t="inlineStr">
        <is>
          <t>NYKÖPING</t>
        </is>
      </c>
      <c r="F2850" t="inlineStr">
        <is>
          <t>Övriga Aktiebolag</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55312-2021</t>
        </is>
      </c>
      <c r="B2851" s="1" t="n">
        <v>44475</v>
      </c>
      <c r="C2851" s="1" t="n">
        <v>45761</v>
      </c>
      <c r="D2851" t="inlineStr">
        <is>
          <t>SÖDERMANLANDS LÄN</t>
        </is>
      </c>
      <c r="E2851" t="inlineStr">
        <is>
          <t>NYKÖPING</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55304-2021</t>
        </is>
      </c>
      <c r="B2852" s="1" t="n">
        <v>44475</v>
      </c>
      <c r="C2852" s="1" t="n">
        <v>45761</v>
      </c>
      <c r="D2852" t="inlineStr">
        <is>
          <t>SÖDERMANLANDS LÄN</t>
        </is>
      </c>
      <c r="E2852" t="inlineStr">
        <is>
          <t>NYKÖPING</t>
        </is>
      </c>
      <c r="F2852" t="inlineStr">
        <is>
          <t>Sveaskog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55349-2021</t>
        </is>
      </c>
      <c r="B2853" s="1" t="n">
        <v>44475</v>
      </c>
      <c r="C2853" s="1" t="n">
        <v>45761</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55421-2021</t>
        </is>
      </c>
      <c r="B2854" s="1" t="n">
        <v>44475</v>
      </c>
      <c r="C2854" s="1" t="n">
        <v>45761</v>
      </c>
      <c r="D2854" t="inlineStr">
        <is>
          <t>SÖDERMANLANDS LÄN</t>
        </is>
      </c>
      <c r="E2854" t="inlineStr">
        <is>
          <t>VINGÅKER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55440-2021</t>
        </is>
      </c>
      <c r="B2855" s="1" t="n">
        <v>44475</v>
      </c>
      <c r="C2855" s="1" t="n">
        <v>45761</v>
      </c>
      <c r="D2855" t="inlineStr">
        <is>
          <t>SÖDERMANLANDS LÄN</t>
        </is>
      </c>
      <c r="E2855" t="inlineStr">
        <is>
          <t>STRÄNGNÄS</t>
        </is>
      </c>
      <c r="F2855" t="inlineStr">
        <is>
          <t>Övriga Aktiebolag</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55310-2021</t>
        </is>
      </c>
      <c r="B2856" s="1" t="n">
        <v>44475</v>
      </c>
      <c r="C2856" s="1" t="n">
        <v>45761</v>
      </c>
      <c r="D2856" t="inlineStr">
        <is>
          <t>SÖDERMANLANDS LÄN</t>
        </is>
      </c>
      <c r="E2856" t="inlineStr">
        <is>
          <t>NYKÖPING</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55434-2021</t>
        </is>
      </c>
      <c r="B2857" s="1" t="n">
        <v>44475</v>
      </c>
      <c r="C2857" s="1" t="n">
        <v>45761</v>
      </c>
      <c r="D2857" t="inlineStr">
        <is>
          <t>SÖDERMANLANDS LÄN</t>
        </is>
      </c>
      <c r="E2857" t="inlineStr">
        <is>
          <t>VINGÅKER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55450-2021</t>
        </is>
      </c>
      <c r="B2858" s="1" t="n">
        <v>44475</v>
      </c>
      <c r="C2858" s="1" t="n">
        <v>45761</v>
      </c>
      <c r="D2858" t="inlineStr">
        <is>
          <t>SÖDERMANLANDS LÄN</t>
        </is>
      </c>
      <c r="E2858" t="inlineStr">
        <is>
          <t>VINGÅKER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55506-2021</t>
        </is>
      </c>
      <c r="B2859" s="1" t="n">
        <v>44475</v>
      </c>
      <c r="C2859" s="1" t="n">
        <v>45761</v>
      </c>
      <c r="D2859" t="inlineStr">
        <is>
          <t>SÖDERMANLANDS LÄN</t>
        </is>
      </c>
      <c r="E2859" t="inlineStr">
        <is>
          <t>NYKÖPING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55632-2021</t>
        </is>
      </c>
      <c r="B2860" s="1" t="n">
        <v>44475</v>
      </c>
      <c r="C2860" s="1" t="n">
        <v>45761</v>
      </c>
      <c r="D2860" t="inlineStr">
        <is>
          <t>SÖDERMANLANDS LÄN</t>
        </is>
      </c>
      <c r="E2860" t="inlineStr">
        <is>
          <t>GNESTA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55663-2021</t>
        </is>
      </c>
      <c r="B2861" s="1" t="n">
        <v>44475</v>
      </c>
      <c r="C2861" s="1" t="n">
        <v>45761</v>
      </c>
      <c r="D2861" t="inlineStr">
        <is>
          <t>SÖDERMANLANDS LÄN</t>
        </is>
      </c>
      <c r="E2861" t="inlineStr">
        <is>
          <t>STRÄNGNÄS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55730-2021</t>
        </is>
      </c>
      <c r="B2862" s="1" t="n">
        <v>44476</v>
      </c>
      <c r="C2862" s="1" t="n">
        <v>45761</v>
      </c>
      <c r="D2862" t="inlineStr">
        <is>
          <t>SÖDERMANLANDS LÄN</t>
        </is>
      </c>
      <c r="E2862" t="inlineStr">
        <is>
          <t>VINGÅKER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55773-2021</t>
        </is>
      </c>
      <c r="B2863" s="1" t="n">
        <v>44476</v>
      </c>
      <c r="C2863" s="1" t="n">
        <v>45761</v>
      </c>
      <c r="D2863" t="inlineStr">
        <is>
          <t>SÖDERMANLANDS LÄN</t>
        </is>
      </c>
      <c r="E2863" t="inlineStr">
        <is>
          <t>KATRINEHOLM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55706-2021</t>
        </is>
      </c>
      <c r="B2864" s="1" t="n">
        <v>44476</v>
      </c>
      <c r="C2864" s="1" t="n">
        <v>45761</v>
      </c>
      <c r="D2864" t="inlineStr">
        <is>
          <t>SÖDERMANLANDS LÄN</t>
        </is>
      </c>
      <c r="E2864" t="inlineStr">
        <is>
          <t>NYKÖPING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55898-2021</t>
        </is>
      </c>
      <c r="B2865" s="1" t="n">
        <v>44476</v>
      </c>
      <c r="C2865" s="1" t="n">
        <v>45761</v>
      </c>
      <c r="D2865" t="inlineStr">
        <is>
          <t>SÖDERMANLANDS LÄN</t>
        </is>
      </c>
      <c r="E2865" t="inlineStr">
        <is>
          <t>KATRINEHOLM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55983-2021</t>
        </is>
      </c>
      <c r="B2866" s="1" t="n">
        <v>44477</v>
      </c>
      <c r="C2866" s="1" t="n">
        <v>45761</v>
      </c>
      <c r="D2866" t="inlineStr">
        <is>
          <t>SÖDERMANLANDS LÄN</t>
        </is>
      </c>
      <c r="E2866" t="inlineStr">
        <is>
          <t>NYKÖPING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56315-2021</t>
        </is>
      </c>
      <c r="B2867" s="1" t="n">
        <v>44480</v>
      </c>
      <c r="C2867" s="1" t="n">
        <v>45761</v>
      </c>
      <c r="D2867" t="inlineStr">
        <is>
          <t>SÖDERMANLANDS LÄN</t>
        </is>
      </c>
      <c r="E2867" t="inlineStr">
        <is>
          <t>TROSA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56337-2021</t>
        </is>
      </c>
      <c r="B2868" s="1" t="n">
        <v>44480</v>
      </c>
      <c r="C2868" s="1" t="n">
        <v>45761</v>
      </c>
      <c r="D2868" t="inlineStr">
        <is>
          <t>SÖDERMANLANDS LÄN</t>
        </is>
      </c>
      <c r="E2868" t="inlineStr">
        <is>
          <t>KATRINEHOLM</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56505-2021</t>
        </is>
      </c>
      <c r="B2869" s="1" t="n">
        <v>44480</v>
      </c>
      <c r="C2869" s="1" t="n">
        <v>45761</v>
      </c>
      <c r="D2869" t="inlineStr">
        <is>
          <t>SÖDERMANLANDS LÄN</t>
        </is>
      </c>
      <c r="E2869" t="inlineStr">
        <is>
          <t>GNESTA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56572-2021</t>
        </is>
      </c>
      <c r="B2870" s="1" t="n">
        <v>44480</v>
      </c>
      <c r="C2870" s="1" t="n">
        <v>45761</v>
      </c>
      <c r="D2870" t="inlineStr">
        <is>
          <t>SÖDERMANLANDS LÄN</t>
        </is>
      </c>
      <c r="E2870" t="inlineStr">
        <is>
          <t>KATRINEHOLM</t>
        </is>
      </c>
      <c r="F2870" t="inlineStr">
        <is>
          <t>Holmen skog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56625-2021</t>
        </is>
      </c>
      <c r="B2871" s="1" t="n">
        <v>44480</v>
      </c>
      <c r="C2871" s="1" t="n">
        <v>45761</v>
      </c>
      <c r="D2871" t="inlineStr">
        <is>
          <t>SÖDERMANLANDS LÄN</t>
        </is>
      </c>
      <c r="E2871" t="inlineStr">
        <is>
          <t>VINGÅKER</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56692-2021</t>
        </is>
      </c>
      <c r="B2872" s="1" t="n">
        <v>44480</v>
      </c>
      <c r="C2872" s="1" t="n">
        <v>45761</v>
      </c>
      <c r="D2872" t="inlineStr">
        <is>
          <t>SÖDERMANLANDS LÄN</t>
        </is>
      </c>
      <c r="E2872" t="inlineStr">
        <is>
          <t>VINGÅKER</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56628-2021</t>
        </is>
      </c>
      <c r="B2873" s="1" t="n">
        <v>44480</v>
      </c>
      <c r="C2873" s="1" t="n">
        <v>45761</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56633-2021</t>
        </is>
      </c>
      <c r="B2874" s="1" t="n">
        <v>44480</v>
      </c>
      <c r="C2874" s="1" t="n">
        <v>45761</v>
      </c>
      <c r="D2874" t="inlineStr">
        <is>
          <t>SÖDERMANLANDS LÄN</t>
        </is>
      </c>
      <c r="E2874" t="inlineStr">
        <is>
          <t>VINGÅKER</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56712-2021</t>
        </is>
      </c>
      <c r="B2875" s="1" t="n">
        <v>44480</v>
      </c>
      <c r="C2875" s="1" t="n">
        <v>45761</v>
      </c>
      <c r="D2875" t="inlineStr">
        <is>
          <t>SÖDERMANLANDS LÄN</t>
        </is>
      </c>
      <c r="E2875" t="inlineStr">
        <is>
          <t>KATRINEHOLM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56661-2021</t>
        </is>
      </c>
      <c r="B2876" s="1" t="n">
        <v>44481</v>
      </c>
      <c r="C2876" s="1" t="n">
        <v>45761</v>
      </c>
      <c r="D2876" t="inlineStr">
        <is>
          <t>SÖDERMANLANDS LÄN</t>
        </is>
      </c>
      <c r="E2876" t="inlineStr">
        <is>
          <t>KATRINEHOLM</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56824-2021</t>
        </is>
      </c>
      <c r="B2877" s="1" t="n">
        <v>44481</v>
      </c>
      <c r="C2877" s="1" t="n">
        <v>45761</v>
      </c>
      <c r="D2877" t="inlineStr">
        <is>
          <t>SÖDERMANLANDS LÄN</t>
        </is>
      </c>
      <c r="E2877" t="inlineStr">
        <is>
          <t>GNESTA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56815-2021</t>
        </is>
      </c>
      <c r="B2878" s="1" t="n">
        <v>44481</v>
      </c>
      <c r="C2878" s="1" t="n">
        <v>45761</v>
      </c>
      <c r="D2878" t="inlineStr">
        <is>
          <t>SÖDERMANLANDS LÄN</t>
        </is>
      </c>
      <c r="E2878" t="inlineStr">
        <is>
          <t>GNESTA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56927-2021</t>
        </is>
      </c>
      <c r="B2879" s="1" t="n">
        <v>44481</v>
      </c>
      <c r="C2879" s="1" t="n">
        <v>45761</v>
      </c>
      <c r="D2879" t="inlineStr">
        <is>
          <t>SÖDERMANLANDS LÄN</t>
        </is>
      </c>
      <c r="E2879" t="inlineStr">
        <is>
          <t>GNESTA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57048-2021</t>
        </is>
      </c>
      <c r="B2880" s="1" t="n">
        <v>44481</v>
      </c>
      <c r="C2880" s="1" t="n">
        <v>45761</v>
      </c>
      <c r="D2880" t="inlineStr">
        <is>
          <t>SÖDERMANLANDS LÄN</t>
        </is>
      </c>
      <c r="E2880" t="inlineStr">
        <is>
          <t>STRÄNGNÄS</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56976-2021</t>
        </is>
      </c>
      <c r="B2881" s="1" t="n">
        <v>44481</v>
      </c>
      <c r="C2881" s="1" t="n">
        <v>45761</v>
      </c>
      <c r="D2881" t="inlineStr">
        <is>
          <t>SÖDERMANLANDS LÄN</t>
        </is>
      </c>
      <c r="E2881" t="inlineStr">
        <is>
          <t>GNESTA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57032-2021</t>
        </is>
      </c>
      <c r="B2882" s="1" t="n">
        <v>44482</v>
      </c>
      <c r="C2882" s="1" t="n">
        <v>45761</v>
      </c>
      <c r="D2882" t="inlineStr">
        <is>
          <t>SÖDERMANLANDS LÄN</t>
        </is>
      </c>
      <c r="E2882" t="inlineStr">
        <is>
          <t>VINGÅKER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57052-2021</t>
        </is>
      </c>
      <c r="B2883" s="1" t="n">
        <v>44482</v>
      </c>
      <c r="C2883" s="1" t="n">
        <v>45761</v>
      </c>
      <c r="D2883" t="inlineStr">
        <is>
          <t>SÖDERMANLANDS LÄN</t>
        </is>
      </c>
      <c r="E2883" t="inlineStr">
        <is>
          <t>ESKILSTUNA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57061-2021</t>
        </is>
      </c>
      <c r="B2884" s="1" t="n">
        <v>44482</v>
      </c>
      <c r="C2884" s="1" t="n">
        <v>45761</v>
      </c>
      <c r="D2884" t="inlineStr">
        <is>
          <t>SÖDERMANLANDS LÄN</t>
        </is>
      </c>
      <c r="E2884" t="inlineStr">
        <is>
          <t>ESKILSTUNA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57139-2021</t>
        </is>
      </c>
      <c r="B2885" s="1" t="n">
        <v>44482</v>
      </c>
      <c r="C2885" s="1" t="n">
        <v>45761</v>
      </c>
      <c r="D2885" t="inlineStr">
        <is>
          <t>SÖDERMANLANDS LÄN</t>
        </is>
      </c>
      <c r="E2885" t="inlineStr">
        <is>
          <t>GNESTA</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57349-2021</t>
        </is>
      </c>
      <c r="B2886" s="1" t="n">
        <v>44483</v>
      </c>
      <c r="C2886" s="1" t="n">
        <v>45761</v>
      </c>
      <c r="D2886" t="inlineStr">
        <is>
          <t>SÖDERMANLANDS LÄN</t>
        </is>
      </c>
      <c r="E2886" t="inlineStr">
        <is>
          <t>ESKILSTUNA</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57510-2021</t>
        </is>
      </c>
      <c r="B2887" s="1" t="n">
        <v>44483</v>
      </c>
      <c r="C2887" s="1" t="n">
        <v>45761</v>
      </c>
      <c r="D2887" t="inlineStr">
        <is>
          <t>SÖDERMANLANDS LÄN</t>
        </is>
      </c>
      <c r="E2887" t="inlineStr">
        <is>
          <t>KATRINEHOLM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57521-2021</t>
        </is>
      </c>
      <c r="B2888" s="1" t="n">
        <v>44483</v>
      </c>
      <c r="C2888" s="1" t="n">
        <v>45761</v>
      </c>
      <c r="D2888" t="inlineStr">
        <is>
          <t>SÖDERMANLANDS LÄN</t>
        </is>
      </c>
      <c r="E2888" t="inlineStr">
        <is>
          <t>KATRINEHOLM</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57524-2021</t>
        </is>
      </c>
      <c r="B2889" s="1" t="n">
        <v>44483</v>
      </c>
      <c r="C2889" s="1" t="n">
        <v>45761</v>
      </c>
      <c r="D2889" t="inlineStr">
        <is>
          <t>SÖDERMANLANDS LÄN</t>
        </is>
      </c>
      <c r="E2889" t="inlineStr">
        <is>
          <t>KATRINEHOLM</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45761</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57612-2021</t>
        </is>
      </c>
      <c r="B2891" s="1" t="n">
        <v>44484</v>
      </c>
      <c r="C2891" s="1" t="n">
        <v>45761</v>
      </c>
      <c r="D2891" t="inlineStr">
        <is>
          <t>SÖDERMANLANDS LÄN</t>
        </is>
      </c>
      <c r="E2891" t="inlineStr">
        <is>
          <t>GNESTA</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57661-2021</t>
        </is>
      </c>
      <c r="B2892" s="1" t="n">
        <v>44484</v>
      </c>
      <c r="C2892" s="1" t="n">
        <v>45761</v>
      </c>
      <c r="D2892" t="inlineStr">
        <is>
          <t>SÖDERMANLANDS LÄN</t>
        </is>
      </c>
      <c r="E2892" t="inlineStr">
        <is>
          <t>ESKILSTUNA</t>
        </is>
      </c>
      <c r="F2892" t="inlineStr">
        <is>
          <t>Allmännings- och besparingsskogar</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57753-2021</t>
        </is>
      </c>
      <c r="B2893" s="1" t="n">
        <v>44484</v>
      </c>
      <c r="C2893" s="1" t="n">
        <v>45761</v>
      </c>
      <c r="D2893" t="inlineStr">
        <is>
          <t>SÖDERMANLANDS LÄN</t>
        </is>
      </c>
      <c r="E2893" t="inlineStr">
        <is>
          <t>FLEN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57882-2021</t>
        </is>
      </c>
      <c r="B2894" s="1" t="n">
        <v>44485</v>
      </c>
      <c r="C2894" s="1" t="n">
        <v>45761</v>
      </c>
      <c r="D2894" t="inlineStr">
        <is>
          <t>SÖDERMANLANDS LÄN</t>
        </is>
      </c>
      <c r="E2894" t="inlineStr">
        <is>
          <t>GNESTA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58012-2021</t>
        </is>
      </c>
      <c r="B2895" s="1" t="n">
        <v>44487</v>
      </c>
      <c r="C2895" s="1" t="n">
        <v>45761</v>
      </c>
      <c r="D2895" t="inlineStr">
        <is>
          <t>SÖDERMANLANDS LÄN</t>
        </is>
      </c>
      <c r="E2895" t="inlineStr">
        <is>
          <t>NYKÖPING</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58031-2021</t>
        </is>
      </c>
      <c r="B2896" s="1" t="n">
        <v>44487</v>
      </c>
      <c r="C2896" s="1" t="n">
        <v>45761</v>
      </c>
      <c r="D2896" t="inlineStr">
        <is>
          <t>SÖDERMANLANDS LÄN</t>
        </is>
      </c>
      <c r="E2896" t="inlineStr">
        <is>
          <t>VINGÅKER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58299-2021</t>
        </is>
      </c>
      <c r="B2897" s="1" t="n">
        <v>44487</v>
      </c>
      <c r="C2897" s="1" t="n">
        <v>45761</v>
      </c>
      <c r="D2897" t="inlineStr">
        <is>
          <t>SÖDERMANLANDS LÄN</t>
        </is>
      </c>
      <c r="E2897" t="inlineStr">
        <is>
          <t>FLEN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58473-2021</t>
        </is>
      </c>
      <c r="B2898" s="1" t="n">
        <v>44488</v>
      </c>
      <c r="C2898" s="1" t="n">
        <v>45761</v>
      </c>
      <c r="D2898" t="inlineStr">
        <is>
          <t>SÖDERMANLANDS LÄN</t>
        </is>
      </c>
      <c r="E2898" t="inlineStr">
        <is>
          <t>KATRINEHOLM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58518-2021</t>
        </is>
      </c>
      <c r="B2899" s="1" t="n">
        <v>44488</v>
      </c>
      <c r="C2899" s="1" t="n">
        <v>45761</v>
      </c>
      <c r="D2899" t="inlineStr">
        <is>
          <t>SÖDERMANLANDS LÄN</t>
        </is>
      </c>
      <c r="E2899" t="inlineStr">
        <is>
          <t>STRÄNGNÄS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58857-2021</t>
        </is>
      </c>
      <c r="B2900" s="1" t="n">
        <v>44489</v>
      </c>
      <c r="C2900" s="1" t="n">
        <v>45761</v>
      </c>
      <c r="D2900" t="inlineStr">
        <is>
          <t>SÖDERMANLANDS LÄN</t>
        </is>
      </c>
      <c r="E2900" t="inlineStr">
        <is>
          <t>NYKÖPING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58922-2021</t>
        </is>
      </c>
      <c r="B2901" s="1" t="n">
        <v>44489</v>
      </c>
      <c r="C2901" s="1" t="n">
        <v>45761</v>
      </c>
      <c r="D2901" t="inlineStr">
        <is>
          <t>SÖDERMANLANDS LÄN</t>
        </is>
      </c>
      <c r="E2901" t="inlineStr">
        <is>
          <t>TROSA</t>
        </is>
      </c>
      <c r="F2901" t="inlineStr">
        <is>
          <t>Holmen skog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58862-2021</t>
        </is>
      </c>
      <c r="B2902" s="1" t="n">
        <v>44489</v>
      </c>
      <c r="C2902" s="1" t="n">
        <v>45761</v>
      </c>
      <c r="D2902" t="inlineStr">
        <is>
          <t>SÖDERMANLANDS LÄN</t>
        </is>
      </c>
      <c r="E2902" t="inlineStr">
        <is>
          <t>NYKÖPING</t>
        </is>
      </c>
      <c r="F2902" t="inlineStr">
        <is>
          <t>Övriga Aktiebolag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59275-2021</t>
        </is>
      </c>
      <c r="B2903" s="1" t="n">
        <v>44490</v>
      </c>
      <c r="C2903" s="1" t="n">
        <v>45761</v>
      </c>
      <c r="D2903" t="inlineStr">
        <is>
          <t>SÖDERMANLANDS LÄN</t>
        </is>
      </c>
      <c r="E2903" t="inlineStr">
        <is>
          <t>ESKILSTUNA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59287-2021</t>
        </is>
      </c>
      <c r="B2904" s="1" t="n">
        <v>44490</v>
      </c>
      <c r="C2904" s="1" t="n">
        <v>45761</v>
      </c>
      <c r="D2904" t="inlineStr">
        <is>
          <t>SÖDERMANLANDS LÄN</t>
        </is>
      </c>
      <c r="E2904" t="inlineStr">
        <is>
          <t>GNESTA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45761</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59212-2021</t>
        </is>
      </c>
      <c r="B2906" s="1" t="n">
        <v>44490</v>
      </c>
      <c r="C2906" s="1" t="n">
        <v>45761</v>
      </c>
      <c r="D2906" t="inlineStr">
        <is>
          <t>SÖDERMANLANDS LÄN</t>
        </is>
      </c>
      <c r="E2906" t="inlineStr">
        <is>
          <t>KATRINEHOLM</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59266-2021</t>
        </is>
      </c>
      <c r="B2907" s="1" t="n">
        <v>44490</v>
      </c>
      <c r="C2907" s="1" t="n">
        <v>45761</v>
      </c>
      <c r="D2907" t="inlineStr">
        <is>
          <t>SÖDERMANLANDS LÄN</t>
        </is>
      </c>
      <c r="E2907" t="inlineStr">
        <is>
          <t>TROSA</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59274-2021</t>
        </is>
      </c>
      <c r="B2908" s="1" t="n">
        <v>44490</v>
      </c>
      <c r="C2908" s="1" t="n">
        <v>45761</v>
      </c>
      <c r="D2908" t="inlineStr">
        <is>
          <t>SÖDERMANLANDS LÄN</t>
        </is>
      </c>
      <c r="E2908" t="inlineStr">
        <is>
          <t>ESKILSTUNA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59271-2021</t>
        </is>
      </c>
      <c r="B2909" s="1" t="n">
        <v>44490</v>
      </c>
      <c r="C2909" s="1" t="n">
        <v>45761</v>
      </c>
      <c r="D2909" t="inlineStr">
        <is>
          <t>SÖDERMANLANDS LÄN</t>
        </is>
      </c>
      <c r="E2909" t="inlineStr">
        <is>
          <t>ESKILSTUNA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59405-2021</t>
        </is>
      </c>
      <c r="B2910" s="1" t="n">
        <v>44490</v>
      </c>
      <c r="C2910" s="1" t="n">
        <v>45761</v>
      </c>
      <c r="D2910" t="inlineStr">
        <is>
          <t>SÖDERMANLANDS LÄN</t>
        </is>
      </c>
      <c r="E2910" t="inlineStr">
        <is>
          <t>FLEN</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60721-2021</t>
        </is>
      </c>
      <c r="B2911" s="1" t="n">
        <v>44490</v>
      </c>
      <c r="C2911" s="1" t="n">
        <v>45761</v>
      </c>
      <c r="D2911" t="inlineStr">
        <is>
          <t>SÖDERMANLANDS LÄN</t>
        </is>
      </c>
      <c r="E2911" t="inlineStr">
        <is>
          <t>ESKILSTUNA</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59474-2021</t>
        </is>
      </c>
      <c r="B2912" s="1" t="n">
        <v>44491</v>
      </c>
      <c r="C2912" s="1" t="n">
        <v>45761</v>
      </c>
      <c r="D2912" t="inlineStr">
        <is>
          <t>SÖDERMANLANDS LÄN</t>
        </is>
      </c>
      <c r="E2912" t="inlineStr">
        <is>
          <t>KATRINEHOLM</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59385-2021</t>
        </is>
      </c>
      <c r="B2913" s="1" t="n">
        <v>44491</v>
      </c>
      <c r="C2913" s="1" t="n">
        <v>45761</v>
      </c>
      <c r="D2913" t="inlineStr">
        <is>
          <t>SÖDERMANLANDS LÄN</t>
        </is>
      </c>
      <c r="E2913" t="inlineStr">
        <is>
          <t>GNESTA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59477-2021</t>
        </is>
      </c>
      <c r="B2914" s="1" t="n">
        <v>44491</v>
      </c>
      <c r="C2914" s="1" t="n">
        <v>45761</v>
      </c>
      <c r="D2914" t="inlineStr">
        <is>
          <t>SÖDERMANLANDS LÄN</t>
        </is>
      </c>
      <c r="E2914" t="inlineStr">
        <is>
          <t>KATRINEHOLM</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59616-2021</t>
        </is>
      </c>
      <c r="B2915" s="1" t="n">
        <v>44491</v>
      </c>
      <c r="C2915" s="1" t="n">
        <v>45761</v>
      </c>
      <c r="D2915" t="inlineStr">
        <is>
          <t>SÖDERMANLANDS LÄN</t>
        </is>
      </c>
      <c r="E2915" t="inlineStr">
        <is>
          <t>GNESTA</t>
        </is>
      </c>
      <c r="F2915" t="inlineStr">
        <is>
          <t>Kyrkan</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59592-2021</t>
        </is>
      </c>
      <c r="B2916" s="1" t="n">
        <v>44491</v>
      </c>
      <c r="C2916" s="1" t="n">
        <v>45761</v>
      </c>
      <c r="D2916" t="inlineStr">
        <is>
          <t>SÖDERMANLANDS LÄN</t>
        </is>
      </c>
      <c r="E2916" t="inlineStr">
        <is>
          <t>NYKÖPING</t>
        </is>
      </c>
      <c r="F2916" t="inlineStr">
        <is>
          <t>Kyrkan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59613-2021</t>
        </is>
      </c>
      <c r="B2917" s="1" t="n">
        <v>44491</v>
      </c>
      <c r="C2917" s="1" t="n">
        <v>45761</v>
      </c>
      <c r="D2917" t="inlineStr">
        <is>
          <t>SÖDERMANLANDS LÄN</t>
        </is>
      </c>
      <c r="E2917" t="inlineStr">
        <is>
          <t>NYKÖPING</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59619-2021</t>
        </is>
      </c>
      <c r="B2918" s="1" t="n">
        <v>44491</v>
      </c>
      <c r="C2918" s="1" t="n">
        <v>45761</v>
      </c>
      <c r="D2918" t="inlineStr">
        <is>
          <t>SÖDERMANLANDS LÄN</t>
        </is>
      </c>
      <c r="E2918" t="inlineStr">
        <is>
          <t>GNESTA</t>
        </is>
      </c>
      <c r="F2918" t="inlineStr">
        <is>
          <t>Kyrkan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59620-2021</t>
        </is>
      </c>
      <c r="B2919" s="1" t="n">
        <v>44491</v>
      </c>
      <c r="C2919" s="1" t="n">
        <v>45761</v>
      </c>
      <c r="D2919" t="inlineStr">
        <is>
          <t>SÖDERMANLANDS LÄN</t>
        </is>
      </c>
      <c r="E2919" t="inlineStr">
        <is>
          <t>NYKÖPING</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59733-2021</t>
        </is>
      </c>
      <c r="B2920" s="1" t="n">
        <v>44494</v>
      </c>
      <c r="C2920" s="1" t="n">
        <v>45761</v>
      </c>
      <c r="D2920" t="inlineStr">
        <is>
          <t>SÖDERMANLANDS LÄN</t>
        </is>
      </c>
      <c r="E2920" t="inlineStr">
        <is>
          <t>NYKÖPING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59776-2021</t>
        </is>
      </c>
      <c r="B2921" s="1" t="n">
        <v>44494</v>
      </c>
      <c r="C2921" s="1" t="n">
        <v>45761</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60143-2021</t>
        </is>
      </c>
      <c r="B2922" s="1" t="n">
        <v>44494</v>
      </c>
      <c r="C2922" s="1" t="n">
        <v>45761</v>
      </c>
      <c r="D2922" t="inlineStr">
        <is>
          <t>SÖDERMANLANDS LÄN</t>
        </is>
      </c>
      <c r="E2922" t="inlineStr">
        <is>
          <t>ESKILSTUNA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60069-2021</t>
        </is>
      </c>
      <c r="B2923" s="1" t="n">
        <v>44495</v>
      </c>
      <c r="C2923" s="1" t="n">
        <v>45761</v>
      </c>
      <c r="D2923" t="inlineStr">
        <is>
          <t>SÖDERMANLANDS LÄN</t>
        </is>
      </c>
      <c r="E2923" t="inlineStr">
        <is>
          <t>FLEN</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60077-2021</t>
        </is>
      </c>
      <c r="B2924" s="1" t="n">
        <v>44495</v>
      </c>
      <c r="C2924" s="1" t="n">
        <v>45761</v>
      </c>
      <c r="D2924" t="inlineStr">
        <is>
          <t>SÖDERMANLANDS LÄN</t>
        </is>
      </c>
      <c r="E2924" t="inlineStr">
        <is>
          <t>FLEN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60255-2021</t>
        </is>
      </c>
      <c r="B2925" s="1" t="n">
        <v>44495</v>
      </c>
      <c r="C2925" s="1" t="n">
        <v>45761</v>
      </c>
      <c r="D2925" t="inlineStr">
        <is>
          <t>SÖDERMANLANDS LÄN</t>
        </is>
      </c>
      <c r="E2925" t="inlineStr">
        <is>
          <t>FLEN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60331-2021</t>
        </is>
      </c>
      <c r="B2926" s="1" t="n">
        <v>44495</v>
      </c>
      <c r="C2926" s="1" t="n">
        <v>45761</v>
      </c>
      <c r="D2926" t="inlineStr">
        <is>
          <t>SÖDERMANLANDS LÄN</t>
        </is>
      </c>
      <c r="E2926" t="inlineStr">
        <is>
          <t>STRÄNGNÄS</t>
        </is>
      </c>
      <c r="F2926" t="inlineStr">
        <is>
          <t>Allmännings- och besparingsskogar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60521-2021</t>
        </is>
      </c>
      <c r="B2927" s="1" t="n">
        <v>44495</v>
      </c>
      <c r="C2927" s="1" t="n">
        <v>45761</v>
      </c>
      <c r="D2927" t="inlineStr">
        <is>
          <t>SÖDERMANLANDS LÄN</t>
        </is>
      </c>
      <c r="E2927" t="inlineStr">
        <is>
          <t>ESKILSTUNA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60562-2021</t>
        </is>
      </c>
      <c r="B2928" s="1" t="n">
        <v>44495</v>
      </c>
      <c r="C2928" s="1" t="n">
        <v>45761</v>
      </c>
      <c r="D2928" t="inlineStr">
        <is>
          <t>SÖDERMANLANDS LÄN</t>
        </is>
      </c>
      <c r="E2928" t="inlineStr">
        <is>
          <t>FLEN</t>
        </is>
      </c>
      <c r="F2928" t="inlineStr">
        <is>
          <t>Övriga statliga verk och myndigheter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60938-2021</t>
        </is>
      </c>
      <c r="B2929" s="1" t="n">
        <v>44495</v>
      </c>
      <c r="C2929" s="1" t="n">
        <v>45761</v>
      </c>
      <c r="D2929" t="inlineStr">
        <is>
          <t>SÖDERMANLANDS LÄN</t>
        </is>
      </c>
      <c r="E2929" t="inlineStr">
        <is>
          <t>NYKÖPING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60537-2021</t>
        </is>
      </c>
      <c r="B2930" s="1" t="n">
        <v>44496</v>
      </c>
      <c r="C2930" s="1" t="n">
        <v>45761</v>
      </c>
      <c r="D2930" t="inlineStr">
        <is>
          <t>SÖDERMANLANDS LÄN</t>
        </is>
      </c>
      <c r="E2930" t="inlineStr">
        <is>
          <t>KATRINEHOLM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60572-2021</t>
        </is>
      </c>
      <c r="B2931" s="1" t="n">
        <v>44496</v>
      </c>
      <c r="C2931" s="1" t="n">
        <v>45761</v>
      </c>
      <c r="D2931" t="inlineStr">
        <is>
          <t>SÖDERMANLANDS LÄN</t>
        </is>
      </c>
      <c r="E2931" t="inlineStr">
        <is>
          <t>VINGÅKER</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60596-2021</t>
        </is>
      </c>
      <c r="B2932" s="1" t="n">
        <v>44496</v>
      </c>
      <c r="C2932" s="1" t="n">
        <v>45761</v>
      </c>
      <c r="D2932" t="inlineStr">
        <is>
          <t>SÖDERMANLANDS LÄN</t>
        </is>
      </c>
      <c r="E2932" t="inlineStr">
        <is>
          <t>KATRINEHOLM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60398-2021</t>
        </is>
      </c>
      <c r="B2933" s="1" t="n">
        <v>44496</v>
      </c>
      <c r="C2933" s="1" t="n">
        <v>45761</v>
      </c>
      <c r="D2933" t="inlineStr">
        <is>
          <t>SÖDERMANLANDS LÄN</t>
        </is>
      </c>
      <c r="E2933" t="inlineStr">
        <is>
          <t>STRÄNGNÄS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60515-2021</t>
        </is>
      </c>
      <c r="B2934" s="1" t="n">
        <v>44496</v>
      </c>
      <c r="C2934" s="1" t="n">
        <v>45761</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60578-2021</t>
        </is>
      </c>
      <c r="B2935" s="1" t="n">
        <v>44496</v>
      </c>
      <c r="C2935" s="1" t="n">
        <v>45761</v>
      </c>
      <c r="D2935" t="inlineStr">
        <is>
          <t>SÖDERMANLANDS LÄN</t>
        </is>
      </c>
      <c r="E2935" t="inlineStr">
        <is>
          <t>VINGÅKER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60674-2021</t>
        </is>
      </c>
      <c r="B2936" s="1" t="n">
        <v>44496</v>
      </c>
      <c r="C2936" s="1" t="n">
        <v>45761</v>
      </c>
      <c r="D2936" t="inlineStr">
        <is>
          <t>SÖDERMANLANDS LÄN</t>
        </is>
      </c>
      <c r="E2936" t="inlineStr">
        <is>
          <t>NYKÖPING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60478-2021</t>
        </is>
      </c>
      <c r="B2937" s="1" t="n">
        <v>44496</v>
      </c>
      <c r="C2937" s="1" t="n">
        <v>45761</v>
      </c>
      <c r="D2937" t="inlineStr">
        <is>
          <t>SÖDERMANLANDS LÄN</t>
        </is>
      </c>
      <c r="E2937" t="inlineStr">
        <is>
          <t>KATRINEHOLM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60501-2021</t>
        </is>
      </c>
      <c r="B2938" s="1" t="n">
        <v>44496</v>
      </c>
      <c r="C2938" s="1" t="n">
        <v>45761</v>
      </c>
      <c r="D2938" t="inlineStr">
        <is>
          <t>SÖDERMANLANDS LÄN</t>
        </is>
      </c>
      <c r="E2938" t="inlineStr">
        <is>
          <t>KATRINEHOLM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60512-2021</t>
        </is>
      </c>
      <c r="B2939" s="1" t="n">
        <v>44496</v>
      </c>
      <c r="C2939" s="1" t="n">
        <v>45761</v>
      </c>
      <c r="D2939" t="inlineStr">
        <is>
          <t>SÖDERMANLANDS LÄN</t>
        </is>
      </c>
      <c r="E2939" t="inlineStr">
        <is>
          <t>NYKÖPING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60747-2021</t>
        </is>
      </c>
      <c r="B2940" s="1" t="n">
        <v>44496</v>
      </c>
      <c r="C2940" s="1" t="n">
        <v>45761</v>
      </c>
      <c r="D2940" t="inlineStr">
        <is>
          <t>SÖDERMANLANDS LÄN</t>
        </is>
      </c>
      <c r="E2940" t="inlineStr">
        <is>
          <t>STRÄNGNÄS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60764-2021</t>
        </is>
      </c>
      <c r="B2941" s="1" t="n">
        <v>44496</v>
      </c>
      <c r="C2941" s="1" t="n">
        <v>45761</v>
      </c>
      <c r="D2941" t="inlineStr">
        <is>
          <t>SÖDERMANLANDS LÄN</t>
        </is>
      </c>
      <c r="E2941" t="inlineStr">
        <is>
          <t>STRÄNGNÄS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60748-2021</t>
        </is>
      </c>
      <c r="B2942" s="1" t="n">
        <v>44496</v>
      </c>
      <c r="C2942" s="1" t="n">
        <v>45761</v>
      </c>
      <c r="D2942" t="inlineStr">
        <is>
          <t>SÖDERMANLANDS LÄN</t>
        </is>
      </c>
      <c r="E2942" t="inlineStr">
        <is>
          <t>STRÄNGNÄS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60745-2021</t>
        </is>
      </c>
      <c r="B2943" s="1" t="n">
        <v>44496</v>
      </c>
      <c r="C2943" s="1" t="n">
        <v>45761</v>
      </c>
      <c r="D2943" t="inlineStr">
        <is>
          <t>SÖDERMANLANDS LÄN</t>
        </is>
      </c>
      <c r="E2943" t="inlineStr">
        <is>
          <t>ESKILSTUNA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60749-2021</t>
        </is>
      </c>
      <c r="B2944" s="1" t="n">
        <v>44496</v>
      </c>
      <c r="C2944" s="1" t="n">
        <v>45761</v>
      </c>
      <c r="D2944" t="inlineStr">
        <is>
          <t>SÖDERMANLANDS LÄN</t>
        </is>
      </c>
      <c r="E2944" t="inlineStr">
        <is>
          <t>STRÄNGNÄS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61007-2021</t>
        </is>
      </c>
      <c r="B2945" s="1" t="n">
        <v>44497</v>
      </c>
      <c r="C2945" s="1" t="n">
        <v>45761</v>
      </c>
      <c r="D2945" t="inlineStr">
        <is>
          <t>SÖDERMANLANDS LÄN</t>
        </is>
      </c>
      <c r="E2945" t="inlineStr">
        <is>
          <t>NYKÖPING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61170-2021</t>
        </is>
      </c>
      <c r="B2946" s="1" t="n">
        <v>44497</v>
      </c>
      <c r="C2946" s="1" t="n">
        <v>45761</v>
      </c>
      <c r="D2946" t="inlineStr">
        <is>
          <t>SÖDERMANLANDS LÄN</t>
        </is>
      </c>
      <c r="E2946" t="inlineStr">
        <is>
          <t>ESKILSTUNA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61321-2021</t>
        </is>
      </c>
      <c r="B2947" s="1" t="n">
        <v>44497</v>
      </c>
      <c r="C2947" s="1" t="n">
        <v>45761</v>
      </c>
      <c r="D2947" t="inlineStr">
        <is>
          <t>SÖDERMANLANDS LÄN</t>
        </is>
      </c>
      <c r="E2947" t="inlineStr">
        <is>
          <t>ESKILSTUNA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60919-2021</t>
        </is>
      </c>
      <c r="B2948" s="1" t="n">
        <v>44497</v>
      </c>
      <c r="C2948" s="1" t="n">
        <v>45761</v>
      </c>
      <c r="D2948" t="inlineStr">
        <is>
          <t>SÖDERMANLANDS LÄN</t>
        </is>
      </c>
      <c r="E2948" t="inlineStr">
        <is>
          <t>GNESTA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61236-2021</t>
        </is>
      </c>
      <c r="B2949" s="1" t="n">
        <v>44498</v>
      </c>
      <c r="C2949" s="1" t="n">
        <v>45761</v>
      </c>
      <c r="D2949" t="inlineStr">
        <is>
          <t>SÖDERMANLANDS LÄN</t>
        </is>
      </c>
      <c r="E2949" t="inlineStr">
        <is>
          <t>KATRINEHOLM</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61219-2021</t>
        </is>
      </c>
      <c r="B2950" s="1" t="n">
        <v>44498</v>
      </c>
      <c r="C2950" s="1" t="n">
        <v>45761</v>
      </c>
      <c r="D2950" t="inlineStr">
        <is>
          <t>SÖDERMANLANDS LÄN</t>
        </is>
      </c>
      <c r="E2950" t="inlineStr">
        <is>
          <t>KATRINEHOLM</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61248-2021</t>
        </is>
      </c>
      <c r="B2951" s="1" t="n">
        <v>44498</v>
      </c>
      <c r="C2951" s="1" t="n">
        <v>45761</v>
      </c>
      <c r="D2951" t="inlineStr">
        <is>
          <t>SÖDERMANLANDS LÄN</t>
        </is>
      </c>
      <c r="E2951" t="inlineStr">
        <is>
          <t>NYKÖPING</t>
        </is>
      </c>
      <c r="F2951" t="inlineStr">
        <is>
          <t>Holmen skog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61367-2021</t>
        </is>
      </c>
      <c r="B2952" s="1" t="n">
        <v>44499</v>
      </c>
      <c r="C2952" s="1" t="n">
        <v>45761</v>
      </c>
      <c r="D2952" t="inlineStr">
        <is>
          <t>SÖDERMANLANDS LÄN</t>
        </is>
      </c>
      <c r="E2952" t="inlineStr">
        <is>
          <t>ESKILSTUNA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61368-2021</t>
        </is>
      </c>
      <c r="B2953" s="1" t="n">
        <v>44499</v>
      </c>
      <c r="C2953" s="1" t="n">
        <v>45761</v>
      </c>
      <c r="D2953" t="inlineStr">
        <is>
          <t>SÖDERMANLANDS LÄN</t>
        </is>
      </c>
      <c r="E2953" t="inlineStr">
        <is>
          <t>ESKILSTUNA</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62223-2021</t>
        </is>
      </c>
      <c r="B2954" s="1" t="n">
        <v>44501</v>
      </c>
      <c r="C2954" s="1" t="n">
        <v>45761</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61915-2021</t>
        </is>
      </c>
      <c r="B2955" s="1" t="n">
        <v>44502</v>
      </c>
      <c r="C2955" s="1" t="n">
        <v>45761</v>
      </c>
      <c r="D2955" t="inlineStr">
        <is>
          <t>SÖDERMANLANDS LÄN</t>
        </is>
      </c>
      <c r="E2955" t="inlineStr">
        <is>
          <t>KATRINEHOLM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61911-2021</t>
        </is>
      </c>
      <c r="B2956" s="1" t="n">
        <v>44502</v>
      </c>
      <c r="C2956" s="1" t="n">
        <v>45761</v>
      </c>
      <c r="D2956" t="inlineStr">
        <is>
          <t>SÖDERMANLANDS LÄN</t>
        </is>
      </c>
      <c r="E2956" t="inlineStr">
        <is>
          <t>KATRINEHOLM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62076-2021</t>
        </is>
      </c>
      <c r="B2957" s="1" t="n">
        <v>44502</v>
      </c>
      <c r="C2957" s="1" t="n">
        <v>45761</v>
      </c>
      <c r="D2957" t="inlineStr">
        <is>
          <t>SÖDERMANLANDS LÄN</t>
        </is>
      </c>
      <c r="E2957" t="inlineStr">
        <is>
          <t>NYKÖPING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62308-2021</t>
        </is>
      </c>
      <c r="B2958" s="1" t="n">
        <v>44503</v>
      </c>
      <c r="C2958" s="1" t="n">
        <v>45761</v>
      </c>
      <c r="D2958" t="inlineStr">
        <is>
          <t>SÖDERMANLANDS LÄN</t>
        </is>
      </c>
      <c r="E2958" t="inlineStr">
        <is>
          <t>ESKILSTUNA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62617-2021</t>
        </is>
      </c>
      <c r="B2959" s="1" t="n">
        <v>44503</v>
      </c>
      <c r="C2959" s="1" t="n">
        <v>45761</v>
      </c>
      <c r="D2959" t="inlineStr">
        <is>
          <t>SÖDERMANLANDS LÄN</t>
        </is>
      </c>
      <c r="E2959" t="inlineStr">
        <is>
          <t>STRÄNGNÄS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62786-2021</t>
        </is>
      </c>
      <c r="B2960" s="1" t="n">
        <v>44504</v>
      </c>
      <c r="C2960" s="1" t="n">
        <v>45761</v>
      </c>
      <c r="D2960" t="inlineStr">
        <is>
          <t>SÖDERMANLANDS LÄN</t>
        </is>
      </c>
      <c r="E2960" t="inlineStr">
        <is>
          <t>NYKÖPING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62894-2021</t>
        </is>
      </c>
      <c r="B2961" s="1" t="n">
        <v>44504</v>
      </c>
      <c r="C2961" s="1" t="n">
        <v>45761</v>
      </c>
      <c r="D2961" t="inlineStr">
        <is>
          <t>SÖDERMANLANDS LÄN</t>
        </is>
      </c>
      <c r="E2961" t="inlineStr">
        <is>
          <t>KATRINEHOLM</t>
        </is>
      </c>
      <c r="F2961" t="inlineStr">
        <is>
          <t>Holmen skog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62912-2021</t>
        </is>
      </c>
      <c r="B2962" s="1" t="n">
        <v>44504</v>
      </c>
      <c r="C2962" s="1" t="n">
        <v>45761</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63052-2021</t>
        </is>
      </c>
      <c r="B2963" s="1" t="n">
        <v>44505</v>
      </c>
      <c r="C2963" s="1" t="n">
        <v>45761</v>
      </c>
      <c r="D2963" t="inlineStr">
        <is>
          <t>SÖDERMANLANDS LÄN</t>
        </is>
      </c>
      <c r="E2963" t="inlineStr">
        <is>
          <t>NYKÖPING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63017-2021</t>
        </is>
      </c>
      <c r="B2964" s="1" t="n">
        <v>44505</v>
      </c>
      <c r="C2964" s="1" t="n">
        <v>45761</v>
      </c>
      <c r="D2964" t="inlineStr">
        <is>
          <t>SÖDERMANLANDS LÄN</t>
        </is>
      </c>
      <c r="E2964" t="inlineStr">
        <is>
          <t>NYKÖPING</t>
        </is>
      </c>
      <c r="G2964" t="n">
        <v>21.9</v>
      </c>
      <c r="H2964" t="n">
        <v>0</v>
      </c>
      <c r="I2964" t="n">
        <v>0</v>
      </c>
      <c r="J2964" t="n">
        <v>0</v>
      </c>
      <c r="K2964" t="n">
        <v>0</v>
      </c>
      <c r="L2964" t="n">
        <v>0</v>
      </c>
      <c r="M2964" t="n">
        <v>0</v>
      </c>
      <c r="N2964" t="n">
        <v>0</v>
      </c>
      <c r="O2964" t="n">
        <v>0</v>
      </c>
      <c r="P2964" t="n">
        <v>0</v>
      </c>
      <c r="Q2964" t="n">
        <v>0</v>
      </c>
      <c r="R2964" s="2" t="inlineStr"/>
    </row>
    <row r="2965" ht="15" customHeight="1">
      <c r="A2965" t="inlineStr">
        <is>
          <t>A 63055-2021</t>
        </is>
      </c>
      <c r="B2965" s="1" t="n">
        <v>44505</v>
      </c>
      <c r="C2965" s="1" t="n">
        <v>45761</v>
      </c>
      <c r="D2965" t="inlineStr">
        <is>
          <t>SÖDERMANLANDS LÄN</t>
        </is>
      </c>
      <c r="E2965" t="inlineStr">
        <is>
          <t>NYKÖPING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63006-2021</t>
        </is>
      </c>
      <c r="B2966" s="1" t="n">
        <v>44505</v>
      </c>
      <c r="C2966" s="1" t="n">
        <v>45761</v>
      </c>
      <c r="D2966" t="inlineStr">
        <is>
          <t>SÖDERMANLANDS LÄN</t>
        </is>
      </c>
      <c r="E2966" t="inlineStr">
        <is>
          <t>NYKÖPING</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63188-2021</t>
        </is>
      </c>
      <c r="B2967" s="1" t="n">
        <v>44507</v>
      </c>
      <c r="C2967" s="1" t="n">
        <v>45761</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63444-2021</t>
        </is>
      </c>
      <c r="B2968" s="1" t="n">
        <v>44508</v>
      </c>
      <c r="C2968" s="1" t="n">
        <v>45761</v>
      </c>
      <c r="D2968" t="inlineStr">
        <is>
          <t>SÖDERMANLANDS LÄN</t>
        </is>
      </c>
      <c r="E2968" t="inlineStr">
        <is>
          <t>FLEN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63473-2021</t>
        </is>
      </c>
      <c r="B2969" s="1" t="n">
        <v>44508</v>
      </c>
      <c r="C2969" s="1" t="n">
        <v>45761</v>
      </c>
      <c r="D2969" t="inlineStr">
        <is>
          <t>SÖDERMANLANDS LÄN</t>
        </is>
      </c>
      <c r="E2969" t="inlineStr">
        <is>
          <t>KATRINEHOLM</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64060-2021</t>
        </is>
      </c>
      <c r="B2970" s="1" t="n">
        <v>44508</v>
      </c>
      <c r="C2970" s="1" t="n">
        <v>45761</v>
      </c>
      <c r="D2970" t="inlineStr">
        <is>
          <t>SÖDERMANLANDS LÄN</t>
        </is>
      </c>
      <c r="E2970" t="inlineStr">
        <is>
          <t>FLEN</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63732-2021</t>
        </is>
      </c>
      <c r="B2971" s="1" t="n">
        <v>44508</v>
      </c>
      <c r="C2971" s="1" t="n">
        <v>45761</v>
      </c>
      <c r="D2971" t="inlineStr">
        <is>
          <t>SÖDERMANLANDS LÄN</t>
        </is>
      </c>
      <c r="E2971" t="inlineStr">
        <is>
          <t>STRÄNGNÄS</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63943-2021</t>
        </is>
      </c>
      <c r="B2972" s="1" t="n">
        <v>44509</v>
      </c>
      <c r="C2972" s="1" t="n">
        <v>45761</v>
      </c>
      <c r="D2972" t="inlineStr">
        <is>
          <t>SÖDERMANLANDS LÄN</t>
        </is>
      </c>
      <c r="E2972" t="inlineStr">
        <is>
          <t>KATRINEHOLM</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63648-2021</t>
        </is>
      </c>
      <c r="B2973" s="1" t="n">
        <v>44509</v>
      </c>
      <c r="C2973" s="1" t="n">
        <v>45761</v>
      </c>
      <c r="D2973" t="inlineStr">
        <is>
          <t>SÖDERMANLANDS LÄN</t>
        </is>
      </c>
      <c r="E2973" t="inlineStr">
        <is>
          <t>KATRINEHOLM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64099-2021</t>
        </is>
      </c>
      <c r="B2974" s="1" t="n">
        <v>44509</v>
      </c>
      <c r="C2974" s="1" t="n">
        <v>45761</v>
      </c>
      <c r="D2974" t="inlineStr">
        <is>
          <t>SÖDERMANLANDS LÄN</t>
        </is>
      </c>
      <c r="E2974" t="inlineStr">
        <is>
          <t>NYKÖPING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64147-2021</t>
        </is>
      </c>
      <c r="B2975" s="1" t="n">
        <v>44510</v>
      </c>
      <c r="C2975" s="1" t="n">
        <v>45761</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64162-2021</t>
        </is>
      </c>
      <c r="B2976" s="1" t="n">
        <v>44510</v>
      </c>
      <c r="C2976" s="1" t="n">
        <v>45761</v>
      </c>
      <c r="D2976" t="inlineStr">
        <is>
          <t>SÖDERMANLANDS LÄN</t>
        </is>
      </c>
      <c r="E2976" t="inlineStr">
        <is>
          <t>NYKÖPING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64157-2021</t>
        </is>
      </c>
      <c r="B2977" s="1" t="n">
        <v>44510</v>
      </c>
      <c r="C2977" s="1" t="n">
        <v>45761</v>
      </c>
      <c r="D2977" t="inlineStr">
        <is>
          <t>SÖDERMANLANDS LÄN</t>
        </is>
      </c>
      <c r="E2977" t="inlineStr">
        <is>
          <t>NYKÖPING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64159-2021</t>
        </is>
      </c>
      <c r="B2978" s="1" t="n">
        <v>44510</v>
      </c>
      <c r="C2978" s="1" t="n">
        <v>45761</v>
      </c>
      <c r="D2978" t="inlineStr">
        <is>
          <t>SÖDERMANLANDS LÄN</t>
        </is>
      </c>
      <c r="E2978" t="inlineStr">
        <is>
          <t>NYKÖPING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64261-2021</t>
        </is>
      </c>
      <c r="B2979" s="1" t="n">
        <v>44510</v>
      </c>
      <c r="C2979" s="1" t="n">
        <v>45761</v>
      </c>
      <c r="D2979" t="inlineStr">
        <is>
          <t>SÖDERMANLANDS LÄN</t>
        </is>
      </c>
      <c r="E2979" t="inlineStr">
        <is>
          <t>KATRINEHOLM</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64330-2021</t>
        </is>
      </c>
      <c r="B2980" s="1" t="n">
        <v>44511</v>
      </c>
      <c r="C2980" s="1" t="n">
        <v>45761</v>
      </c>
      <c r="D2980" t="inlineStr">
        <is>
          <t>SÖDERMANLANDS LÄN</t>
        </is>
      </c>
      <c r="E2980" t="inlineStr">
        <is>
          <t>FLEN</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64403-2021</t>
        </is>
      </c>
      <c r="B2981" s="1" t="n">
        <v>44511</v>
      </c>
      <c r="C2981" s="1" t="n">
        <v>45761</v>
      </c>
      <c r="D2981" t="inlineStr">
        <is>
          <t>SÖDERMANLANDS LÄN</t>
        </is>
      </c>
      <c r="E2981" t="inlineStr">
        <is>
          <t>STRÄNGNÄS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64397-2021</t>
        </is>
      </c>
      <c r="B2982" s="1" t="n">
        <v>44511</v>
      </c>
      <c r="C2982" s="1" t="n">
        <v>45761</v>
      </c>
      <c r="D2982" t="inlineStr">
        <is>
          <t>SÖDERMANLANDS LÄN</t>
        </is>
      </c>
      <c r="E2982" t="inlineStr">
        <is>
          <t>VINGÅKER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64406-2021</t>
        </is>
      </c>
      <c r="B2983" s="1" t="n">
        <v>44511</v>
      </c>
      <c r="C2983" s="1" t="n">
        <v>45761</v>
      </c>
      <c r="D2983" t="inlineStr">
        <is>
          <t>SÖDERMANLANDS LÄN</t>
        </is>
      </c>
      <c r="E2983" t="inlineStr">
        <is>
          <t>VINGÅKER</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64879-2021</t>
        </is>
      </c>
      <c r="B2984" s="1" t="n">
        <v>44512</v>
      </c>
      <c r="C2984" s="1" t="n">
        <v>45761</v>
      </c>
      <c r="D2984" t="inlineStr">
        <is>
          <t>SÖDERMANLANDS LÄN</t>
        </is>
      </c>
      <c r="E2984" t="inlineStr">
        <is>
          <t>NYKÖPING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65188-2021</t>
        </is>
      </c>
      <c r="B2985" s="1" t="n">
        <v>44512</v>
      </c>
      <c r="C2985" s="1" t="n">
        <v>45761</v>
      </c>
      <c r="D2985" t="inlineStr">
        <is>
          <t>SÖDERMANLANDS LÄN</t>
        </is>
      </c>
      <c r="E2985" t="inlineStr">
        <is>
          <t>KATRINEHOLM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65162-2021</t>
        </is>
      </c>
      <c r="B2986" s="1" t="n">
        <v>44512</v>
      </c>
      <c r="C2986" s="1" t="n">
        <v>45761</v>
      </c>
      <c r="D2986" t="inlineStr">
        <is>
          <t>SÖDERMANLANDS LÄN</t>
        </is>
      </c>
      <c r="E2986" t="inlineStr">
        <is>
          <t>KATRINEHOLM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65109-2021</t>
        </is>
      </c>
      <c r="B2987" s="1" t="n">
        <v>44515</v>
      </c>
      <c r="C2987" s="1" t="n">
        <v>45761</v>
      </c>
      <c r="D2987" t="inlineStr">
        <is>
          <t>SÖDERMANLANDS LÄN</t>
        </is>
      </c>
      <c r="E2987" t="inlineStr">
        <is>
          <t>NYKÖPING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65349-2021</t>
        </is>
      </c>
      <c r="B2988" s="1" t="n">
        <v>44515</v>
      </c>
      <c r="C2988" s="1" t="n">
        <v>45761</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65347-2021</t>
        </is>
      </c>
      <c r="B2989" s="1" t="n">
        <v>44515</v>
      </c>
      <c r="C2989" s="1" t="n">
        <v>45761</v>
      </c>
      <c r="D2989" t="inlineStr">
        <is>
          <t>SÖDERMANLANDS LÄN</t>
        </is>
      </c>
      <c r="E2989" t="inlineStr">
        <is>
          <t>ESKILSTUNA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65406-2021</t>
        </is>
      </c>
      <c r="B2990" s="1" t="n">
        <v>44515</v>
      </c>
      <c r="C2990" s="1" t="n">
        <v>45761</v>
      </c>
      <c r="D2990" t="inlineStr">
        <is>
          <t>SÖDERMANLANDS LÄN</t>
        </is>
      </c>
      <c r="E2990" t="inlineStr">
        <is>
          <t>ESKILSTUNA</t>
        </is>
      </c>
      <c r="F2990" t="inlineStr">
        <is>
          <t>Kyrkan</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65589-2021</t>
        </is>
      </c>
      <c r="B2991" s="1" t="n">
        <v>44515</v>
      </c>
      <c r="C2991" s="1" t="n">
        <v>45761</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65520-2021</t>
        </is>
      </c>
      <c r="B2992" s="1" t="n">
        <v>44516</v>
      </c>
      <c r="C2992" s="1" t="n">
        <v>45761</v>
      </c>
      <c r="D2992" t="inlineStr">
        <is>
          <t>SÖDERMANLANDS LÄN</t>
        </is>
      </c>
      <c r="E2992" t="inlineStr">
        <is>
          <t>NYKÖPING</t>
        </is>
      </c>
      <c r="F2992" t="inlineStr">
        <is>
          <t>Övriga Aktiebolag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65516-2021</t>
        </is>
      </c>
      <c r="B2993" s="1" t="n">
        <v>44516</v>
      </c>
      <c r="C2993" s="1" t="n">
        <v>45761</v>
      </c>
      <c r="D2993" t="inlineStr">
        <is>
          <t>SÖDERMANLANDS LÄN</t>
        </is>
      </c>
      <c r="E2993" t="inlineStr">
        <is>
          <t>ESKILSTUNA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65595-2021</t>
        </is>
      </c>
      <c r="B2994" s="1" t="n">
        <v>44516</v>
      </c>
      <c r="C2994" s="1" t="n">
        <v>45761</v>
      </c>
      <c r="D2994" t="inlineStr">
        <is>
          <t>SÖDERMANLANDS LÄN</t>
        </is>
      </c>
      <c r="E2994" t="inlineStr">
        <is>
          <t>ESKILSTUNA</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65614-2021</t>
        </is>
      </c>
      <c r="B2995" s="1" t="n">
        <v>44516</v>
      </c>
      <c r="C2995" s="1" t="n">
        <v>45761</v>
      </c>
      <c r="D2995" t="inlineStr">
        <is>
          <t>SÖDERMANLANDS LÄN</t>
        </is>
      </c>
      <c r="E2995" t="inlineStr">
        <is>
          <t>ESKILSTUNA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65711-2021</t>
        </is>
      </c>
      <c r="B2996" s="1" t="n">
        <v>44516</v>
      </c>
      <c r="C2996" s="1" t="n">
        <v>45761</v>
      </c>
      <c r="D2996" t="inlineStr">
        <is>
          <t>SÖDERMANLANDS LÄN</t>
        </is>
      </c>
      <c r="E2996" t="inlineStr">
        <is>
          <t>STRÄNGNÄS</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65694-2021</t>
        </is>
      </c>
      <c r="B2997" s="1" t="n">
        <v>44516</v>
      </c>
      <c r="C2997" s="1" t="n">
        <v>45761</v>
      </c>
      <c r="D2997" t="inlineStr">
        <is>
          <t>SÖDERMANLANDS LÄN</t>
        </is>
      </c>
      <c r="E2997" t="inlineStr">
        <is>
          <t>ESKILSTUNA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65753-2021</t>
        </is>
      </c>
      <c r="B2998" s="1" t="n">
        <v>44516</v>
      </c>
      <c r="C2998" s="1" t="n">
        <v>45761</v>
      </c>
      <c r="D2998" t="inlineStr">
        <is>
          <t>SÖDERMANLANDS LÄN</t>
        </is>
      </c>
      <c r="E2998" t="inlineStr">
        <is>
          <t>VINGÅKER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65923-2021</t>
        </is>
      </c>
      <c r="B2999" s="1" t="n">
        <v>44517</v>
      </c>
      <c r="C2999" s="1" t="n">
        <v>45761</v>
      </c>
      <c r="D2999" t="inlineStr">
        <is>
          <t>SÖDERMANLANDS LÄN</t>
        </is>
      </c>
      <c r="E2999" t="inlineStr">
        <is>
          <t>NYKÖPING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65869-2021</t>
        </is>
      </c>
      <c r="B3000" s="1" t="n">
        <v>44517</v>
      </c>
      <c r="C3000" s="1" t="n">
        <v>45761</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66132-2021</t>
        </is>
      </c>
      <c r="B3001" s="1" t="n">
        <v>44517</v>
      </c>
      <c r="C3001" s="1" t="n">
        <v>45761</v>
      </c>
      <c r="D3001" t="inlineStr">
        <is>
          <t>SÖDERMANLANDS LÄN</t>
        </is>
      </c>
      <c r="E3001" t="inlineStr">
        <is>
          <t>ESKILSTUNA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66131-2021</t>
        </is>
      </c>
      <c r="B3002" s="1" t="n">
        <v>44517</v>
      </c>
      <c r="C3002" s="1" t="n">
        <v>45761</v>
      </c>
      <c r="D3002" t="inlineStr">
        <is>
          <t>SÖDERMANLANDS LÄN</t>
        </is>
      </c>
      <c r="E3002" t="inlineStr">
        <is>
          <t>ESKILSTUNA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66097-2021</t>
        </is>
      </c>
      <c r="B3003" s="1" t="n">
        <v>44517</v>
      </c>
      <c r="C3003" s="1" t="n">
        <v>45761</v>
      </c>
      <c r="D3003" t="inlineStr">
        <is>
          <t>SÖDERMANLANDS LÄN</t>
        </is>
      </c>
      <c r="E3003" t="inlineStr">
        <is>
          <t>KATRINEHOLM</t>
        </is>
      </c>
      <c r="F3003" t="inlineStr">
        <is>
          <t>Holmen skog AB</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66230-2021</t>
        </is>
      </c>
      <c r="B3004" s="1" t="n">
        <v>44518</v>
      </c>
      <c r="C3004" s="1" t="n">
        <v>45761</v>
      </c>
      <c r="D3004" t="inlineStr">
        <is>
          <t>SÖDERMANLANDS LÄN</t>
        </is>
      </c>
      <c r="E3004" t="inlineStr">
        <is>
          <t>FLEN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66334-2021</t>
        </is>
      </c>
      <c r="B3005" s="1" t="n">
        <v>44518</v>
      </c>
      <c r="C3005" s="1" t="n">
        <v>45761</v>
      </c>
      <c r="D3005" t="inlineStr">
        <is>
          <t>SÖDERMANLANDS LÄN</t>
        </is>
      </c>
      <c r="E3005" t="inlineStr">
        <is>
          <t>FLEN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66337-2021</t>
        </is>
      </c>
      <c r="B3006" s="1" t="n">
        <v>44518</v>
      </c>
      <c r="C3006" s="1" t="n">
        <v>45761</v>
      </c>
      <c r="D3006" t="inlineStr">
        <is>
          <t>SÖDERMANLANDS LÄN</t>
        </is>
      </c>
      <c r="E3006" t="inlineStr">
        <is>
          <t>FLEN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66296-2021</t>
        </is>
      </c>
      <c r="B3007" s="1" t="n">
        <v>44518</v>
      </c>
      <c r="C3007" s="1" t="n">
        <v>45761</v>
      </c>
      <c r="D3007" t="inlineStr">
        <is>
          <t>SÖDERMANLANDS LÄN</t>
        </is>
      </c>
      <c r="E3007" t="inlineStr">
        <is>
          <t>STRÄNGNÄS</t>
        </is>
      </c>
      <c r="F3007" t="inlineStr">
        <is>
          <t>Övriga statliga verk och myndigheter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66393-2021</t>
        </is>
      </c>
      <c r="B3008" s="1" t="n">
        <v>44518</v>
      </c>
      <c r="C3008" s="1" t="n">
        <v>45761</v>
      </c>
      <c r="D3008" t="inlineStr">
        <is>
          <t>SÖDERMANLANDS LÄN</t>
        </is>
      </c>
      <c r="E3008" t="inlineStr">
        <is>
          <t>KATRINEHOLM</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66541-2021</t>
        </is>
      </c>
      <c r="B3009" s="1" t="n">
        <v>44519</v>
      </c>
      <c r="C3009" s="1" t="n">
        <v>45761</v>
      </c>
      <c r="D3009" t="inlineStr">
        <is>
          <t>SÖDERMANLANDS LÄN</t>
        </is>
      </c>
      <c r="E3009" t="inlineStr">
        <is>
          <t>STRÄNGNÄS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66540-2021</t>
        </is>
      </c>
      <c r="B3010" s="1" t="n">
        <v>44519</v>
      </c>
      <c r="C3010" s="1" t="n">
        <v>45761</v>
      </c>
      <c r="D3010" t="inlineStr">
        <is>
          <t>SÖDERMANLANDS LÄN</t>
        </is>
      </c>
      <c r="E3010" t="inlineStr">
        <is>
          <t>KATRINEHOLM</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66655-2021</t>
        </is>
      </c>
      <c r="B3011" s="1" t="n">
        <v>44519</v>
      </c>
      <c r="C3011" s="1" t="n">
        <v>45761</v>
      </c>
      <c r="D3011" t="inlineStr">
        <is>
          <t>SÖDERMANLANDS LÄN</t>
        </is>
      </c>
      <c r="E3011" t="inlineStr">
        <is>
          <t>KATRINEHOLM</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66700-2021</t>
        </is>
      </c>
      <c r="B3012" s="1" t="n">
        <v>44519</v>
      </c>
      <c r="C3012" s="1" t="n">
        <v>45761</v>
      </c>
      <c r="D3012" t="inlineStr">
        <is>
          <t>SÖDERMANLANDS LÄN</t>
        </is>
      </c>
      <c r="E3012" t="inlineStr">
        <is>
          <t>VINGÅKER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66801-2021</t>
        </is>
      </c>
      <c r="B3013" s="1" t="n">
        <v>44522</v>
      </c>
      <c r="C3013" s="1" t="n">
        <v>45761</v>
      </c>
      <c r="D3013" t="inlineStr">
        <is>
          <t>SÖDERMANLANDS LÄN</t>
        </is>
      </c>
      <c r="E3013" t="inlineStr">
        <is>
          <t>KATRINEHOLM</t>
        </is>
      </c>
      <c r="F3013" t="inlineStr">
        <is>
          <t>Holmen skog AB</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66852-2021</t>
        </is>
      </c>
      <c r="B3014" s="1" t="n">
        <v>44522</v>
      </c>
      <c r="C3014" s="1" t="n">
        <v>45761</v>
      </c>
      <c r="D3014" t="inlineStr">
        <is>
          <t>SÖDERMANLANDS LÄN</t>
        </is>
      </c>
      <c r="E3014" t="inlineStr">
        <is>
          <t>NYKÖPING</t>
        </is>
      </c>
      <c r="F3014" t="inlineStr">
        <is>
          <t>Holmen skog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66939-2021</t>
        </is>
      </c>
      <c r="B3015" s="1" t="n">
        <v>44522</v>
      </c>
      <c r="C3015" s="1" t="n">
        <v>45761</v>
      </c>
      <c r="D3015" t="inlineStr">
        <is>
          <t>SÖDERMANLANDS LÄN</t>
        </is>
      </c>
      <c r="E3015" t="inlineStr">
        <is>
          <t>NYKÖPING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66798-2021</t>
        </is>
      </c>
      <c r="B3016" s="1" t="n">
        <v>44522</v>
      </c>
      <c r="C3016" s="1" t="n">
        <v>45761</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66860-2021</t>
        </is>
      </c>
      <c r="B3017" s="1" t="n">
        <v>44522</v>
      </c>
      <c r="C3017" s="1" t="n">
        <v>45761</v>
      </c>
      <c r="D3017" t="inlineStr">
        <is>
          <t>SÖDERMANLANDS LÄN</t>
        </is>
      </c>
      <c r="E3017" t="inlineStr">
        <is>
          <t>NYKÖPING</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66867-2021</t>
        </is>
      </c>
      <c r="B3018" s="1" t="n">
        <v>44522</v>
      </c>
      <c r="C3018" s="1" t="n">
        <v>45761</v>
      </c>
      <c r="D3018" t="inlineStr">
        <is>
          <t>SÖDERMANLANDS LÄN</t>
        </is>
      </c>
      <c r="E3018" t="inlineStr">
        <is>
          <t>FLEN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66979-2021</t>
        </is>
      </c>
      <c r="B3019" s="1" t="n">
        <v>44522</v>
      </c>
      <c r="C3019" s="1" t="n">
        <v>45761</v>
      </c>
      <c r="D3019" t="inlineStr">
        <is>
          <t>SÖDERMANLANDS LÄN</t>
        </is>
      </c>
      <c r="E3019" t="inlineStr">
        <is>
          <t>FLEN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66975-2021</t>
        </is>
      </c>
      <c r="B3020" s="1" t="n">
        <v>44522</v>
      </c>
      <c r="C3020" s="1" t="n">
        <v>45761</v>
      </c>
      <c r="D3020" t="inlineStr">
        <is>
          <t>SÖDERMANLANDS LÄN</t>
        </is>
      </c>
      <c r="E3020" t="inlineStr">
        <is>
          <t>NYKÖPING</t>
        </is>
      </c>
      <c r="F3020" t="inlineStr">
        <is>
          <t>Holmen skog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67047-2021</t>
        </is>
      </c>
      <c r="B3021" s="1" t="n">
        <v>44522</v>
      </c>
      <c r="C3021" s="1" t="n">
        <v>45761</v>
      </c>
      <c r="D3021" t="inlineStr">
        <is>
          <t>SÖDERMANLANDS LÄN</t>
        </is>
      </c>
      <c r="E3021" t="inlineStr">
        <is>
          <t>ESKILSTUNA</t>
        </is>
      </c>
      <c r="F3021" t="inlineStr">
        <is>
          <t>Kyrkan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67337-2021</t>
        </is>
      </c>
      <c r="B3022" s="1" t="n">
        <v>44523</v>
      </c>
      <c r="C3022" s="1" t="n">
        <v>45761</v>
      </c>
      <c r="D3022" t="inlineStr">
        <is>
          <t>SÖDERMANLANDS LÄN</t>
        </is>
      </c>
      <c r="E3022" t="inlineStr">
        <is>
          <t>KATRINEHOLM</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67351-2021</t>
        </is>
      </c>
      <c r="B3023" s="1" t="n">
        <v>44523</v>
      </c>
      <c r="C3023" s="1" t="n">
        <v>45761</v>
      </c>
      <c r="D3023" t="inlineStr">
        <is>
          <t>SÖDERMANLANDS LÄN</t>
        </is>
      </c>
      <c r="E3023" t="inlineStr">
        <is>
          <t>KATRINEHOLM</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67464-2021</t>
        </is>
      </c>
      <c r="B3024" s="1" t="n">
        <v>44524</v>
      </c>
      <c r="C3024" s="1" t="n">
        <v>45761</v>
      </c>
      <c r="D3024" t="inlineStr">
        <is>
          <t>SÖDERMANLANDS LÄN</t>
        </is>
      </c>
      <c r="E3024" t="inlineStr">
        <is>
          <t>FLEN</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67516-2021</t>
        </is>
      </c>
      <c r="B3025" s="1" t="n">
        <v>44524</v>
      </c>
      <c r="C3025" s="1" t="n">
        <v>45761</v>
      </c>
      <c r="D3025" t="inlineStr">
        <is>
          <t>SÖDERMANLANDS LÄN</t>
        </is>
      </c>
      <c r="E3025" t="inlineStr">
        <is>
          <t>ESKILSTUNA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67479-2021</t>
        </is>
      </c>
      <c r="B3026" s="1" t="n">
        <v>44524</v>
      </c>
      <c r="C3026" s="1" t="n">
        <v>45761</v>
      </c>
      <c r="D3026" t="inlineStr">
        <is>
          <t>SÖDERMANLANDS LÄN</t>
        </is>
      </c>
      <c r="E3026" t="inlineStr">
        <is>
          <t>GNESTA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67529-2021</t>
        </is>
      </c>
      <c r="B3027" s="1" t="n">
        <v>44524</v>
      </c>
      <c r="C3027" s="1" t="n">
        <v>45761</v>
      </c>
      <c r="D3027" t="inlineStr">
        <is>
          <t>SÖDERMANLANDS LÄN</t>
        </is>
      </c>
      <c r="E3027" t="inlineStr">
        <is>
          <t>ESKILSTUNA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67639-2021</t>
        </is>
      </c>
      <c r="B3028" s="1" t="n">
        <v>44524</v>
      </c>
      <c r="C3028" s="1" t="n">
        <v>45761</v>
      </c>
      <c r="D3028" t="inlineStr">
        <is>
          <t>SÖDERMANLANDS LÄN</t>
        </is>
      </c>
      <c r="E3028" t="inlineStr">
        <is>
          <t>STRÄNGNÄS</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67736-2021</t>
        </is>
      </c>
      <c r="B3029" s="1" t="n">
        <v>44525</v>
      </c>
      <c r="C3029" s="1" t="n">
        <v>45761</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67817-2021</t>
        </is>
      </c>
      <c r="B3030" s="1" t="n">
        <v>44525</v>
      </c>
      <c r="C3030" s="1" t="n">
        <v>45761</v>
      </c>
      <c r="D3030" t="inlineStr">
        <is>
          <t>SÖDERMANLANDS LÄN</t>
        </is>
      </c>
      <c r="E3030" t="inlineStr">
        <is>
          <t>NYKÖPING</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67829-2021</t>
        </is>
      </c>
      <c r="B3031" s="1" t="n">
        <v>44525</v>
      </c>
      <c r="C3031" s="1" t="n">
        <v>45761</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67802-2021</t>
        </is>
      </c>
      <c r="B3032" s="1" t="n">
        <v>44525</v>
      </c>
      <c r="C3032" s="1" t="n">
        <v>45761</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67805-2021</t>
        </is>
      </c>
      <c r="B3033" s="1" t="n">
        <v>44525</v>
      </c>
      <c r="C3033" s="1" t="n">
        <v>45761</v>
      </c>
      <c r="D3033" t="inlineStr">
        <is>
          <t>SÖDERMANLANDS LÄN</t>
        </is>
      </c>
      <c r="E3033" t="inlineStr">
        <is>
          <t>NYKÖPING</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67825-2021</t>
        </is>
      </c>
      <c r="B3034" s="1" t="n">
        <v>44525</v>
      </c>
      <c r="C3034" s="1" t="n">
        <v>45761</v>
      </c>
      <c r="D3034" t="inlineStr">
        <is>
          <t>SÖDERMANLANDS LÄN</t>
        </is>
      </c>
      <c r="E3034" t="inlineStr">
        <is>
          <t>NYKÖPING</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67833-2021</t>
        </is>
      </c>
      <c r="B3035" s="1" t="n">
        <v>44525</v>
      </c>
      <c r="C3035" s="1" t="n">
        <v>45761</v>
      </c>
      <c r="D3035" t="inlineStr">
        <is>
          <t>SÖDERMANLANDS LÄN</t>
        </is>
      </c>
      <c r="E3035" t="inlineStr">
        <is>
          <t>NYKÖPING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67823-2021</t>
        </is>
      </c>
      <c r="B3036" s="1" t="n">
        <v>44525</v>
      </c>
      <c r="C3036" s="1" t="n">
        <v>45761</v>
      </c>
      <c r="D3036" t="inlineStr">
        <is>
          <t>SÖDERMANLANDS LÄN</t>
        </is>
      </c>
      <c r="E3036" t="inlineStr">
        <is>
          <t>NYKÖPING</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67830-2021</t>
        </is>
      </c>
      <c r="B3037" s="1" t="n">
        <v>44525</v>
      </c>
      <c r="C3037" s="1" t="n">
        <v>45761</v>
      </c>
      <c r="D3037" t="inlineStr">
        <is>
          <t>SÖDERMANLANDS LÄN</t>
        </is>
      </c>
      <c r="E3037" t="inlineStr">
        <is>
          <t>NYKÖPING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67835-2021</t>
        </is>
      </c>
      <c r="B3038" s="1" t="n">
        <v>44525</v>
      </c>
      <c r="C3038" s="1" t="n">
        <v>45761</v>
      </c>
      <c r="D3038" t="inlineStr">
        <is>
          <t>SÖDERMANLANDS LÄN</t>
        </is>
      </c>
      <c r="E3038" t="inlineStr">
        <is>
          <t>VINGÅKER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67852-2021</t>
        </is>
      </c>
      <c r="B3039" s="1" t="n">
        <v>44525</v>
      </c>
      <c r="C3039" s="1" t="n">
        <v>45761</v>
      </c>
      <c r="D3039" t="inlineStr">
        <is>
          <t>SÖDERMANLANDS LÄN</t>
        </is>
      </c>
      <c r="E3039" t="inlineStr">
        <is>
          <t>NYKÖPING</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67857-2021</t>
        </is>
      </c>
      <c r="B3040" s="1" t="n">
        <v>44525</v>
      </c>
      <c r="C3040" s="1" t="n">
        <v>45761</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67925-2021</t>
        </is>
      </c>
      <c r="B3041" s="1" t="n">
        <v>44525</v>
      </c>
      <c r="C3041" s="1" t="n">
        <v>45761</v>
      </c>
      <c r="D3041" t="inlineStr">
        <is>
          <t>SÖDERMANLANDS LÄN</t>
        </is>
      </c>
      <c r="E3041" t="inlineStr">
        <is>
          <t>STRÄNGNÄS</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68023-2021</t>
        </is>
      </c>
      <c r="B3042" s="1" t="n">
        <v>44525</v>
      </c>
      <c r="C3042" s="1" t="n">
        <v>45761</v>
      </c>
      <c r="D3042" t="inlineStr">
        <is>
          <t>SÖDERMANLANDS LÄN</t>
        </is>
      </c>
      <c r="E3042" t="inlineStr">
        <is>
          <t>ESKILSTUNA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68034-2021</t>
        </is>
      </c>
      <c r="B3043" s="1" t="n">
        <v>44525</v>
      </c>
      <c r="C3043" s="1" t="n">
        <v>45761</v>
      </c>
      <c r="D3043" t="inlineStr">
        <is>
          <t>SÖDERMANLANDS LÄN</t>
        </is>
      </c>
      <c r="E3043" t="inlineStr">
        <is>
          <t>NYKÖPING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68020-2021</t>
        </is>
      </c>
      <c r="B3044" s="1" t="n">
        <v>44525</v>
      </c>
      <c r="C3044" s="1" t="n">
        <v>45761</v>
      </c>
      <c r="D3044" t="inlineStr">
        <is>
          <t>SÖDERMANLANDS LÄN</t>
        </is>
      </c>
      <c r="E3044" t="inlineStr">
        <is>
          <t>ESKILSTUNA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68028-2021</t>
        </is>
      </c>
      <c r="B3045" s="1" t="n">
        <v>44525</v>
      </c>
      <c r="C3045" s="1" t="n">
        <v>45761</v>
      </c>
      <c r="D3045" t="inlineStr">
        <is>
          <t>SÖDERMANLANDS LÄN</t>
        </is>
      </c>
      <c r="E3045" t="inlineStr">
        <is>
          <t>NYKÖPING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68018-2021</t>
        </is>
      </c>
      <c r="B3046" s="1" t="n">
        <v>44525</v>
      </c>
      <c r="C3046" s="1" t="n">
        <v>45761</v>
      </c>
      <c r="D3046" t="inlineStr">
        <is>
          <t>SÖDERMANLANDS LÄN</t>
        </is>
      </c>
      <c r="E3046" t="inlineStr">
        <is>
          <t>ESKILSTUNA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68024-2021</t>
        </is>
      </c>
      <c r="B3047" s="1" t="n">
        <v>44525</v>
      </c>
      <c r="C3047" s="1" t="n">
        <v>45761</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68022-2021</t>
        </is>
      </c>
      <c r="B3048" s="1" t="n">
        <v>44525</v>
      </c>
      <c r="C3048" s="1" t="n">
        <v>45761</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v>
      </c>
      <c r="C3049" s="1" t="n">
        <v>45761</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68041-2021</t>
        </is>
      </c>
      <c r="B3050" s="1" t="n">
        <v>44525</v>
      </c>
      <c r="C3050" s="1" t="n">
        <v>45761</v>
      </c>
      <c r="D3050" t="inlineStr">
        <is>
          <t>SÖDERMANLANDS LÄN</t>
        </is>
      </c>
      <c r="E3050" t="inlineStr">
        <is>
          <t>NYKÖPING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68175-2021</t>
        </is>
      </c>
      <c r="B3051" s="1" t="n">
        <v>44526</v>
      </c>
      <c r="C3051" s="1" t="n">
        <v>45761</v>
      </c>
      <c r="D3051" t="inlineStr">
        <is>
          <t>SÖDERMANLANDS LÄN</t>
        </is>
      </c>
      <c r="E3051" t="inlineStr">
        <is>
          <t>TROSA</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68231-2021</t>
        </is>
      </c>
      <c r="B3052" s="1" t="n">
        <v>44526</v>
      </c>
      <c r="C3052" s="1" t="n">
        <v>45761</v>
      </c>
      <c r="D3052" t="inlineStr">
        <is>
          <t>SÖDERMANLANDS LÄN</t>
        </is>
      </c>
      <c r="E3052" t="inlineStr">
        <is>
          <t>NYKÖPING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68206-2021</t>
        </is>
      </c>
      <c r="B3053" s="1" t="n">
        <v>44526</v>
      </c>
      <c r="C3053" s="1" t="n">
        <v>45761</v>
      </c>
      <c r="D3053" t="inlineStr">
        <is>
          <t>SÖDERMANLANDS LÄN</t>
        </is>
      </c>
      <c r="E3053" t="inlineStr">
        <is>
          <t>KATRINEHOLM</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68362-2021</t>
        </is>
      </c>
      <c r="B3054" s="1" t="n">
        <v>44528</v>
      </c>
      <c r="C3054" s="1" t="n">
        <v>45761</v>
      </c>
      <c r="D3054" t="inlineStr">
        <is>
          <t>SÖDERMANLANDS LÄN</t>
        </is>
      </c>
      <c r="E3054" t="inlineStr">
        <is>
          <t>GNESTA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68500-2021</t>
        </is>
      </c>
      <c r="B3055" s="1" t="n">
        <v>44529</v>
      </c>
      <c r="C3055" s="1" t="n">
        <v>45761</v>
      </c>
      <c r="D3055" t="inlineStr">
        <is>
          <t>SÖDERMANLANDS LÄN</t>
        </is>
      </c>
      <c r="E3055" t="inlineStr">
        <is>
          <t>NYKÖPING</t>
        </is>
      </c>
      <c r="F3055" t="inlineStr">
        <is>
          <t>Övriga Aktiebolag</t>
        </is>
      </c>
      <c r="G3055" t="n">
        <v>13.1</v>
      </c>
      <c r="H3055" t="n">
        <v>0</v>
      </c>
      <c r="I3055" t="n">
        <v>0</v>
      </c>
      <c r="J3055" t="n">
        <v>0</v>
      </c>
      <c r="K3055" t="n">
        <v>0</v>
      </c>
      <c r="L3055" t="n">
        <v>0</v>
      </c>
      <c r="M3055" t="n">
        <v>0</v>
      </c>
      <c r="N3055" t="n">
        <v>0</v>
      </c>
      <c r="O3055" t="n">
        <v>0</v>
      </c>
      <c r="P3055" t="n">
        <v>0</v>
      </c>
      <c r="Q3055" t="n">
        <v>0</v>
      </c>
      <c r="R3055" s="2" t="inlineStr"/>
    </row>
    <row r="3056" ht="15" customHeight="1">
      <c r="A3056" t="inlineStr">
        <is>
          <t>A 68720-2021</t>
        </is>
      </c>
      <c r="B3056" s="1" t="n">
        <v>44529</v>
      </c>
      <c r="C3056" s="1" t="n">
        <v>45761</v>
      </c>
      <c r="D3056" t="inlineStr">
        <is>
          <t>SÖDERMANLANDS LÄN</t>
        </is>
      </c>
      <c r="E3056" t="inlineStr">
        <is>
          <t>STRÄNGNÄS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68687-2021</t>
        </is>
      </c>
      <c r="B3057" s="1" t="n">
        <v>44529</v>
      </c>
      <c r="C3057" s="1" t="n">
        <v>45761</v>
      </c>
      <c r="D3057" t="inlineStr">
        <is>
          <t>SÖDERMANLANDS LÄN</t>
        </is>
      </c>
      <c r="E3057" t="inlineStr">
        <is>
          <t>GNESTA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68389-2021</t>
        </is>
      </c>
      <c r="B3058" s="1" t="n">
        <v>44529</v>
      </c>
      <c r="C3058" s="1" t="n">
        <v>45761</v>
      </c>
      <c r="D3058" t="inlineStr">
        <is>
          <t>SÖDERMANLANDS LÄN</t>
        </is>
      </c>
      <c r="E3058" t="inlineStr">
        <is>
          <t>GNESTA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68401-2021</t>
        </is>
      </c>
      <c r="B3059" s="1" t="n">
        <v>44529</v>
      </c>
      <c r="C3059" s="1" t="n">
        <v>45761</v>
      </c>
      <c r="D3059" t="inlineStr">
        <is>
          <t>SÖDERMANLANDS LÄN</t>
        </is>
      </c>
      <c r="E3059" t="inlineStr">
        <is>
          <t>NYKÖPING</t>
        </is>
      </c>
      <c r="F3059" t="inlineStr">
        <is>
          <t>Övriga Aktiebolag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68869-2021</t>
        </is>
      </c>
      <c r="B3060" s="1" t="n">
        <v>44529</v>
      </c>
      <c r="C3060" s="1" t="n">
        <v>45761</v>
      </c>
      <c r="D3060" t="inlineStr">
        <is>
          <t>SÖDERMANLANDS LÄN</t>
        </is>
      </c>
      <c r="E3060" t="inlineStr">
        <is>
          <t>GNESTA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68905-2021</t>
        </is>
      </c>
      <c r="B3061" s="1" t="n">
        <v>44530</v>
      </c>
      <c r="C3061" s="1" t="n">
        <v>45761</v>
      </c>
      <c r="D3061" t="inlineStr">
        <is>
          <t>SÖDERMANLANDS LÄN</t>
        </is>
      </c>
      <c r="E3061" t="inlineStr">
        <is>
          <t>STRÄNGNÄS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69117-2021</t>
        </is>
      </c>
      <c r="B3062" s="1" t="n">
        <v>44530</v>
      </c>
      <c r="C3062" s="1" t="n">
        <v>45761</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69094-2021</t>
        </is>
      </c>
      <c r="B3063" s="1" t="n">
        <v>44530</v>
      </c>
      <c r="C3063" s="1" t="n">
        <v>45761</v>
      </c>
      <c r="D3063" t="inlineStr">
        <is>
          <t>SÖDERMANLANDS LÄN</t>
        </is>
      </c>
      <c r="E3063" t="inlineStr">
        <is>
          <t>TROSA</t>
        </is>
      </c>
      <c r="F3063" t="inlineStr">
        <is>
          <t>Holmen skog AB</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69244-2021</t>
        </is>
      </c>
      <c r="B3064" s="1" t="n">
        <v>44530</v>
      </c>
      <c r="C3064" s="1" t="n">
        <v>45761</v>
      </c>
      <c r="D3064" t="inlineStr">
        <is>
          <t>SÖDERMANLANDS LÄN</t>
        </is>
      </c>
      <c r="E3064" t="inlineStr">
        <is>
          <t>NYKÖPING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69255-2021</t>
        </is>
      </c>
      <c r="B3065" s="1" t="n">
        <v>44530</v>
      </c>
      <c r="C3065" s="1" t="n">
        <v>45761</v>
      </c>
      <c r="D3065" t="inlineStr">
        <is>
          <t>SÖDERMANLANDS LÄN</t>
        </is>
      </c>
      <c r="E3065" t="inlineStr">
        <is>
          <t>NYKÖPING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69252-2021</t>
        </is>
      </c>
      <c r="B3066" s="1" t="n">
        <v>44530</v>
      </c>
      <c r="C3066" s="1" t="n">
        <v>45761</v>
      </c>
      <c r="D3066" t="inlineStr">
        <is>
          <t>SÖDERMANLANDS LÄN</t>
        </is>
      </c>
      <c r="E3066" t="inlineStr">
        <is>
          <t>NYKÖPING</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69247-2021</t>
        </is>
      </c>
      <c r="B3067" s="1" t="n">
        <v>44530</v>
      </c>
      <c r="C3067" s="1" t="n">
        <v>45761</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69178-2021</t>
        </is>
      </c>
      <c r="B3068" s="1" t="n">
        <v>44531</v>
      </c>
      <c r="C3068" s="1" t="n">
        <v>45761</v>
      </c>
      <c r="D3068" t="inlineStr">
        <is>
          <t>SÖDERMANLANDS LÄN</t>
        </is>
      </c>
      <c r="E3068" t="inlineStr">
        <is>
          <t>STRÄNGNÄS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69581-2021</t>
        </is>
      </c>
      <c r="B3069" s="1" t="n">
        <v>44531</v>
      </c>
      <c r="C3069" s="1" t="n">
        <v>45761</v>
      </c>
      <c r="D3069" t="inlineStr">
        <is>
          <t>SÖDERMANLANDS LÄN</t>
        </is>
      </c>
      <c r="E3069" t="inlineStr">
        <is>
          <t>VINGÅKER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69598-2021</t>
        </is>
      </c>
      <c r="B3070" s="1" t="n">
        <v>44531</v>
      </c>
      <c r="C3070" s="1" t="n">
        <v>45761</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69622-2021</t>
        </is>
      </c>
      <c r="B3071" s="1" t="n">
        <v>44531</v>
      </c>
      <c r="C3071" s="1" t="n">
        <v>45761</v>
      </c>
      <c r="D3071" t="inlineStr">
        <is>
          <t>SÖDERMANLANDS LÄN</t>
        </is>
      </c>
      <c r="E3071" t="inlineStr">
        <is>
          <t>NYKÖPING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69175-2021</t>
        </is>
      </c>
      <c r="B3072" s="1" t="n">
        <v>44531</v>
      </c>
      <c r="C3072" s="1" t="n">
        <v>45761</v>
      </c>
      <c r="D3072" t="inlineStr">
        <is>
          <t>SÖDERMANLANDS LÄN</t>
        </is>
      </c>
      <c r="E3072" t="inlineStr">
        <is>
          <t>STRÄNGNÄS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69429-2021</t>
        </is>
      </c>
      <c r="B3073" s="1" t="n">
        <v>44531</v>
      </c>
      <c r="C3073" s="1" t="n">
        <v>45761</v>
      </c>
      <c r="D3073" t="inlineStr">
        <is>
          <t>SÖDERMANLANDS LÄN</t>
        </is>
      </c>
      <c r="E3073" t="inlineStr">
        <is>
          <t>KATRINEHOLM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69588-2021</t>
        </is>
      </c>
      <c r="B3074" s="1" t="n">
        <v>44531</v>
      </c>
      <c r="C3074" s="1" t="n">
        <v>45761</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69618-2021</t>
        </is>
      </c>
      <c r="B3075" s="1" t="n">
        <v>44531</v>
      </c>
      <c r="C3075" s="1" t="n">
        <v>45761</v>
      </c>
      <c r="D3075" t="inlineStr">
        <is>
          <t>SÖDERMANLANDS LÄN</t>
        </is>
      </c>
      <c r="E3075" t="inlineStr">
        <is>
          <t>NYKÖPING</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69602-2021</t>
        </is>
      </c>
      <c r="B3076" s="1" t="n">
        <v>44531</v>
      </c>
      <c r="C3076" s="1" t="n">
        <v>45761</v>
      </c>
      <c r="D3076" t="inlineStr">
        <is>
          <t>SÖDERMANLANDS LÄN</t>
        </is>
      </c>
      <c r="E3076" t="inlineStr">
        <is>
          <t>NYKÖPING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69800-2021</t>
        </is>
      </c>
      <c r="B3077" s="1" t="n">
        <v>44532</v>
      </c>
      <c r="C3077" s="1" t="n">
        <v>45761</v>
      </c>
      <c r="D3077" t="inlineStr">
        <is>
          <t>SÖDERMANLANDS LÄN</t>
        </is>
      </c>
      <c r="E3077" t="inlineStr">
        <is>
          <t>STRÄNGNÄS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69922-2021</t>
        </is>
      </c>
      <c r="B3078" s="1" t="n">
        <v>44532</v>
      </c>
      <c r="C3078" s="1" t="n">
        <v>45761</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69822-2021</t>
        </is>
      </c>
      <c r="B3079" s="1" t="n">
        <v>44532</v>
      </c>
      <c r="C3079" s="1" t="n">
        <v>45761</v>
      </c>
      <c r="D3079" t="inlineStr">
        <is>
          <t>SÖDERMANLANDS LÄN</t>
        </is>
      </c>
      <c r="E3079" t="inlineStr">
        <is>
          <t>STRÄNGNÄS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70082-2021</t>
        </is>
      </c>
      <c r="B3080" s="1" t="n">
        <v>44533</v>
      </c>
      <c r="C3080" s="1" t="n">
        <v>45761</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70064-2021</t>
        </is>
      </c>
      <c r="B3081" s="1" t="n">
        <v>44533</v>
      </c>
      <c r="C3081" s="1" t="n">
        <v>45761</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70056-2021</t>
        </is>
      </c>
      <c r="B3082" s="1" t="n">
        <v>44533</v>
      </c>
      <c r="C3082" s="1" t="n">
        <v>45761</v>
      </c>
      <c r="D3082" t="inlineStr">
        <is>
          <t>SÖDERMANLANDS LÄN</t>
        </is>
      </c>
      <c r="E3082" t="inlineStr">
        <is>
          <t>ESKILSTUNA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70191-2021</t>
        </is>
      </c>
      <c r="B3083" s="1" t="n">
        <v>44533</v>
      </c>
      <c r="C3083" s="1" t="n">
        <v>45761</v>
      </c>
      <c r="D3083" t="inlineStr">
        <is>
          <t>SÖDERMANLANDS LÄN</t>
        </is>
      </c>
      <c r="E3083" t="inlineStr">
        <is>
          <t>ESKILSTUNA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70038-2021</t>
        </is>
      </c>
      <c r="B3084" s="1" t="n">
        <v>44533</v>
      </c>
      <c r="C3084" s="1" t="n">
        <v>45761</v>
      </c>
      <c r="D3084" t="inlineStr">
        <is>
          <t>SÖDERMANLANDS LÄN</t>
        </is>
      </c>
      <c r="E3084" t="inlineStr">
        <is>
          <t>ESKILSTUNA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70051-2021</t>
        </is>
      </c>
      <c r="B3085" s="1" t="n">
        <v>44533</v>
      </c>
      <c r="C3085" s="1" t="n">
        <v>45761</v>
      </c>
      <c r="D3085" t="inlineStr">
        <is>
          <t>SÖDERMANLANDS LÄN</t>
        </is>
      </c>
      <c r="E3085" t="inlineStr">
        <is>
          <t>ESKILSTUNA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70192-2021</t>
        </is>
      </c>
      <c r="B3086" s="1" t="n">
        <v>44534</v>
      </c>
      <c r="C3086" s="1" t="n">
        <v>45761</v>
      </c>
      <c r="D3086" t="inlineStr">
        <is>
          <t>SÖDERMANLANDS LÄN</t>
        </is>
      </c>
      <c r="E3086" t="inlineStr">
        <is>
          <t>ESKILSTUNA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69966-2021</t>
        </is>
      </c>
      <c r="B3087" s="1" t="n">
        <v>44533</v>
      </c>
      <c r="C3087" s="1" t="n">
        <v>45761</v>
      </c>
      <c r="D3087" t="inlineStr">
        <is>
          <t>SÖDERMANLANDS LÄN</t>
        </is>
      </c>
      <c r="E3087" t="inlineStr">
        <is>
          <t>TROSA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70215-2021</t>
        </is>
      </c>
      <c r="B3088" s="1" t="n">
        <v>44535</v>
      </c>
      <c r="C3088" s="1" t="n">
        <v>45761</v>
      </c>
      <c r="D3088" t="inlineStr">
        <is>
          <t>SÖDERMANLANDS LÄN</t>
        </is>
      </c>
      <c r="E3088" t="inlineStr">
        <is>
          <t>FLEN</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70092-2021</t>
        </is>
      </c>
      <c r="B3089" s="1" t="n">
        <v>44536</v>
      </c>
      <c r="C3089" s="1" t="n">
        <v>45761</v>
      </c>
      <c r="D3089" t="inlineStr">
        <is>
          <t>SÖDERMANLANDS LÄN</t>
        </is>
      </c>
      <c r="E3089" t="inlineStr">
        <is>
          <t>NYKÖPING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70265-2021</t>
        </is>
      </c>
      <c r="B3090" s="1" t="n">
        <v>44536</v>
      </c>
      <c r="C3090" s="1" t="n">
        <v>45761</v>
      </c>
      <c r="D3090" t="inlineStr">
        <is>
          <t>SÖDERMANLANDS LÄN</t>
        </is>
      </c>
      <c r="E3090" t="inlineStr">
        <is>
          <t>ESKILSTUNA</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70422-2021</t>
        </is>
      </c>
      <c r="B3091" s="1" t="n">
        <v>44536</v>
      </c>
      <c r="C3091" s="1" t="n">
        <v>45761</v>
      </c>
      <c r="D3091" t="inlineStr">
        <is>
          <t>SÖDERMANLANDS LÄN</t>
        </is>
      </c>
      <c r="E3091" t="inlineStr">
        <is>
          <t>KATRINEHOLM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70442-2021</t>
        </is>
      </c>
      <c r="B3092" s="1" t="n">
        <v>44536</v>
      </c>
      <c r="C3092" s="1" t="n">
        <v>45761</v>
      </c>
      <c r="D3092" t="inlineStr">
        <is>
          <t>SÖDERMANLANDS LÄN</t>
        </is>
      </c>
      <c r="E3092" t="inlineStr">
        <is>
          <t>KATRINEHOLM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70560-2021</t>
        </is>
      </c>
      <c r="B3093" s="1" t="n">
        <v>44536</v>
      </c>
      <c r="C3093" s="1" t="n">
        <v>45761</v>
      </c>
      <c r="D3093" t="inlineStr">
        <is>
          <t>SÖDERMANLANDS LÄN</t>
        </is>
      </c>
      <c r="E3093" t="inlineStr">
        <is>
          <t>ESKILSTUNA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70666-2021</t>
        </is>
      </c>
      <c r="B3094" s="1" t="n">
        <v>44536</v>
      </c>
      <c r="C3094" s="1" t="n">
        <v>45761</v>
      </c>
      <c r="D3094" t="inlineStr">
        <is>
          <t>SÖDERMANLANDS LÄN</t>
        </is>
      </c>
      <c r="E3094" t="inlineStr">
        <is>
          <t>ESKILSTUNA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70490-2021</t>
        </is>
      </c>
      <c r="B3095" s="1" t="n">
        <v>44536</v>
      </c>
      <c r="C3095" s="1" t="n">
        <v>45761</v>
      </c>
      <c r="D3095" t="inlineStr">
        <is>
          <t>SÖDERMANLANDS LÄN</t>
        </is>
      </c>
      <c r="E3095" t="inlineStr">
        <is>
          <t>ESKILSTUNA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70620-2021</t>
        </is>
      </c>
      <c r="B3096" s="1" t="n">
        <v>44536</v>
      </c>
      <c r="C3096" s="1" t="n">
        <v>45761</v>
      </c>
      <c r="D3096" t="inlineStr">
        <is>
          <t>SÖDERMANLANDS LÄN</t>
        </is>
      </c>
      <c r="E3096" t="inlineStr">
        <is>
          <t>ESKILSTUNA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70667-2021</t>
        </is>
      </c>
      <c r="B3097" s="1" t="n">
        <v>44536</v>
      </c>
      <c r="C3097" s="1" t="n">
        <v>45761</v>
      </c>
      <c r="D3097" t="inlineStr">
        <is>
          <t>SÖDERMANLANDS LÄN</t>
        </is>
      </c>
      <c r="E3097" t="inlineStr">
        <is>
          <t>ESKILSTUNA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70557-2021</t>
        </is>
      </c>
      <c r="B3098" s="1" t="n">
        <v>44536</v>
      </c>
      <c r="C3098" s="1" t="n">
        <v>45761</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70660-2021</t>
        </is>
      </c>
      <c r="B3099" s="1" t="n">
        <v>44536</v>
      </c>
      <c r="C3099" s="1" t="n">
        <v>45761</v>
      </c>
      <c r="D3099" t="inlineStr">
        <is>
          <t>SÖDERMANLANDS LÄN</t>
        </is>
      </c>
      <c r="E3099" t="inlineStr">
        <is>
          <t>ESKILSTUNA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70701-2021</t>
        </is>
      </c>
      <c r="B3100" s="1" t="n">
        <v>44536</v>
      </c>
      <c r="C3100" s="1" t="n">
        <v>45761</v>
      </c>
      <c r="D3100" t="inlineStr">
        <is>
          <t>SÖDERMANLANDS LÄN</t>
        </is>
      </c>
      <c r="E3100" t="inlineStr">
        <is>
          <t>FLEN</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70749-2021</t>
        </is>
      </c>
      <c r="B3101" s="1" t="n">
        <v>44536</v>
      </c>
      <c r="C3101" s="1" t="n">
        <v>45761</v>
      </c>
      <c r="D3101" t="inlineStr">
        <is>
          <t>SÖDERMANLANDS LÄN</t>
        </is>
      </c>
      <c r="E3101" t="inlineStr">
        <is>
          <t>NYKÖPING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70772-2021</t>
        </is>
      </c>
      <c r="B3102" s="1" t="n">
        <v>44536</v>
      </c>
      <c r="C3102" s="1" t="n">
        <v>45761</v>
      </c>
      <c r="D3102" t="inlineStr">
        <is>
          <t>SÖDERMANLANDS LÄN</t>
        </is>
      </c>
      <c r="E3102" t="inlineStr">
        <is>
          <t>NYKÖPING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70777-2021</t>
        </is>
      </c>
      <c r="B3103" s="1" t="n">
        <v>44536</v>
      </c>
      <c r="C3103" s="1" t="n">
        <v>45761</v>
      </c>
      <c r="D3103" t="inlineStr">
        <is>
          <t>SÖDERMANLANDS LÄN</t>
        </is>
      </c>
      <c r="E3103" t="inlineStr">
        <is>
          <t>NYKÖPING</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70791-2021</t>
        </is>
      </c>
      <c r="B3104" s="1" t="n">
        <v>44536</v>
      </c>
      <c r="C3104" s="1" t="n">
        <v>45761</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70613-2021</t>
        </is>
      </c>
      <c r="B3105" s="1" t="n">
        <v>44537</v>
      </c>
      <c r="C3105" s="1" t="n">
        <v>45761</v>
      </c>
      <c r="D3105" t="inlineStr">
        <is>
          <t>SÖDERMANLANDS LÄN</t>
        </is>
      </c>
      <c r="E3105" t="inlineStr">
        <is>
          <t>ESKILSTUNA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70782-2021</t>
        </is>
      </c>
      <c r="B3106" s="1" t="n">
        <v>44537</v>
      </c>
      <c r="C3106" s="1" t="n">
        <v>45761</v>
      </c>
      <c r="D3106" t="inlineStr">
        <is>
          <t>SÖDERMANLANDS LÄN</t>
        </is>
      </c>
      <c r="E3106" t="inlineStr">
        <is>
          <t>GNESTA</t>
        </is>
      </c>
      <c r="F3106" t="inlineStr">
        <is>
          <t>Kyrkan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70934-2021</t>
        </is>
      </c>
      <c r="B3107" s="1" t="n">
        <v>44537</v>
      </c>
      <c r="C3107" s="1" t="n">
        <v>45761</v>
      </c>
      <c r="D3107" t="inlineStr">
        <is>
          <t>SÖDERMANLANDS LÄN</t>
        </is>
      </c>
      <c r="E3107" t="inlineStr">
        <is>
          <t>STRÄNGNÄS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71103-2021</t>
        </is>
      </c>
      <c r="B3108" s="1" t="n">
        <v>44537</v>
      </c>
      <c r="C3108" s="1" t="n">
        <v>45761</v>
      </c>
      <c r="D3108" t="inlineStr">
        <is>
          <t>SÖDERMANLANDS LÄN</t>
        </is>
      </c>
      <c r="E3108" t="inlineStr">
        <is>
          <t>NYKÖPING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71107-2021</t>
        </is>
      </c>
      <c r="B3109" s="1" t="n">
        <v>44537</v>
      </c>
      <c r="C3109" s="1" t="n">
        <v>45761</v>
      </c>
      <c r="D3109" t="inlineStr">
        <is>
          <t>SÖDERMANLANDS LÄN</t>
        </is>
      </c>
      <c r="E3109" t="inlineStr">
        <is>
          <t>NYKÖPING</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71111-2021</t>
        </is>
      </c>
      <c r="B3110" s="1" t="n">
        <v>44537</v>
      </c>
      <c r="C3110" s="1" t="n">
        <v>45761</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71115-2021</t>
        </is>
      </c>
      <c r="B3111" s="1" t="n">
        <v>44537</v>
      </c>
      <c r="C3111" s="1" t="n">
        <v>45761</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71150-2021</t>
        </is>
      </c>
      <c r="B3112" s="1" t="n">
        <v>44539</v>
      </c>
      <c r="C3112" s="1" t="n">
        <v>45761</v>
      </c>
      <c r="D3112" t="inlineStr">
        <is>
          <t>SÖDERMANLANDS LÄN</t>
        </is>
      </c>
      <c r="E3112" t="inlineStr">
        <is>
          <t>GNESTA</t>
        </is>
      </c>
      <c r="F3112" t="inlineStr">
        <is>
          <t>Allmännings- och besparingsskogar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71175-2021</t>
        </is>
      </c>
      <c r="B3113" s="1" t="n">
        <v>44539</v>
      </c>
      <c r="C3113" s="1" t="n">
        <v>45761</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71129-2021</t>
        </is>
      </c>
      <c r="B3114" s="1" t="n">
        <v>44539</v>
      </c>
      <c r="C3114" s="1" t="n">
        <v>45761</v>
      </c>
      <c r="D3114" t="inlineStr">
        <is>
          <t>SÖDERMANLANDS LÄN</t>
        </is>
      </c>
      <c r="E3114" t="inlineStr">
        <is>
          <t>KATRINEHOLM</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71177-2021</t>
        </is>
      </c>
      <c r="B3115" s="1" t="n">
        <v>44539</v>
      </c>
      <c r="C3115" s="1" t="n">
        <v>45761</v>
      </c>
      <c r="D3115" t="inlineStr">
        <is>
          <t>SÖDERMANLANDS LÄN</t>
        </is>
      </c>
      <c r="E3115" t="inlineStr">
        <is>
          <t>KATRINEHOLM</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71240-2021</t>
        </is>
      </c>
      <c r="B3116" s="1" t="n">
        <v>44539</v>
      </c>
      <c r="C3116" s="1" t="n">
        <v>45761</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71251-2021</t>
        </is>
      </c>
      <c r="B3117" s="1" t="n">
        <v>44539</v>
      </c>
      <c r="C3117" s="1" t="n">
        <v>45761</v>
      </c>
      <c r="D3117" t="inlineStr">
        <is>
          <t>SÖDERMANLANDS LÄN</t>
        </is>
      </c>
      <c r="E3117" t="inlineStr">
        <is>
          <t>NYKÖPING</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71414-2021</t>
        </is>
      </c>
      <c r="B3118" s="1" t="n">
        <v>44540</v>
      </c>
      <c r="C3118" s="1" t="n">
        <v>45761</v>
      </c>
      <c r="D3118" t="inlineStr">
        <is>
          <t>SÖDERMANLANDS LÄN</t>
        </is>
      </c>
      <c r="E3118" t="inlineStr">
        <is>
          <t>STRÄNGNÄS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71555-2021</t>
        </is>
      </c>
      <c r="B3119" s="1" t="n">
        <v>44540</v>
      </c>
      <c r="C3119" s="1" t="n">
        <v>45761</v>
      </c>
      <c r="D3119" t="inlineStr">
        <is>
          <t>SÖDERMANLANDS LÄN</t>
        </is>
      </c>
      <c r="E3119" t="inlineStr">
        <is>
          <t>NYKÖPING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71772-2021</t>
        </is>
      </c>
      <c r="B3120" s="1" t="n">
        <v>44543</v>
      </c>
      <c r="C3120" s="1" t="n">
        <v>45761</v>
      </c>
      <c r="D3120" t="inlineStr">
        <is>
          <t>SÖDERMANLANDS LÄN</t>
        </is>
      </c>
      <c r="E3120" t="inlineStr">
        <is>
          <t>GNESTA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71884-2021</t>
        </is>
      </c>
      <c r="B3121" s="1" t="n">
        <v>44543</v>
      </c>
      <c r="C3121" s="1" t="n">
        <v>45761</v>
      </c>
      <c r="D3121" t="inlineStr">
        <is>
          <t>SÖDERMANLANDS LÄN</t>
        </is>
      </c>
      <c r="E3121" t="inlineStr">
        <is>
          <t>NYKÖPING</t>
        </is>
      </c>
      <c r="G3121" t="n">
        <v>8.5</v>
      </c>
      <c r="H3121" t="n">
        <v>0</v>
      </c>
      <c r="I3121" t="n">
        <v>0</v>
      </c>
      <c r="J3121" t="n">
        <v>0</v>
      </c>
      <c r="K3121" t="n">
        <v>0</v>
      </c>
      <c r="L3121" t="n">
        <v>0</v>
      </c>
      <c r="M3121" t="n">
        <v>0</v>
      </c>
      <c r="N3121" t="n">
        <v>0</v>
      </c>
      <c r="O3121" t="n">
        <v>0</v>
      </c>
      <c r="P3121" t="n">
        <v>0</v>
      </c>
      <c r="Q3121" t="n">
        <v>0</v>
      </c>
      <c r="R3121" s="2" t="inlineStr"/>
      <c r="U3121">
        <f>HYPERLINK("https://klasma.github.io/Logging_0480/knärot/A 71884-2021 karta knärot.png", "A 71884-2021")</f>
        <v/>
      </c>
      <c r="V3121">
        <f>HYPERLINK("https://klasma.github.io/Logging_0480/klagomål/A 71884-2021 FSC-klagomål.docx", "A 71884-2021")</f>
        <v/>
      </c>
      <c r="W3121">
        <f>HYPERLINK("https://klasma.github.io/Logging_0480/klagomålsmail/A 71884-2021 FSC-klagomål mail.docx", "A 71884-2021")</f>
        <v/>
      </c>
      <c r="X3121">
        <f>HYPERLINK("https://klasma.github.io/Logging_0480/tillsyn/A 71884-2021 tillsynsbegäran.docx", "A 71884-2021")</f>
        <v/>
      </c>
      <c r="Y3121">
        <f>HYPERLINK("https://klasma.github.io/Logging_0480/tillsynsmail/A 71884-2021 tillsynsbegäran mail.docx", "A 71884-2021")</f>
        <v/>
      </c>
    </row>
    <row r="3122" ht="15" customHeight="1">
      <c r="A3122" t="inlineStr">
        <is>
          <t>A 72117-2021</t>
        </is>
      </c>
      <c r="B3122" s="1" t="n">
        <v>44543</v>
      </c>
      <c r="C3122" s="1" t="n">
        <v>45761</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71980-2021</t>
        </is>
      </c>
      <c r="B3123" s="1" t="n">
        <v>44544</v>
      </c>
      <c r="C3123" s="1" t="n">
        <v>45761</v>
      </c>
      <c r="D3123" t="inlineStr">
        <is>
          <t>SÖDERMANLANDS LÄN</t>
        </is>
      </c>
      <c r="E3123" t="inlineStr">
        <is>
          <t>ESKILSTUNA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72054-2021</t>
        </is>
      </c>
      <c r="B3124" s="1" t="n">
        <v>44544</v>
      </c>
      <c r="C3124" s="1" t="n">
        <v>45761</v>
      </c>
      <c r="D3124" t="inlineStr">
        <is>
          <t>SÖDERMANLANDS LÄN</t>
        </is>
      </c>
      <c r="E3124" t="inlineStr">
        <is>
          <t>TROSA</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72307-2021</t>
        </is>
      </c>
      <c r="B3125" s="1" t="n">
        <v>44544</v>
      </c>
      <c r="C3125" s="1" t="n">
        <v>45761</v>
      </c>
      <c r="D3125" t="inlineStr">
        <is>
          <t>SÖDERMANLANDS LÄN</t>
        </is>
      </c>
      <c r="E3125" t="inlineStr">
        <is>
          <t>NYKÖPING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72304-2021</t>
        </is>
      </c>
      <c r="B3126" s="1" t="n">
        <v>44544</v>
      </c>
      <c r="C3126" s="1" t="n">
        <v>45761</v>
      </c>
      <c r="D3126" t="inlineStr">
        <is>
          <t>SÖDERMANLANDS LÄN</t>
        </is>
      </c>
      <c r="E3126" t="inlineStr">
        <is>
          <t>NYKÖPING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72314-2021</t>
        </is>
      </c>
      <c r="B3127" s="1" t="n">
        <v>44544</v>
      </c>
      <c r="C3127" s="1" t="n">
        <v>45761</v>
      </c>
      <c r="D3127" t="inlineStr">
        <is>
          <t>SÖDERMANLANDS LÄN</t>
        </is>
      </c>
      <c r="E3127" t="inlineStr">
        <is>
          <t>FLEN</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71976-2021</t>
        </is>
      </c>
      <c r="B3128" s="1" t="n">
        <v>44544</v>
      </c>
      <c r="C3128" s="1" t="n">
        <v>45761</v>
      </c>
      <c r="D3128" t="inlineStr">
        <is>
          <t>SÖDERMANLANDS LÄN</t>
        </is>
      </c>
      <c r="E3128" t="inlineStr">
        <is>
          <t>ESKILSTUNA</t>
        </is>
      </c>
      <c r="G3128" t="n">
        <v>19.6</v>
      </c>
      <c r="H3128" t="n">
        <v>0</v>
      </c>
      <c r="I3128" t="n">
        <v>0</v>
      </c>
      <c r="J3128" t="n">
        <v>0</v>
      </c>
      <c r="K3128" t="n">
        <v>0</v>
      </c>
      <c r="L3128" t="n">
        <v>0</v>
      </c>
      <c r="M3128" t="n">
        <v>0</v>
      </c>
      <c r="N3128" t="n">
        <v>0</v>
      </c>
      <c r="O3128" t="n">
        <v>0</v>
      </c>
      <c r="P3128" t="n">
        <v>0</v>
      </c>
      <c r="Q3128" t="n">
        <v>0</v>
      </c>
      <c r="R3128" s="2" t="inlineStr"/>
    </row>
    <row r="3129" ht="15" customHeight="1">
      <c r="A3129" t="inlineStr">
        <is>
          <t>A 72341-2021</t>
        </is>
      </c>
      <c r="B3129" s="1" t="n">
        <v>44545</v>
      </c>
      <c r="C3129" s="1" t="n">
        <v>45761</v>
      </c>
      <c r="D3129" t="inlineStr">
        <is>
          <t>SÖDERMANLANDS LÄN</t>
        </is>
      </c>
      <c r="E3129" t="inlineStr">
        <is>
          <t>GNESTA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72554-2021</t>
        </is>
      </c>
      <c r="B3130" s="1" t="n">
        <v>44545</v>
      </c>
      <c r="C3130" s="1" t="n">
        <v>45761</v>
      </c>
      <c r="D3130" t="inlineStr">
        <is>
          <t>SÖDERMANLANDS LÄN</t>
        </is>
      </c>
      <c r="E3130" t="inlineStr">
        <is>
          <t>NYKÖPING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72529-2021</t>
        </is>
      </c>
      <c r="B3131" s="1" t="n">
        <v>44546</v>
      </c>
      <c r="C3131" s="1" t="n">
        <v>45761</v>
      </c>
      <c r="D3131" t="inlineStr">
        <is>
          <t>SÖDERMANLANDS LÄN</t>
        </is>
      </c>
      <c r="E3131" t="inlineStr">
        <is>
          <t>GNESTA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72666-2021</t>
        </is>
      </c>
      <c r="B3132" s="1" t="n">
        <v>44546</v>
      </c>
      <c r="C3132" s="1" t="n">
        <v>45761</v>
      </c>
      <c r="D3132" t="inlineStr">
        <is>
          <t>SÖDERMANLANDS LÄN</t>
        </is>
      </c>
      <c r="E3132" t="inlineStr">
        <is>
          <t>NYKÖPING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72679-2021</t>
        </is>
      </c>
      <c r="B3133" s="1" t="n">
        <v>44546</v>
      </c>
      <c r="C3133" s="1" t="n">
        <v>45761</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73063-2021</t>
        </is>
      </c>
      <c r="B3134" s="1" t="n">
        <v>44546</v>
      </c>
      <c r="C3134" s="1" t="n">
        <v>45761</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73049-2021</t>
        </is>
      </c>
      <c r="B3135" s="1" t="n">
        <v>44546</v>
      </c>
      <c r="C3135" s="1" t="n">
        <v>45761</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72822-2021</t>
        </is>
      </c>
      <c r="B3136" s="1" t="n">
        <v>44546</v>
      </c>
      <c r="C3136" s="1" t="n">
        <v>45761</v>
      </c>
      <c r="D3136" t="inlineStr">
        <is>
          <t>SÖDERMANLANDS LÄN</t>
        </is>
      </c>
      <c r="E3136" t="inlineStr">
        <is>
          <t>KATRINEHOLM</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72984-2021</t>
        </is>
      </c>
      <c r="B3137" s="1" t="n">
        <v>44549</v>
      </c>
      <c r="C3137" s="1" t="n">
        <v>45761</v>
      </c>
      <c r="D3137" t="inlineStr">
        <is>
          <t>SÖDERMANLANDS LÄN</t>
        </is>
      </c>
      <c r="E3137" t="inlineStr">
        <is>
          <t>KATRINEHOLM</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72985-2021</t>
        </is>
      </c>
      <c r="B3138" s="1" t="n">
        <v>44549</v>
      </c>
      <c r="C3138" s="1" t="n">
        <v>45761</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73092-2021</t>
        </is>
      </c>
      <c r="B3139" s="1" t="n">
        <v>44550</v>
      </c>
      <c r="C3139" s="1" t="n">
        <v>45761</v>
      </c>
      <c r="D3139" t="inlineStr">
        <is>
          <t>SÖDERMANLANDS LÄN</t>
        </is>
      </c>
      <c r="E3139" t="inlineStr">
        <is>
          <t>STRÄNGNÄS</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73142-2021</t>
        </is>
      </c>
      <c r="B3140" s="1" t="n">
        <v>44550</v>
      </c>
      <c r="C3140" s="1" t="n">
        <v>45761</v>
      </c>
      <c r="D3140" t="inlineStr">
        <is>
          <t>SÖDERMANLANDS LÄN</t>
        </is>
      </c>
      <c r="E3140" t="inlineStr">
        <is>
          <t>KATRINEHOLM</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73480-2021</t>
        </is>
      </c>
      <c r="B3141" s="1" t="n">
        <v>44550</v>
      </c>
      <c r="C3141" s="1" t="n">
        <v>45761</v>
      </c>
      <c r="D3141" t="inlineStr">
        <is>
          <t>SÖDERMANLANDS LÄN</t>
        </is>
      </c>
      <c r="E3141" t="inlineStr">
        <is>
          <t>ESKILSTUNA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73412-2021</t>
        </is>
      </c>
      <c r="B3142" s="1" t="n">
        <v>44551</v>
      </c>
      <c r="C3142" s="1" t="n">
        <v>45761</v>
      </c>
      <c r="D3142" t="inlineStr">
        <is>
          <t>SÖDERMANLANDS LÄN</t>
        </is>
      </c>
      <c r="E3142" t="inlineStr">
        <is>
          <t>KATRINEHOLM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73361-2021</t>
        </is>
      </c>
      <c r="B3143" s="1" t="n">
        <v>44551</v>
      </c>
      <c r="C3143" s="1" t="n">
        <v>45761</v>
      </c>
      <c r="D3143" t="inlineStr">
        <is>
          <t>SÖDERMANLANDS LÄN</t>
        </is>
      </c>
      <c r="E3143" t="inlineStr">
        <is>
          <t>KATRINEHOLM</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73407-2021</t>
        </is>
      </c>
      <c r="B3144" s="1" t="n">
        <v>44551</v>
      </c>
      <c r="C3144" s="1" t="n">
        <v>45761</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73415-2021</t>
        </is>
      </c>
      <c r="B3145" s="1" t="n">
        <v>44551</v>
      </c>
      <c r="C3145" s="1" t="n">
        <v>45761</v>
      </c>
      <c r="D3145" t="inlineStr">
        <is>
          <t>SÖDERMANLANDS LÄN</t>
        </is>
      </c>
      <c r="E3145" t="inlineStr">
        <is>
          <t>KATRINEHOLM</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73493-2021</t>
        </is>
      </c>
      <c r="B3146" s="1" t="n">
        <v>44551</v>
      </c>
      <c r="C3146" s="1" t="n">
        <v>45761</v>
      </c>
      <c r="D3146" t="inlineStr">
        <is>
          <t>SÖDERMANLANDS LÄN</t>
        </is>
      </c>
      <c r="E3146" t="inlineStr">
        <is>
          <t>GNESTA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73409-2021</t>
        </is>
      </c>
      <c r="B3147" s="1" t="n">
        <v>44551</v>
      </c>
      <c r="C3147" s="1" t="n">
        <v>45761</v>
      </c>
      <c r="D3147" t="inlineStr">
        <is>
          <t>SÖDERMANLANDS LÄN</t>
        </is>
      </c>
      <c r="E3147" t="inlineStr">
        <is>
          <t>KATRINEHOLM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73482-2021</t>
        </is>
      </c>
      <c r="B3148" s="1" t="n">
        <v>44551</v>
      </c>
      <c r="C3148" s="1" t="n">
        <v>45761</v>
      </c>
      <c r="D3148" t="inlineStr">
        <is>
          <t>SÖDERMANLANDS LÄN</t>
        </is>
      </c>
      <c r="E3148" t="inlineStr">
        <is>
          <t>GNESTA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73919-2021</t>
        </is>
      </c>
      <c r="B3149" s="1" t="n">
        <v>44553</v>
      </c>
      <c r="C3149" s="1" t="n">
        <v>45761</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73962-2021</t>
        </is>
      </c>
      <c r="B3150" s="1" t="n">
        <v>44553</v>
      </c>
      <c r="C3150" s="1" t="n">
        <v>45761</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73877-2021</t>
        </is>
      </c>
      <c r="B3151" s="1" t="n">
        <v>44553</v>
      </c>
      <c r="C3151" s="1" t="n">
        <v>45761</v>
      </c>
      <c r="D3151" t="inlineStr">
        <is>
          <t>SÖDERMANLANDS LÄN</t>
        </is>
      </c>
      <c r="E3151" t="inlineStr">
        <is>
          <t>NYKÖPING</t>
        </is>
      </c>
      <c r="F3151" t="inlineStr">
        <is>
          <t>Holmen skog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73929-2021</t>
        </is>
      </c>
      <c r="B3152" s="1" t="n">
        <v>44553</v>
      </c>
      <c r="C3152" s="1" t="n">
        <v>45761</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73987-2021</t>
        </is>
      </c>
      <c r="B3153" s="1" t="n">
        <v>44556</v>
      </c>
      <c r="C3153" s="1" t="n">
        <v>45761</v>
      </c>
      <c r="D3153" t="inlineStr">
        <is>
          <t>SÖDERMANLANDS LÄN</t>
        </is>
      </c>
      <c r="E3153" t="inlineStr">
        <is>
          <t>KATRINEHOLM</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74496-2021</t>
        </is>
      </c>
      <c r="B3154" s="1" t="n">
        <v>44560</v>
      </c>
      <c r="C3154" s="1" t="n">
        <v>45761</v>
      </c>
      <c r="D3154" t="inlineStr">
        <is>
          <t>SÖDERMANLANDS LÄN</t>
        </is>
      </c>
      <c r="E3154" t="inlineStr">
        <is>
          <t>NYKÖPING</t>
        </is>
      </c>
      <c r="F3154" t="inlineStr">
        <is>
          <t>Kyrkan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74404-2021</t>
        </is>
      </c>
      <c r="B3155" s="1" t="n">
        <v>44560</v>
      </c>
      <c r="C3155" s="1" t="n">
        <v>45761</v>
      </c>
      <c r="D3155" t="inlineStr">
        <is>
          <t>SÖDERMANLANDS LÄN</t>
        </is>
      </c>
      <c r="E3155" t="inlineStr">
        <is>
          <t>NYKÖPING</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250-2022</t>
        </is>
      </c>
      <c r="B3156" s="1" t="n">
        <v>44565</v>
      </c>
      <c r="C3156" s="1" t="n">
        <v>45761</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272-2022</t>
        </is>
      </c>
      <c r="B3157" s="1" t="n">
        <v>44565</v>
      </c>
      <c r="C3157" s="1" t="n">
        <v>45761</v>
      </c>
      <c r="D3157" t="inlineStr">
        <is>
          <t>SÖDERMANLANDS LÄN</t>
        </is>
      </c>
      <c r="E3157" t="inlineStr">
        <is>
          <t>KATRINEHOLM</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326-2022</t>
        </is>
      </c>
      <c r="B3158" s="1" t="n">
        <v>44565</v>
      </c>
      <c r="C3158" s="1" t="n">
        <v>45761</v>
      </c>
      <c r="D3158" t="inlineStr">
        <is>
          <t>SÖDERMANLANDS LÄN</t>
        </is>
      </c>
      <c r="E3158" t="inlineStr">
        <is>
          <t>VINGÅKER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398-2022</t>
        </is>
      </c>
      <c r="B3159" s="1" t="n">
        <v>44565</v>
      </c>
      <c r="C3159" s="1" t="n">
        <v>45761</v>
      </c>
      <c r="D3159" t="inlineStr">
        <is>
          <t>SÖDERMANLANDS LÄN</t>
        </is>
      </c>
      <c r="E3159" t="inlineStr">
        <is>
          <t>KATRINEHOLM</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356-2022</t>
        </is>
      </c>
      <c r="B3160" s="1" t="n">
        <v>44565</v>
      </c>
      <c r="C3160" s="1" t="n">
        <v>45761</v>
      </c>
      <c r="D3160" t="inlineStr">
        <is>
          <t>SÖDERMANLANDS LÄN</t>
        </is>
      </c>
      <c r="E3160" t="inlineStr">
        <is>
          <t>VINGÅKER</t>
        </is>
      </c>
      <c r="G3160" t="n">
        <v>13.4</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45761</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550-2022</t>
        </is>
      </c>
      <c r="B3162" s="1" t="n">
        <v>44566</v>
      </c>
      <c r="C3162" s="1" t="n">
        <v>45761</v>
      </c>
      <c r="D3162" t="inlineStr">
        <is>
          <t>SÖDERMANLANDS LÄN</t>
        </is>
      </c>
      <c r="E3162" t="inlineStr">
        <is>
          <t>FLEN</t>
        </is>
      </c>
      <c r="F3162" t="inlineStr">
        <is>
          <t>Kyrkan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569-2022</t>
        </is>
      </c>
      <c r="B3163" s="1" t="n">
        <v>44566</v>
      </c>
      <c r="C3163" s="1" t="n">
        <v>45761</v>
      </c>
      <c r="D3163" t="inlineStr">
        <is>
          <t>SÖDERMANLANDS LÄN</t>
        </is>
      </c>
      <c r="E3163" t="inlineStr">
        <is>
          <t>STRÄNGNÄS</t>
        </is>
      </c>
      <c r="F3163" t="inlineStr">
        <is>
          <t>Allmännings- och besparingsskogar</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481-2022</t>
        </is>
      </c>
      <c r="B3164" s="1" t="n">
        <v>44566</v>
      </c>
      <c r="C3164" s="1" t="n">
        <v>45761</v>
      </c>
      <c r="D3164" t="inlineStr">
        <is>
          <t>SÖDERMANLANDS LÄN</t>
        </is>
      </c>
      <c r="E3164" t="inlineStr">
        <is>
          <t>STRÄNGNÄS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895-2022</t>
        </is>
      </c>
      <c r="B3165" s="1" t="n">
        <v>44571</v>
      </c>
      <c r="C3165" s="1" t="n">
        <v>45761</v>
      </c>
      <c r="D3165" t="inlineStr">
        <is>
          <t>SÖDERMANLANDS LÄN</t>
        </is>
      </c>
      <c r="E3165" t="inlineStr">
        <is>
          <t>VINGÅKER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912-2022</t>
        </is>
      </c>
      <c r="B3166" s="1" t="n">
        <v>44571</v>
      </c>
      <c r="C3166" s="1" t="n">
        <v>45761</v>
      </c>
      <c r="D3166" t="inlineStr">
        <is>
          <t>SÖDERMANLANDS LÄN</t>
        </is>
      </c>
      <c r="E3166" t="inlineStr">
        <is>
          <t>KATRINEHOLM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985-2022</t>
        </is>
      </c>
      <c r="B3167" s="1" t="n">
        <v>44571</v>
      </c>
      <c r="C3167" s="1" t="n">
        <v>45761</v>
      </c>
      <c r="D3167" t="inlineStr">
        <is>
          <t>SÖDERMANLANDS LÄN</t>
        </is>
      </c>
      <c r="E3167" t="inlineStr">
        <is>
          <t>FLEN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954-2022</t>
        </is>
      </c>
      <c r="B3168" s="1" t="n">
        <v>44571</v>
      </c>
      <c r="C3168" s="1" t="n">
        <v>45761</v>
      </c>
      <c r="D3168" t="inlineStr">
        <is>
          <t>SÖDERMANLANDS LÄN</t>
        </is>
      </c>
      <c r="E3168" t="inlineStr">
        <is>
          <t>GNESTA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979-2022</t>
        </is>
      </c>
      <c r="B3169" s="1" t="n">
        <v>44571</v>
      </c>
      <c r="C3169" s="1" t="n">
        <v>45761</v>
      </c>
      <c r="D3169" t="inlineStr">
        <is>
          <t>SÖDERMANLANDS LÄN</t>
        </is>
      </c>
      <c r="E3169" t="inlineStr">
        <is>
          <t>ESKILSTUNA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1117-2022</t>
        </is>
      </c>
      <c r="B3170" s="1" t="n">
        <v>44571</v>
      </c>
      <c r="C3170" s="1" t="n">
        <v>45761</v>
      </c>
      <c r="D3170" t="inlineStr">
        <is>
          <t>SÖDERMANLANDS LÄN</t>
        </is>
      </c>
      <c r="E3170" t="inlineStr">
        <is>
          <t>STRÄNGNÄS</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1174-2022</t>
        </is>
      </c>
      <c r="B3171" s="1" t="n">
        <v>44572</v>
      </c>
      <c r="C3171" s="1" t="n">
        <v>45761</v>
      </c>
      <c r="D3171" t="inlineStr">
        <is>
          <t>SÖDERMANLANDS LÄN</t>
        </is>
      </c>
      <c r="E3171" t="inlineStr">
        <is>
          <t>ESKILSTUNA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1242-2022</t>
        </is>
      </c>
      <c r="B3172" s="1" t="n">
        <v>44572</v>
      </c>
      <c r="C3172" s="1" t="n">
        <v>45761</v>
      </c>
      <c r="D3172" t="inlineStr">
        <is>
          <t>SÖDERMANLANDS LÄN</t>
        </is>
      </c>
      <c r="E3172" t="inlineStr">
        <is>
          <t>FLEN</t>
        </is>
      </c>
      <c r="F3172" t="inlineStr">
        <is>
          <t>Övriga statliga verk och myndigheter</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1216-2022</t>
        </is>
      </c>
      <c r="B3173" s="1" t="n">
        <v>44572</v>
      </c>
      <c r="C3173" s="1" t="n">
        <v>45761</v>
      </c>
      <c r="D3173" t="inlineStr">
        <is>
          <t>SÖDERMANLANDS LÄN</t>
        </is>
      </c>
      <c r="E3173" t="inlineStr">
        <is>
          <t>GNESTA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1467-2022</t>
        </is>
      </c>
      <c r="B3174" s="1" t="n">
        <v>44573</v>
      </c>
      <c r="C3174" s="1" t="n">
        <v>45761</v>
      </c>
      <c r="D3174" t="inlineStr">
        <is>
          <t>SÖDERMANLANDS LÄN</t>
        </is>
      </c>
      <c r="E3174" t="inlineStr">
        <is>
          <t>NYKÖPING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1473-2022</t>
        </is>
      </c>
      <c r="B3175" s="1" t="n">
        <v>44573</v>
      </c>
      <c r="C3175" s="1" t="n">
        <v>45761</v>
      </c>
      <c r="D3175" t="inlineStr">
        <is>
          <t>SÖDERMANLANDS LÄN</t>
        </is>
      </c>
      <c r="E3175" t="inlineStr">
        <is>
          <t>NYKÖPING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1565-2022</t>
        </is>
      </c>
      <c r="B3176" s="1" t="n">
        <v>44573</v>
      </c>
      <c r="C3176" s="1" t="n">
        <v>45761</v>
      </c>
      <c r="D3176" t="inlineStr">
        <is>
          <t>SÖDERMANLANDS LÄN</t>
        </is>
      </c>
      <c r="E3176" t="inlineStr">
        <is>
          <t>ESKILSTUNA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1668-2022</t>
        </is>
      </c>
      <c r="B3177" s="1" t="n">
        <v>44573</v>
      </c>
      <c r="C3177" s="1" t="n">
        <v>45761</v>
      </c>
      <c r="D3177" t="inlineStr">
        <is>
          <t>SÖDERMANLANDS LÄN</t>
        </is>
      </c>
      <c r="E3177" t="inlineStr">
        <is>
          <t>VINGÅKER</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1549-2022</t>
        </is>
      </c>
      <c r="B3178" s="1" t="n">
        <v>44573</v>
      </c>
      <c r="C3178" s="1" t="n">
        <v>45761</v>
      </c>
      <c r="D3178" t="inlineStr">
        <is>
          <t>SÖDERMANLANDS LÄN</t>
        </is>
      </c>
      <c r="E3178" t="inlineStr">
        <is>
          <t>GNESTA</t>
        </is>
      </c>
      <c r="G3178" t="n">
        <v>32.6</v>
      </c>
      <c r="H3178" t="n">
        <v>0</v>
      </c>
      <c r="I3178" t="n">
        <v>0</v>
      </c>
      <c r="J3178" t="n">
        <v>0</v>
      </c>
      <c r="K3178" t="n">
        <v>0</v>
      </c>
      <c r="L3178" t="n">
        <v>0</v>
      </c>
      <c r="M3178" t="n">
        <v>0</v>
      </c>
      <c r="N3178" t="n">
        <v>0</v>
      </c>
      <c r="O3178" t="n">
        <v>0</v>
      </c>
      <c r="P3178" t="n">
        <v>0</v>
      </c>
      <c r="Q3178" t="n">
        <v>0</v>
      </c>
      <c r="R3178" s="2" t="inlineStr"/>
    </row>
    <row r="3179" ht="15" customHeight="1">
      <c r="A3179" t="inlineStr">
        <is>
          <t>A 1670-2022</t>
        </is>
      </c>
      <c r="B3179" s="1" t="n">
        <v>44573</v>
      </c>
      <c r="C3179" s="1" t="n">
        <v>45761</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1647-2022</t>
        </is>
      </c>
      <c r="B3180" s="1" t="n">
        <v>44574</v>
      </c>
      <c r="C3180" s="1" t="n">
        <v>45761</v>
      </c>
      <c r="D3180" t="inlineStr">
        <is>
          <t>SÖDERMANLANDS LÄN</t>
        </is>
      </c>
      <c r="E3180" t="inlineStr">
        <is>
          <t>NYKÖPING</t>
        </is>
      </c>
      <c r="F3180" t="inlineStr">
        <is>
          <t>Sveaskog</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1701-2022</t>
        </is>
      </c>
      <c r="B3181" s="1" t="n">
        <v>44574</v>
      </c>
      <c r="C3181" s="1" t="n">
        <v>45761</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1721-2022</t>
        </is>
      </c>
      <c r="B3182" s="1" t="n">
        <v>44574</v>
      </c>
      <c r="C3182" s="1" t="n">
        <v>45761</v>
      </c>
      <c r="D3182" t="inlineStr">
        <is>
          <t>SÖDERMANLANDS LÄN</t>
        </is>
      </c>
      <c r="E3182" t="inlineStr">
        <is>
          <t>KATRINEHOLM</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1912-2022</t>
        </is>
      </c>
      <c r="B3183" s="1" t="n">
        <v>44575</v>
      </c>
      <c r="C3183" s="1" t="n">
        <v>45761</v>
      </c>
      <c r="D3183" t="inlineStr">
        <is>
          <t>SÖDERMANLANDS LÄN</t>
        </is>
      </c>
      <c r="E3183" t="inlineStr">
        <is>
          <t>NYKÖPING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1930-2022</t>
        </is>
      </c>
      <c r="B3184" s="1" t="n">
        <v>44575</v>
      </c>
      <c r="C3184" s="1" t="n">
        <v>45761</v>
      </c>
      <c r="D3184" t="inlineStr">
        <is>
          <t>SÖDERMANLANDS LÄN</t>
        </is>
      </c>
      <c r="E3184" t="inlineStr">
        <is>
          <t>NYKÖPING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1931-2022</t>
        </is>
      </c>
      <c r="B3185" s="1" t="n">
        <v>44575</v>
      </c>
      <c r="C3185" s="1" t="n">
        <v>45761</v>
      </c>
      <c r="D3185" t="inlineStr">
        <is>
          <t>SÖDERMANLANDS LÄN</t>
        </is>
      </c>
      <c r="E3185" t="inlineStr">
        <is>
          <t>NYKÖPING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1915-2022</t>
        </is>
      </c>
      <c r="B3186" s="1" t="n">
        <v>44575</v>
      </c>
      <c r="C3186" s="1" t="n">
        <v>45761</v>
      </c>
      <c r="D3186" t="inlineStr">
        <is>
          <t>SÖDERMANLANDS LÄN</t>
        </is>
      </c>
      <c r="E3186" t="inlineStr">
        <is>
          <t>NYKÖPING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2041-2022</t>
        </is>
      </c>
      <c r="B3187" s="1" t="n">
        <v>44575</v>
      </c>
      <c r="C3187" s="1" t="n">
        <v>45761</v>
      </c>
      <c r="D3187" t="inlineStr">
        <is>
          <t>SÖDERMANLANDS LÄN</t>
        </is>
      </c>
      <c r="E3187" t="inlineStr">
        <is>
          <t>NYKÖPING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2204-2022</t>
        </is>
      </c>
      <c r="B3188" s="1" t="n">
        <v>44578</v>
      </c>
      <c r="C3188" s="1" t="n">
        <v>45761</v>
      </c>
      <c r="D3188" t="inlineStr">
        <is>
          <t>SÖDERMANLANDS LÄN</t>
        </is>
      </c>
      <c r="E3188" t="inlineStr">
        <is>
          <t>FLEN</t>
        </is>
      </c>
      <c r="F3188" t="inlineStr">
        <is>
          <t>Övriga statliga verk och myndigheter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2225-2022</t>
        </is>
      </c>
      <c r="B3189" s="1" t="n">
        <v>44578</v>
      </c>
      <c r="C3189" s="1" t="n">
        <v>45761</v>
      </c>
      <c r="D3189" t="inlineStr">
        <is>
          <t>SÖDERMANLANDS LÄN</t>
        </is>
      </c>
      <c r="E3189" t="inlineStr">
        <is>
          <t>NYKÖPING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2255-2022</t>
        </is>
      </c>
      <c r="B3190" s="1" t="n">
        <v>44578</v>
      </c>
      <c r="C3190" s="1" t="n">
        <v>45761</v>
      </c>
      <c r="D3190" t="inlineStr">
        <is>
          <t>SÖDERMANLANDS LÄN</t>
        </is>
      </c>
      <c r="E3190" t="inlineStr">
        <is>
          <t>NYKÖPING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2215-2022</t>
        </is>
      </c>
      <c r="B3191" s="1" t="n">
        <v>44578</v>
      </c>
      <c r="C3191" s="1" t="n">
        <v>45761</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2256-2022</t>
        </is>
      </c>
      <c r="B3192" s="1" t="n">
        <v>44578</v>
      </c>
      <c r="C3192" s="1" t="n">
        <v>45761</v>
      </c>
      <c r="D3192" t="inlineStr">
        <is>
          <t>SÖDERMANLANDS LÄN</t>
        </is>
      </c>
      <c r="E3192" t="inlineStr">
        <is>
          <t>NYKÖPING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2162-2022</t>
        </is>
      </c>
      <c r="B3193" s="1" t="n">
        <v>44578</v>
      </c>
      <c r="C3193" s="1" t="n">
        <v>45761</v>
      </c>
      <c r="D3193" t="inlineStr">
        <is>
          <t>SÖDERMANLANDS LÄN</t>
        </is>
      </c>
      <c r="E3193" t="inlineStr">
        <is>
          <t>FLEN</t>
        </is>
      </c>
      <c r="F3193" t="inlineStr">
        <is>
          <t>Övriga statliga verk och myndigheter</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2218-2022</t>
        </is>
      </c>
      <c r="B3194" s="1" t="n">
        <v>44578</v>
      </c>
      <c r="C3194" s="1" t="n">
        <v>45761</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2276-2022</t>
        </is>
      </c>
      <c r="B3195" s="1" t="n">
        <v>44578</v>
      </c>
      <c r="C3195" s="1" t="n">
        <v>45761</v>
      </c>
      <c r="D3195" t="inlineStr">
        <is>
          <t>SÖDERMANLANDS LÄN</t>
        </is>
      </c>
      <c r="E3195" t="inlineStr">
        <is>
          <t>GNESTA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2289-2022</t>
        </is>
      </c>
      <c r="B3196" s="1" t="n">
        <v>44578</v>
      </c>
      <c r="C3196" s="1" t="n">
        <v>45761</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2428-2022</t>
        </is>
      </c>
      <c r="B3197" s="1" t="n">
        <v>44579</v>
      </c>
      <c r="C3197" s="1" t="n">
        <v>45761</v>
      </c>
      <c r="D3197" t="inlineStr">
        <is>
          <t>SÖDERMANLANDS LÄN</t>
        </is>
      </c>
      <c r="E3197" t="inlineStr">
        <is>
          <t>NYKÖPING</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2464-2022</t>
        </is>
      </c>
      <c r="B3198" s="1" t="n">
        <v>44579</v>
      </c>
      <c r="C3198" s="1" t="n">
        <v>45761</v>
      </c>
      <c r="D3198" t="inlineStr">
        <is>
          <t>SÖDERMANLANDS LÄN</t>
        </is>
      </c>
      <c r="E3198" t="inlineStr">
        <is>
          <t>GNESTA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2476-2022</t>
        </is>
      </c>
      <c r="B3199" s="1" t="n">
        <v>44579</v>
      </c>
      <c r="C3199" s="1" t="n">
        <v>45761</v>
      </c>
      <c r="D3199" t="inlineStr">
        <is>
          <t>SÖDERMANLANDS LÄN</t>
        </is>
      </c>
      <c r="E3199" t="inlineStr">
        <is>
          <t>GNESTA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2429-2022</t>
        </is>
      </c>
      <c r="B3200" s="1" t="n">
        <v>44579</v>
      </c>
      <c r="C3200" s="1" t="n">
        <v>45761</v>
      </c>
      <c r="D3200" t="inlineStr">
        <is>
          <t>SÖDERMANLANDS LÄN</t>
        </is>
      </c>
      <c r="E3200" t="inlineStr">
        <is>
          <t>NYKÖPING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2445-2022</t>
        </is>
      </c>
      <c r="B3201" s="1" t="n">
        <v>44579</v>
      </c>
      <c r="C3201" s="1" t="n">
        <v>45761</v>
      </c>
      <c r="D3201" t="inlineStr">
        <is>
          <t>SÖDERMANLANDS LÄN</t>
        </is>
      </c>
      <c r="E3201" t="inlineStr">
        <is>
          <t>NYKÖPING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2468-2022</t>
        </is>
      </c>
      <c r="B3202" s="1" t="n">
        <v>44579</v>
      </c>
      <c r="C3202" s="1" t="n">
        <v>45761</v>
      </c>
      <c r="D3202" t="inlineStr">
        <is>
          <t>SÖDERMANLANDS LÄN</t>
        </is>
      </c>
      <c r="E3202" t="inlineStr">
        <is>
          <t>STRÄNGNÄS</t>
        </is>
      </c>
      <c r="F3202" t="inlineStr">
        <is>
          <t>Övriga Aktiebolag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2507-2022</t>
        </is>
      </c>
      <c r="B3203" s="1" t="n">
        <v>44579</v>
      </c>
      <c r="C3203" s="1" t="n">
        <v>45761</v>
      </c>
      <c r="D3203" t="inlineStr">
        <is>
          <t>SÖDERMANLANDS LÄN</t>
        </is>
      </c>
      <c r="E3203" t="inlineStr">
        <is>
          <t>NYKÖPING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2496-2022</t>
        </is>
      </c>
      <c r="B3204" s="1" t="n">
        <v>44579</v>
      </c>
      <c r="C3204" s="1" t="n">
        <v>45761</v>
      </c>
      <c r="D3204" t="inlineStr">
        <is>
          <t>SÖDERMANLANDS LÄN</t>
        </is>
      </c>
      <c r="E3204" t="inlineStr">
        <is>
          <t>FLEN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2513-2022</t>
        </is>
      </c>
      <c r="B3205" s="1" t="n">
        <v>44579</v>
      </c>
      <c r="C3205" s="1" t="n">
        <v>45761</v>
      </c>
      <c r="D3205" t="inlineStr">
        <is>
          <t>SÖDERMANLANDS LÄN</t>
        </is>
      </c>
      <c r="E3205" t="inlineStr">
        <is>
          <t>NYKÖPING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2497-2022</t>
        </is>
      </c>
      <c r="B3206" s="1" t="n">
        <v>44579</v>
      </c>
      <c r="C3206" s="1" t="n">
        <v>45761</v>
      </c>
      <c r="D3206" t="inlineStr">
        <is>
          <t>SÖDERMANLANDS LÄN</t>
        </is>
      </c>
      <c r="E3206" t="inlineStr">
        <is>
          <t>STRÄNGNÄS</t>
        </is>
      </c>
      <c r="F3206" t="inlineStr">
        <is>
          <t>Allmännings- och besparingsskogar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2506-2022</t>
        </is>
      </c>
      <c r="B3207" s="1" t="n">
        <v>44579</v>
      </c>
      <c r="C3207" s="1" t="n">
        <v>45761</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2510-2022</t>
        </is>
      </c>
      <c r="B3208" s="1" t="n">
        <v>44579</v>
      </c>
      <c r="C3208" s="1" t="n">
        <v>45761</v>
      </c>
      <c r="D3208" t="inlineStr">
        <is>
          <t>SÖDERMANLANDS LÄN</t>
        </is>
      </c>
      <c r="E3208" t="inlineStr">
        <is>
          <t>NYKÖPING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2574-2022</t>
        </is>
      </c>
      <c r="B3209" s="1" t="n">
        <v>44579</v>
      </c>
      <c r="C3209" s="1" t="n">
        <v>45761</v>
      </c>
      <c r="D3209" t="inlineStr">
        <is>
          <t>SÖDERMANLANDS LÄN</t>
        </is>
      </c>
      <c r="E3209" t="inlineStr">
        <is>
          <t>STRÄNGNÄS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2517-2022</t>
        </is>
      </c>
      <c r="B3210" s="1" t="n">
        <v>44579</v>
      </c>
      <c r="C3210" s="1" t="n">
        <v>45761</v>
      </c>
      <c r="D3210" t="inlineStr">
        <is>
          <t>SÖDERMANLANDS LÄN</t>
        </is>
      </c>
      <c r="E3210" t="inlineStr">
        <is>
          <t>NYKÖPING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2636-2022</t>
        </is>
      </c>
      <c r="B3211" s="1" t="n">
        <v>44580</v>
      </c>
      <c r="C3211" s="1" t="n">
        <v>45761</v>
      </c>
      <c r="D3211" t="inlineStr">
        <is>
          <t>SÖDERMANLANDS LÄN</t>
        </is>
      </c>
      <c r="E3211" t="inlineStr">
        <is>
          <t>KATRINEHOLM</t>
        </is>
      </c>
      <c r="F3211" t="inlineStr">
        <is>
          <t>Övriga Aktiebolag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2734-2022</t>
        </is>
      </c>
      <c r="B3212" s="1" t="n">
        <v>44580</v>
      </c>
      <c r="C3212" s="1" t="n">
        <v>45761</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2738-2022</t>
        </is>
      </c>
      <c r="B3213" s="1" t="n">
        <v>44580</v>
      </c>
      <c r="C3213" s="1" t="n">
        <v>45761</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2877-2022</t>
        </is>
      </c>
      <c r="B3214" s="1" t="n">
        <v>44581</v>
      </c>
      <c r="C3214" s="1" t="n">
        <v>45761</v>
      </c>
      <c r="D3214" t="inlineStr">
        <is>
          <t>SÖDERMANLANDS LÄN</t>
        </is>
      </c>
      <c r="E3214" t="inlineStr">
        <is>
          <t>KATRINEHOLM</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2884-2022</t>
        </is>
      </c>
      <c r="B3215" s="1" t="n">
        <v>44581</v>
      </c>
      <c r="C3215" s="1" t="n">
        <v>45761</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2939-2022</t>
        </is>
      </c>
      <c r="B3216" s="1" t="n">
        <v>44581</v>
      </c>
      <c r="C3216" s="1" t="n">
        <v>45761</v>
      </c>
      <c r="D3216" t="inlineStr">
        <is>
          <t>SÖDERMANLANDS LÄN</t>
        </is>
      </c>
      <c r="E3216" t="inlineStr">
        <is>
          <t>NYKÖPING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2938-2022</t>
        </is>
      </c>
      <c r="B3217" s="1" t="n">
        <v>44581</v>
      </c>
      <c r="C3217" s="1" t="n">
        <v>45761</v>
      </c>
      <c r="D3217" t="inlineStr">
        <is>
          <t>SÖDERMANLANDS LÄN</t>
        </is>
      </c>
      <c r="E3217" t="inlineStr">
        <is>
          <t>ESKILSTUNA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2982-2022</t>
        </is>
      </c>
      <c r="B3218" s="1" t="n">
        <v>44581</v>
      </c>
      <c r="C3218" s="1" t="n">
        <v>45761</v>
      </c>
      <c r="D3218" t="inlineStr">
        <is>
          <t>SÖDERMANLANDS LÄN</t>
        </is>
      </c>
      <c r="E3218" t="inlineStr">
        <is>
          <t>GNESTA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2973-2022</t>
        </is>
      </c>
      <c r="B3219" s="1" t="n">
        <v>44581</v>
      </c>
      <c r="C3219" s="1" t="n">
        <v>45761</v>
      </c>
      <c r="D3219" t="inlineStr">
        <is>
          <t>SÖDERMANLANDS LÄN</t>
        </is>
      </c>
      <c r="E3219" t="inlineStr">
        <is>
          <t>NYKÖPING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2947-2022</t>
        </is>
      </c>
      <c r="B3220" s="1" t="n">
        <v>44581</v>
      </c>
      <c r="C3220" s="1" t="n">
        <v>45761</v>
      </c>
      <c r="D3220" t="inlineStr">
        <is>
          <t>SÖDERMANLANDS LÄN</t>
        </is>
      </c>
      <c r="E3220" t="inlineStr">
        <is>
          <t>NYKÖPING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2983-2022</t>
        </is>
      </c>
      <c r="B3221" s="1" t="n">
        <v>44581</v>
      </c>
      <c r="C3221" s="1" t="n">
        <v>45761</v>
      </c>
      <c r="D3221" t="inlineStr">
        <is>
          <t>SÖDERMANLANDS LÄN</t>
        </is>
      </c>
      <c r="E3221" t="inlineStr">
        <is>
          <t>GNESTA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3037-2022</t>
        </is>
      </c>
      <c r="B3222" s="1" t="n">
        <v>44581</v>
      </c>
      <c r="C3222" s="1" t="n">
        <v>45761</v>
      </c>
      <c r="D3222" t="inlineStr">
        <is>
          <t>SÖDERMANLANDS LÄN</t>
        </is>
      </c>
      <c r="E3222" t="inlineStr">
        <is>
          <t>STRÄNGNÄS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3060-2022</t>
        </is>
      </c>
      <c r="B3223" s="1" t="n">
        <v>44582</v>
      </c>
      <c r="C3223" s="1" t="n">
        <v>45761</v>
      </c>
      <c r="D3223" t="inlineStr">
        <is>
          <t>SÖDERMANLANDS LÄN</t>
        </is>
      </c>
      <c r="E3223" t="inlineStr">
        <is>
          <t>KATRINEHOLM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3075-2022</t>
        </is>
      </c>
      <c r="B3224" s="1" t="n">
        <v>44582</v>
      </c>
      <c r="C3224" s="1" t="n">
        <v>45761</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3139-2022</t>
        </is>
      </c>
      <c r="B3225" s="1" t="n">
        <v>44582</v>
      </c>
      <c r="C3225" s="1" t="n">
        <v>45761</v>
      </c>
      <c r="D3225" t="inlineStr">
        <is>
          <t>SÖDERMANLANDS LÄN</t>
        </is>
      </c>
      <c r="E3225" t="inlineStr">
        <is>
          <t>TROSA</t>
        </is>
      </c>
      <c r="F3225" t="inlineStr">
        <is>
          <t>Övriga Aktiebolag</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3068-2022</t>
        </is>
      </c>
      <c r="B3226" s="1" t="n">
        <v>44582</v>
      </c>
      <c r="C3226" s="1" t="n">
        <v>45761</v>
      </c>
      <c r="D3226" t="inlineStr">
        <is>
          <t>SÖDERMANLANDS LÄN</t>
        </is>
      </c>
      <c r="E3226" t="inlineStr">
        <is>
          <t>VINGÅKER</t>
        </is>
      </c>
      <c r="F3226" t="inlineStr">
        <is>
          <t>Kommuner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3134-2022</t>
        </is>
      </c>
      <c r="B3227" s="1" t="n">
        <v>44582</v>
      </c>
      <c r="C3227" s="1" t="n">
        <v>45761</v>
      </c>
      <c r="D3227" t="inlineStr">
        <is>
          <t>SÖDERMANLANDS LÄN</t>
        </is>
      </c>
      <c r="E3227" t="inlineStr">
        <is>
          <t>TROSA</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3185-2022</t>
        </is>
      </c>
      <c r="B3228" s="1" t="n">
        <v>44582</v>
      </c>
      <c r="C3228" s="1" t="n">
        <v>45761</v>
      </c>
      <c r="D3228" t="inlineStr">
        <is>
          <t>SÖDERMANLANDS LÄN</t>
        </is>
      </c>
      <c r="E3228" t="inlineStr">
        <is>
          <t>STRÄNGNÄS</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3193-2022</t>
        </is>
      </c>
      <c r="B3229" s="1" t="n">
        <v>44582</v>
      </c>
      <c r="C3229" s="1" t="n">
        <v>45761</v>
      </c>
      <c r="D3229" t="inlineStr">
        <is>
          <t>SÖDERMANLANDS LÄN</t>
        </is>
      </c>
      <c r="E3229" t="inlineStr">
        <is>
          <t>NYKÖPING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3187-2022</t>
        </is>
      </c>
      <c r="B3230" s="1" t="n">
        <v>44582</v>
      </c>
      <c r="C3230" s="1" t="n">
        <v>45761</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3341-2022</t>
        </is>
      </c>
      <c r="B3231" s="1" t="n">
        <v>44582</v>
      </c>
      <c r="C3231" s="1" t="n">
        <v>45761</v>
      </c>
      <c r="D3231" t="inlineStr">
        <is>
          <t>SÖDERMANLANDS LÄN</t>
        </is>
      </c>
      <c r="E3231" t="inlineStr">
        <is>
          <t>ESKILSTUNA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3280-2022</t>
        </is>
      </c>
      <c r="B3232" s="1" t="n">
        <v>44584</v>
      </c>
      <c r="C3232" s="1" t="n">
        <v>45761</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3353-2022</t>
        </is>
      </c>
      <c r="B3233" s="1" t="n">
        <v>44585</v>
      </c>
      <c r="C3233" s="1" t="n">
        <v>45761</v>
      </c>
      <c r="D3233" t="inlineStr">
        <is>
          <t>SÖDERMANLANDS LÄN</t>
        </is>
      </c>
      <c r="E3233" t="inlineStr">
        <is>
          <t>NYKÖPING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3521-2022</t>
        </is>
      </c>
      <c r="B3234" s="1" t="n">
        <v>44585</v>
      </c>
      <c r="C3234" s="1" t="n">
        <v>45761</v>
      </c>
      <c r="D3234" t="inlineStr">
        <is>
          <t>SÖDERMANLANDS LÄN</t>
        </is>
      </c>
      <c r="E3234" t="inlineStr">
        <is>
          <t>ESKILSTUNA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3572-2022</t>
        </is>
      </c>
      <c r="B3235" s="1" t="n">
        <v>44585</v>
      </c>
      <c r="C3235" s="1" t="n">
        <v>45761</v>
      </c>
      <c r="D3235" t="inlineStr">
        <is>
          <t>SÖDERMANLANDS LÄN</t>
        </is>
      </c>
      <c r="E3235" t="inlineStr">
        <is>
          <t>KATRINEHOLM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3863-2022</t>
        </is>
      </c>
      <c r="B3236" s="1" t="n">
        <v>44587</v>
      </c>
      <c r="C3236" s="1" t="n">
        <v>45761</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3939-2022</t>
        </is>
      </c>
      <c r="B3237" s="1" t="n">
        <v>44587</v>
      </c>
      <c r="C3237" s="1" t="n">
        <v>45761</v>
      </c>
      <c r="D3237" t="inlineStr">
        <is>
          <t>SÖDERMANLANDS LÄN</t>
        </is>
      </c>
      <c r="E3237" t="inlineStr">
        <is>
          <t>KATRINEHOLM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4003-2022</t>
        </is>
      </c>
      <c r="B3238" s="1" t="n">
        <v>44587</v>
      </c>
      <c r="C3238" s="1" t="n">
        <v>45761</v>
      </c>
      <c r="D3238" t="inlineStr">
        <is>
          <t>SÖDERMANLANDS LÄN</t>
        </is>
      </c>
      <c r="E3238" t="inlineStr">
        <is>
          <t>STRÄNGNÄS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3919-2022</t>
        </is>
      </c>
      <c r="B3239" s="1" t="n">
        <v>44587</v>
      </c>
      <c r="C3239" s="1" t="n">
        <v>45761</v>
      </c>
      <c r="D3239" t="inlineStr">
        <is>
          <t>SÖDERMANLANDS LÄN</t>
        </is>
      </c>
      <c r="E3239" t="inlineStr">
        <is>
          <t>GNESTA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4065-2022</t>
        </is>
      </c>
      <c r="B3240" s="1" t="n">
        <v>44588</v>
      </c>
      <c r="C3240" s="1" t="n">
        <v>45761</v>
      </c>
      <c r="D3240" t="inlineStr">
        <is>
          <t>SÖDERMANLANDS LÄN</t>
        </is>
      </c>
      <c r="E3240" t="inlineStr">
        <is>
          <t>FLEN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4189-2022</t>
        </is>
      </c>
      <c r="B3241" s="1" t="n">
        <v>44588</v>
      </c>
      <c r="C3241" s="1" t="n">
        <v>45761</v>
      </c>
      <c r="D3241" t="inlineStr">
        <is>
          <t>SÖDERMANLANDS LÄN</t>
        </is>
      </c>
      <c r="E3241" t="inlineStr">
        <is>
          <t>ESKILSTUNA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4202-2022</t>
        </is>
      </c>
      <c r="B3242" s="1" t="n">
        <v>44588</v>
      </c>
      <c r="C3242" s="1" t="n">
        <v>45761</v>
      </c>
      <c r="D3242" t="inlineStr">
        <is>
          <t>SÖDERMANLANDS LÄN</t>
        </is>
      </c>
      <c r="E3242" t="inlineStr">
        <is>
          <t>ESKILSTUNA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4211-2022</t>
        </is>
      </c>
      <c r="B3243" s="1" t="n">
        <v>44588</v>
      </c>
      <c r="C3243" s="1" t="n">
        <v>45761</v>
      </c>
      <c r="D3243" t="inlineStr">
        <is>
          <t>SÖDERMANLANDS LÄN</t>
        </is>
      </c>
      <c r="E3243" t="inlineStr">
        <is>
          <t>ESKILSTUNA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4220-2022</t>
        </is>
      </c>
      <c r="B3244" s="1" t="n">
        <v>44588</v>
      </c>
      <c r="C3244" s="1" t="n">
        <v>45761</v>
      </c>
      <c r="D3244" t="inlineStr">
        <is>
          <t>SÖDERMANLANDS LÄN</t>
        </is>
      </c>
      <c r="E3244" t="inlineStr">
        <is>
          <t>ESKILSTUNA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4192-2022</t>
        </is>
      </c>
      <c r="B3245" s="1" t="n">
        <v>44588</v>
      </c>
      <c r="C3245" s="1" t="n">
        <v>45761</v>
      </c>
      <c r="D3245" t="inlineStr">
        <is>
          <t>SÖDERMANLANDS LÄN</t>
        </is>
      </c>
      <c r="E3245" t="inlineStr">
        <is>
          <t>ESKILSTUNA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4320-2022</t>
        </is>
      </c>
      <c r="B3246" s="1" t="n">
        <v>44588</v>
      </c>
      <c r="C3246" s="1" t="n">
        <v>45761</v>
      </c>
      <c r="D3246" t="inlineStr">
        <is>
          <t>SÖDERMANLANDS LÄN</t>
        </is>
      </c>
      <c r="E3246" t="inlineStr">
        <is>
          <t>ESKILSTUNA</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4216-2022</t>
        </is>
      </c>
      <c r="B3247" s="1" t="n">
        <v>44588</v>
      </c>
      <c r="C3247" s="1" t="n">
        <v>45761</v>
      </c>
      <c r="D3247" t="inlineStr">
        <is>
          <t>SÖDERMANLANDS LÄN</t>
        </is>
      </c>
      <c r="E3247" t="inlineStr">
        <is>
          <t>FLEN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4331-2022</t>
        </is>
      </c>
      <c r="B3248" s="1" t="n">
        <v>44588</v>
      </c>
      <c r="C3248" s="1" t="n">
        <v>45761</v>
      </c>
      <c r="D3248" t="inlineStr">
        <is>
          <t>SÖDERMANLANDS LÄN</t>
        </is>
      </c>
      <c r="E3248" t="inlineStr">
        <is>
          <t>ESKILSTUNA</t>
        </is>
      </c>
      <c r="F3248" t="inlineStr">
        <is>
          <t>Allmännings- och besparingsskogar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4438-2022</t>
        </is>
      </c>
      <c r="B3249" s="1" t="n">
        <v>44589</v>
      </c>
      <c r="C3249" s="1" t="n">
        <v>45761</v>
      </c>
      <c r="D3249" t="inlineStr">
        <is>
          <t>SÖDERMANLANDS LÄN</t>
        </is>
      </c>
      <c r="E3249" t="inlineStr">
        <is>
          <t>GNESTA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4429-2022</t>
        </is>
      </c>
      <c r="B3250" s="1" t="n">
        <v>44589</v>
      </c>
      <c r="C3250" s="1" t="n">
        <v>45761</v>
      </c>
      <c r="D3250" t="inlineStr">
        <is>
          <t>SÖDERMANLANDS LÄN</t>
        </is>
      </c>
      <c r="E3250" t="inlineStr">
        <is>
          <t>GNESTA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4469-2022</t>
        </is>
      </c>
      <c r="B3251" s="1" t="n">
        <v>44589</v>
      </c>
      <c r="C3251" s="1" t="n">
        <v>45761</v>
      </c>
      <c r="D3251" t="inlineStr">
        <is>
          <t>SÖDERMANLANDS LÄN</t>
        </is>
      </c>
      <c r="E3251" t="inlineStr">
        <is>
          <t>GNESTA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4474-2022</t>
        </is>
      </c>
      <c r="B3252" s="1" t="n">
        <v>44589</v>
      </c>
      <c r="C3252" s="1" t="n">
        <v>45761</v>
      </c>
      <c r="D3252" t="inlineStr">
        <is>
          <t>SÖDERMANLANDS LÄN</t>
        </is>
      </c>
      <c r="E3252" t="inlineStr">
        <is>
          <t>GNESTA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4383-2022</t>
        </is>
      </c>
      <c r="B3253" s="1" t="n">
        <v>44589</v>
      </c>
      <c r="C3253" s="1" t="n">
        <v>45761</v>
      </c>
      <c r="D3253" t="inlineStr">
        <is>
          <t>SÖDERMANLANDS LÄN</t>
        </is>
      </c>
      <c r="E3253" t="inlineStr">
        <is>
          <t>GNESTA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4391-2022</t>
        </is>
      </c>
      <c r="B3254" s="1" t="n">
        <v>44589</v>
      </c>
      <c r="C3254" s="1" t="n">
        <v>45761</v>
      </c>
      <c r="D3254" t="inlineStr">
        <is>
          <t>SÖDERMANLANDS LÄN</t>
        </is>
      </c>
      <c r="E3254" t="inlineStr">
        <is>
          <t>GNESTA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4621-2022</t>
        </is>
      </c>
      <c r="B3255" s="1" t="n">
        <v>44592</v>
      </c>
      <c r="C3255" s="1" t="n">
        <v>45761</v>
      </c>
      <c r="D3255" t="inlineStr">
        <is>
          <t>SÖDERMANLANDS LÄN</t>
        </is>
      </c>
      <c r="E3255" t="inlineStr">
        <is>
          <t>ESKILSTUNA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4796-2022</t>
        </is>
      </c>
      <c r="B3256" s="1" t="n">
        <v>44592</v>
      </c>
      <c r="C3256" s="1" t="n">
        <v>45761</v>
      </c>
      <c r="D3256" t="inlineStr">
        <is>
          <t>SÖDERMANLANDS LÄN</t>
        </is>
      </c>
      <c r="E3256" t="inlineStr">
        <is>
          <t>GNESTA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4903-2022</t>
        </is>
      </c>
      <c r="B3257" s="1" t="n">
        <v>44593</v>
      </c>
      <c r="C3257" s="1" t="n">
        <v>45761</v>
      </c>
      <c r="D3257" t="inlineStr">
        <is>
          <t>SÖDERMANLANDS LÄN</t>
        </is>
      </c>
      <c r="E3257" t="inlineStr">
        <is>
          <t>NYKÖPING</t>
        </is>
      </c>
      <c r="G3257" t="n">
        <v>2.7</v>
      </c>
      <c r="H3257" t="n">
        <v>0</v>
      </c>
      <c r="I3257" t="n">
        <v>0</v>
      </c>
      <c r="J3257" t="n">
        <v>0</v>
      </c>
      <c r="K3257" t="n">
        <v>0</v>
      </c>
      <c r="L3257" t="n">
        <v>0</v>
      </c>
      <c r="M3257" t="n">
        <v>0</v>
      </c>
      <c r="N3257" t="n">
        <v>0</v>
      </c>
      <c r="O3257" t="n">
        <v>0</v>
      </c>
      <c r="P3257" t="n">
        <v>0</v>
      </c>
      <c r="Q3257" t="n">
        <v>0</v>
      </c>
      <c r="R3257" s="2" t="inlineStr"/>
      <c r="U3257">
        <f>HYPERLINK("https://klasma.github.io/Logging_0480/knärot/A 4903-2022 karta knärot.png", "A 4903-2022")</f>
        <v/>
      </c>
      <c r="V3257">
        <f>HYPERLINK("https://klasma.github.io/Logging_0480/klagomål/A 4903-2022 FSC-klagomål.docx", "A 4903-2022")</f>
        <v/>
      </c>
      <c r="W3257">
        <f>HYPERLINK("https://klasma.github.io/Logging_0480/klagomålsmail/A 4903-2022 FSC-klagomål mail.docx", "A 4903-2022")</f>
        <v/>
      </c>
      <c r="X3257">
        <f>HYPERLINK("https://klasma.github.io/Logging_0480/tillsyn/A 4903-2022 tillsynsbegäran.docx", "A 4903-2022")</f>
        <v/>
      </c>
      <c r="Y3257">
        <f>HYPERLINK("https://klasma.github.io/Logging_0480/tillsynsmail/A 4903-2022 tillsynsbegäran mail.docx", "A 4903-2022")</f>
        <v/>
      </c>
    </row>
    <row r="3258" ht="15" customHeight="1">
      <c r="A3258" t="inlineStr">
        <is>
          <t>A 4954-2022</t>
        </is>
      </c>
      <c r="B3258" s="1" t="n">
        <v>44593</v>
      </c>
      <c r="C3258" s="1" t="n">
        <v>45761</v>
      </c>
      <c r="D3258" t="inlineStr">
        <is>
          <t>SÖDERMANLANDS LÄN</t>
        </is>
      </c>
      <c r="E3258" t="inlineStr">
        <is>
          <t>ESKILSTUNA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4959-2022</t>
        </is>
      </c>
      <c r="B3259" s="1" t="n">
        <v>44593</v>
      </c>
      <c r="C3259" s="1" t="n">
        <v>45761</v>
      </c>
      <c r="D3259" t="inlineStr">
        <is>
          <t>SÖDERMANLANDS LÄN</t>
        </is>
      </c>
      <c r="E3259" t="inlineStr">
        <is>
          <t>VINGÅKER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5301-2022</t>
        </is>
      </c>
      <c r="B3260" s="1" t="n">
        <v>44594</v>
      </c>
      <c r="C3260" s="1" t="n">
        <v>45761</v>
      </c>
      <c r="D3260" t="inlineStr">
        <is>
          <t>SÖDERMANLANDS LÄN</t>
        </is>
      </c>
      <c r="E3260" t="inlineStr">
        <is>
          <t>GNESTA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5260-2022</t>
        </is>
      </c>
      <c r="B3261" s="1" t="n">
        <v>44594</v>
      </c>
      <c r="C3261" s="1" t="n">
        <v>45761</v>
      </c>
      <c r="D3261" t="inlineStr">
        <is>
          <t>SÖDERMANLANDS LÄN</t>
        </is>
      </c>
      <c r="E3261" t="inlineStr">
        <is>
          <t>FLEN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5270-2022</t>
        </is>
      </c>
      <c r="B3262" s="1" t="n">
        <v>44594</v>
      </c>
      <c r="C3262" s="1" t="n">
        <v>45761</v>
      </c>
      <c r="D3262" t="inlineStr">
        <is>
          <t>SÖDERMANLANDS LÄN</t>
        </is>
      </c>
      <c r="E3262" t="inlineStr">
        <is>
          <t>GNESTA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5357-2022</t>
        </is>
      </c>
      <c r="B3263" s="1" t="n">
        <v>44594</v>
      </c>
      <c r="C3263" s="1" t="n">
        <v>45761</v>
      </c>
      <c r="D3263" t="inlineStr">
        <is>
          <t>SÖDERMANLANDS LÄN</t>
        </is>
      </c>
      <c r="E3263" t="inlineStr">
        <is>
          <t>NYKÖPING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5348-2022</t>
        </is>
      </c>
      <c r="B3264" s="1" t="n">
        <v>44594</v>
      </c>
      <c r="C3264" s="1" t="n">
        <v>45761</v>
      </c>
      <c r="D3264" t="inlineStr">
        <is>
          <t>SÖDERMANLANDS LÄN</t>
        </is>
      </c>
      <c r="E3264" t="inlineStr">
        <is>
          <t>VINGÅKER</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5337-2022</t>
        </is>
      </c>
      <c r="B3265" s="1" t="n">
        <v>44594</v>
      </c>
      <c r="C3265" s="1" t="n">
        <v>45761</v>
      </c>
      <c r="D3265" t="inlineStr">
        <is>
          <t>SÖDERMANLANDS LÄN</t>
        </is>
      </c>
      <c r="E3265" t="inlineStr">
        <is>
          <t>ESKILSTUNA</t>
        </is>
      </c>
      <c r="F3265" t="inlineStr">
        <is>
          <t>Allmännings- och besparingsskogar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5349-2022</t>
        </is>
      </c>
      <c r="B3266" s="1" t="n">
        <v>44594</v>
      </c>
      <c r="C3266" s="1" t="n">
        <v>45761</v>
      </c>
      <c r="D3266" t="inlineStr">
        <is>
          <t>SÖDERMANLANDS LÄN</t>
        </is>
      </c>
      <c r="E3266" t="inlineStr">
        <is>
          <t>VINGÅKER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5547-2022</t>
        </is>
      </c>
      <c r="B3267" s="1" t="n">
        <v>44595</v>
      </c>
      <c r="C3267" s="1" t="n">
        <v>45761</v>
      </c>
      <c r="D3267" t="inlineStr">
        <is>
          <t>SÖDERMANLANDS LÄN</t>
        </is>
      </c>
      <c r="E3267" t="inlineStr">
        <is>
          <t>KATRINEHOLM</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5397-2022</t>
        </is>
      </c>
      <c r="B3268" s="1" t="n">
        <v>44595</v>
      </c>
      <c r="C3268" s="1" t="n">
        <v>45761</v>
      </c>
      <c r="D3268" t="inlineStr">
        <is>
          <t>SÖDERMANLANDS LÄN</t>
        </is>
      </c>
      <c r="E3268" t="inlineStr">
        <is>
          <t>GNESTA</t>
        </is>
      </c>
      <c r="F3268" t="inlineStr">
        <is>
          <t>Kyrkan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5790-2022</t>
        </is>
      </c>
      <c r="B3269" s="1" t="n">
        <v>44596</v>
      </c>
      <c r="C3269" s="1" t="n">
        <v>45761</v>
      </c>
      <c r="D3269" t="inlineStr">
        <is>
          <t>SÖDERMANLANDS LÄN</t>
        </is>
      </c>
      <c r="E3269" t="inlineStr">
        <is>
          <t>KATRINEHOLM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5788-2022</t>
        </is>
      </c>
      <c r="B3270" s="1" t="n">
        <v>44596</v>
      </c>
      <c r="C3270" s="1" t="n">
        <v>45761</v>
      </c>
      <c r="D3270" t="inlineStr">
        <is>
          <t>SÖDERMANLANDS LÄN</t>
        </is>
      </c>
      <c r="E3270" t="inlineStr">
        <is>
          <t>KATRINEHOLM</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5795-2022</t>
        </is>
      </c>
      <c r="B3271" s="1" t="n">
        <v>44596</v>
      </c>
      <c r="C3271" s="1" t="n">
        <v>45761</v>
      </c>
      <c r="D3271" t="inlineStr">
        <is>
          <t>SÖDERMANLANDS LÄN</t>
        </is>
      </c>
      <c r="E3271" t="inlineStr">
        <is>
          <t>KATRINEHOLM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5805-2022</t>
        </is>
      </c>
      <c r="B3272" s="1" t="n">
        <v>44596</v>
      </c>
      <c r="C3272" s="1" t="n">
        <v>45761</v>
      </c>
      <c r="D3272" t="inlineStr">
        <is>
          <t>SÖDERMANLANDS LÄN</t>
        </is>
      </c>
      <c r="E3272" t="inlineStr">
        <is>
          <t>STRÄNGNÄS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5859-2022</t>
        </is>
      </c>
      <c r="B3273" s="1" t="n">
        <v>44596</v>
      </c>
      <c r="C3273" s="1" t="n">
        <v>45761</v>
      </c>
      <c r="D3273" t="inlineStr">
        <is>
          <t>SÖDERMANLANDS LÄN</t>
        </is>
      </c>
      <c r="E3273" t="inlineStr">
        <is>
          <t>FLEN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5837-2022</t>
        </is>
      </c>
      <c r="B3274" s="1" t="n">
        <v>44596</v>
      </c>
      <c r="C3274" s="1" t="n">
        <v>45761</v>
      </c>
      <c r="D3274" t="inlineStr">
        <is>
          <t>SÖDERMANLANDS LÄN</t>
        </is>
      </c>
      <c r="E3274" t="inlineStr">
        <is>
          <t>VINGÅKER</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5852-2022</t>
        </is>
      </c>
      <c r="B3275" s="1" t="n">
        <v>44596</v>
      </c>
      <c r="C3275" s="1" t="n">
        <v>45761</v>
      </c>
      <c r="D3275" t="inlineStr">
        <is>
          <t>SÖDERMANLANDS LÄN</t>
        </is>
      </c>
      <c r="E3275" t="inlineStr">
        <is>
          <t>FLEN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6086-2022</t>
        </is>
      </c>
      <c r="B3276" s="1" t="n">
        <v>44599</v>
      </c>
      <c r="C3276" s="1" t="n">
        <v>45761</v>
      </c>
      <c r="D3276" t="inlineStr">
        <is>
          <t>SÖDERMANLANDS LÄN</t>
        </is>
      </c>
      <c r="E3276" t="inlineStr">
        <is>
          <t>GNESTA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6087-2022</t>
        </is>
      </c>
      <c r="B3277" s="1" t="n">
        <v>44599</v>
      </c>
      <c r="C3277" s="1" t="n">
        <v>45761</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6109-2022</t>
        </is>
      </c>
      <c r="B3278" s="1" t="n">
        <v>44599</v>
      </c>
      <c r="C3278" s="1" t="n">
        <v>45761</v>
      </c>
      <c r="D3278" t="inlineStr">
        <is>
          <t>SÖDERMANLANDS LÄN</t>
        </is>
      </c>
      <c r="E3278" t="inlineStr">
        <is>
          <t>TROSA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6160-2022</t>
        </is>
      </c>
      <c r="B3279" s="1" t="n">
        <v>44599</v>
      </c>
      <c r="C3279" s="1" t="n">
        <v>45761</v>
      </c>
      <c r="D3279" t="inlineStr">
        <is>
          <t>SÖDERMANLANDS LÄN</t>
        </is>
      </c>
      <c r="E3279" t="inlineStr">
        <is>
          <t>GNESTA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6124-2022</t>
        </is>
      </c>
      <c r="B3280" s="1" t="n">
        <v>44599</v>
      </c>
      <c r="C3280" s="1" t="n">
        <v>45761</v>
      </c>
      <c r="D3280" t="inlineStr">
        <is>
          <t>SÖDERMANLANDS LÄN</t>
        </is>
      </c>
      <c r="E3280" t="inlineStr">
        <is>
          <t>TROSA</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6102-2022</t>
        </is>
      </c>
      <c r="B3281" s="1" t="n">
        <v>44599</v>
      </c>
      <c r="C3281" s="1" t="n">
        <v>45761</v>
      </c>
      <c r="D3281" t="inlineStr">
        <is>
          <t>SÖDERMANLANDS LÄN</t>
        </is>
      </c>
      <c r="E3281" t="inlineStr">
        <is>
          <t>TROSA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6145-2022</t>
        </is>
      </c>
      <c r="B3282" s="1" t="n">
        <v>44599</v>
      </c>
      <c r="C3282" s="1" t="n">
        <v>45761</v>
      </c>
      <c r="D3282" t="inlineStr">
        <is>
          <t>SÖDERMANLANDS LÄN</t>
        </is>
      </c>
      <c r="E3282" t="inlineStr">
        <is>
          <t>KATRINEHOLM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6155-2022</t>
        </is>
      </c>
      <c r="B3283" s="1" t="n">
        <v>44599</v>
      </c>
      <c r="C3283" s="1" t="n">
        <v>45761</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6446-2022</t>
        </is>
      </c>
      <c r="B3284" s="1" t="n">
        <v>44600</v>
      </c>
      <c r="C3284" s="1" t="n">
        <v>45761</v>
      </c>
      <c r="D3284" t="inlineStr">
        <is>
          <t>SÖDERMANLANDS LÄN</t>
        </is>
      </c>
      <c r="E3284" t="inlineStr">
        <is>
          <t>KATRINEHOLM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6499-2022</t>
        </is>
      </c>
      <c r="B3285" s="1" t="n">
        <v>44601</v>
      </c>
      <c r="C3285" s="1" t="n">
        <v>45761</v>
      </c>
      <c r="D3285" t="inlineStr">
        <is>
          <t>SÖDERMANLANDS LÄN</t>
        </is>
      </c>
      <c r="E3285" t="inlineStr">
        <is>
          <t>KATRINEHOLM</t>
        </is>
      </c>
      <c r="F3285" t="inlineStr">
        <is>
          <t>Kyrkan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6538-2022</t>
        </is>
      </c>
      <c r="B3286" s="1" t="n">
        <v>44601</v>
      </c>
      <c r="C3286" s="1" t="n">
        <v>45761</v>
      </c>
      <c r="D3286" t="inlineStr">
        <is>
          <t>SÖDERMANLANDS LÄN</t>
        </is>
      </c>
      <c r="E3286" t="inlineStr">
        <is>
          <t>NYKÖPING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6531-2022</t>
        </is>
      </c>
      <c r="B3287" s="1" t="n">
        <v>44601</v>
      </c>
      <c r="C3287" s="1" t="n">
        <v>45761</v>
      </c>
      <c r="D3287" t="inlineStr">
        <is>
          <t>SÖDERMANLANDS LÄN</t>
        </is>
      </c>
      <c r="E3287" t="inlineStr">
        <is>
          <t>KATRINEHOLM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6533-2022</t>
        </is>
      </c>
      <c r="B3288" s="1" t="n">
        <v>44601</v>
      </c>
      <c r="C3288" s="1" t="n">
        <v>45761</v>
      </c>
      <c r="D3288" t="inlineStr">
        <is>
          <t>SÖDERMANLANDS LÄN</t>
        </is>
      </c>
      <c r="E3288" t="inlineStr">
        <is>
          <t>KATRINEHOLM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6628-2022</t>
        </is>
      </c>
      <c r="B3289" s="1" t="n">
        <v>44601</v>
      </c>
      <c r="C3289" s="1" t="n">
        <v>45761</v>
      </c>
      <c r="D3289" t="inlineStr">
        <is>
          <t>SÖDERMANLANDS LÄN</t>
        </is>
      </c>
      <c r="E3289" t="inlineStr">
        <is>
          <t>KATRINEHOLM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6606-2022</t>
        </is>
      </c>
      <c r="B3290" s="1" t="n">
        <v>44601</v>
      </c>
      <c r="C3290" s="1" t="n">
        <v>45761</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6725-2022</t>
        </is>
      </c>
      <c r="B3291" s="1" t="n">
        <v>44602</v>
      </c>
      <c r="C3291" s="1" t="n">
        <v>45761</v>
      </c>
      <c r="D3291" t="inlineStr">
        <is>
          <t>SÖDERMANLANDS LÄN</t>
        </is>
      </c>
      <c r="E3291" t="inlineStr">
        <is>
          <t>FLEN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6746-2022</t>
        </is>
      </c>
      <c r="B3292" s="1" t="n">
        <v>44602</v>
      </c>
      <c r="C3292" s="1" t="n">
        <v>45761</v>
      </c>
      <c r="D3292" t="inlineStr">
        <is>
          <t>SÖDERMANLANDS LÄN</t>
        </is>
      </c>
      <c r="E3292" t="inlineStr">
        <is>
          <t>KATRINEHOLM</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6753-2022</t>
        </is>
      </c>
      <c r="B3293" s="1" t="n">
        <v>44602</v>
      </c>
      <c r="C3293" s="1" t="n">
        <v>45761</v>
      </c>
      <c r="D3293" t="inlineStr">
        <is>
          <t>SÖDERMANLANDS LÄN</t>
        </is>
      </c>
      <c r="E3293" t="inlineStr">
        <is>
          <t>KATRINEHOLM</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6763-2022</t>
        </is>
      </c>
      <c r="B3294" s="1" t="n">
        <v>44602</v>
      </c>
      <c r="C3294" s="1" t="n">
        <v>45761</v>
      </c>
      <c r="D3294" t="inlineStr">
        <is>
          <t>SÖDERMANLANDS LÄN</t>
        </is>
      </c>
      <c r="E3294" t="inlineStr">
        <is>
          <t>KATRINEHOLM</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6203-2022</t>
        </is>
      </c>
      <c r="B3295" s="1" t="n">
        <v>44602</v>
      </c>
      <c r="C3295" s="1" t="n">
        <v>45761</v>
      </c>
      <c r="D3295" t="inlineStr">
        <is>
          <t>SÖDERMANLANDS LÄN</t>
        </is>
      </c>
      <c r="E3295" t="inlineStr">
        <is>
          <t>KATRINEHOLM</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6722-2022</t>
        </is>
      </c>
      <c r="B3296" s="1" t="n">
        <v>44602</v>
      </c>
      <c r="C3296" s="1" t="n">
        <v>45761</v>
      </c>
      <c r="D3296" t="inlineStr">
        <is>
          <t>SÖDERMANLANDS LÄN</t>
        </is>
      </c>
      <c r="E3296" t="inlineStr">
        <is>
          <t>KATRINEHOLM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6789-2022</t>
        </is>
      </c>
      <c r="B3297" s="1" t="n">
        <v>44602</v>
      </c>
      <c r="C3297" s="1" t="n">
        <v>45761</v>
      </c>
      <c r="D3297" t="inlineStr">
        <is>
          <t>SÖDERMANLANDS LÄN</t>
        </is>
      </c>
      <c r="E3297" t="inlineStr">
        <is>
          <t>KATRINEHOLM</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6695-2022</t>
        </is>
      </c>
      <c r="B3298" s="1" t="n">
        <v>44602</v>
      </c>
      <c r="C3298" s="1" t="n">
        <v>45761</v>
      </c>
      <c r="D3298" t="inlineStr">
        <is>
          <t>SÖDERMANLANDS LÄN</t>
        </is>
      </c>
      <c r="E3298" t="inlineStr">
        <is>
          <t>KATRINEHOLM</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6765-2022</t>
        </is>
      </c>
      <c r="B3299" s="1" t="n">
        <v>44602</v>
      </c>
      <c r="C3299" s="1" t="n">
        <v>45761</v>
      </c>
      <c r="D3299" t="inlineStr">
        <is>
          <t>SÖDERMANLANDS LÄN</t>
        </is>
      </c>
      <c r="E3299" t="inlineStr">
        <is>
          <t>KATRINEHOLM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6796-2022</t>
        </is>
      </c>
      <c r="B3300" s="1" t="n">
        <v>44602</v>
      </c>
      <c r="C3300" s="1" t="n">
        <v>45761</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6826-2022</t>
        </is>
      </c>
      <c r="B3301" s="1" t="n">
        <v>44602</v>
      </c>
      <c r="C3301" s="1" t="n">
        <v>45761</v>
      </c>
      <c r="D3301" t="inlineStr">
        <is>
          <t>SÖDERMANLANDS LÄN</t>
        </is>
      </c>
      <c r="E3301" t="inlineStr">
        <is>
          <t>KATRINEHOLM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9044-2022</t>
        </is>
      </c>
      <c r="B3302" s="1" t="n">
        <v>44602</v>
      </c>
      <c r="C3302" s="1" t="n">
        <v>45761</v>
      </c>
      <c r="D3302" t="inlineStr">
        <is>
          <t>SÖDERMANLANDS LÄN</t>
        </is>
      </c>
      <c r="E3302" t="inlineStr">
        <is>
          <t>KATRINEHOLM</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7056-2022</t>
        </is>
      </c>
      <c r="B3303" s="1" t="n">
        <v>44603</v>
      </c>
      <c r="C3303" s="1" t="n">
        <v>45761</v>
      </c>
      <c r="D3303" t="inlineStr">
        <is>
          <t>SÖDERMANLANDS LÄN</t>
        </is>
      </c>
      <c r="E3303" t="inlineStr">
        <is>
          <t>KATRINEHOLM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7054-2022</t>
        </is>
      </c>
      <c r="B3304" s="1" t="n">
        <v>44603</v>
      </c>
      <c r="C3304" s="1" t="n">
        <v>45761</v>
      </c>
      <c r="D3304" t="inlineStr">
        <is>
          <t>SÖDERMANLANDS LÄN</t>
        </is>
      </c>
      <c r="E3304" t="inlineStr">
        <is>
          <t>GNESTA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7223-2022</t>
        </is>
      </c>
      <c r="B3305" s="1" t="n">
        <v>44603</v>
      </c>
      <c r="C3305" s="1" t="n">
        <v>45761</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7170-2022</t>
        </is>
      </c>
      <c r="B3306" s="1" t="n">
        <v>44604</v>
      </c>
      <c r="C3306" s="1" t="n">
        <v>45761</v>
      </c>
      <c r="D3306" t="inlineStr">
        <is>
          <t>SÖDERMANLANDS LÄN</t>
        </is>
      </c>
      <c r="E3306" t="inlineStr">
        <is>
          <t>FLEN</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7189-2022</t>
        </is>
      </c>
      <c r="B3307" s="1" t="n">
        <v>44605</v>
      </c>
      <c r="C3307" s="1" t="n">
        <v>45761</v>
      </c>
      <c r="D3307" t="inlineStr">
        <is>
          <t>SÖDERMANLANDS LÄN</t>
        </is>
      </c>
      <c r="E3307" t="inlineStr">
        <is>
          <t>KATRINEHOLM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7253-2022</t>
        </is>
      </c>
      <c r="B3308" s="1" t="n">
        <v>44606</v>
      </c>
      <c r="C3308" s="1" t="n">
        <v>45761</v>
      </c>
      <c r="D3308" t="inlineStr">
        <is>
          <t>SÖDERMANLANDS LÄN</t>
        </is>
      </c>
      <c r="E3308" t="inlineStr">
        <is>
          <t>NYKÖPING</t>
        </is>
      </c>
      <c r="F3308" t="inlineStr">
        <is>
          <t>Allmännings- och besparingsskogar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7242-2022</t>
        </is>
      </c>
      <c r="B3309" s="1" t="n">
        <v>44606</v>
      </c>
      <c r="C3309" s="1" t="n">
        <v>45761</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7303-2022</t>
        </is>
      </c>
      <c r="B3310" s="1" t="n">
        <v>44606</v>
      </c>
      <c r="C3310" s="1" t="n">
        <v>45761</v>
      </c>
      <c r="D3310" t="inlineStr">
        <is>
          <t>SÖDERMANLANDS LÄN</t>
        </is>
      </c>
      <c r="E3310" t="inlineStr">
        <is>
          <t>GNESTA</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7406-2022</t>
        </is>
      </c>
      <c r="B3311" s="1" t="n">
        <v>44606</v>
      </c>
      <c r="C3311" s="1" t="n">
        <v>45761</v>
      </c>
      <c r="D3311" t="inlineStr">
        <is>
          <t>SÖDERMANLANDS LÄN</t>
        </is>
      </c>
      <c r="E3311" t="inlineStr">
        <is>
          <t>ESKILSTUNA</t>
        </is>
      </c>
      <c r="F3311" t="inlineStr">
        <is>
          <t>Kyrkan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7423-2022</t>
        </is>
      </c>
      <c r="B3312" s="1" t="n">
        <v>44606</v>
      </c>
      <c r="C3312" s="1" t="n">
        <v>45761</v>
      </c>
      <c r="D3312" t="inlineStr">
        <is>
          <t>SÖDERMANLANDS LÄN</t>
        </is>
      </c>
      <c r="E3312" t="inlineStr">
        <is>
          <t>ESKILSTUNA</t>
        </is>
      </c>
      <c r="F3312" t="inlineStr">
        <is>
          <t>Kyrkan</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7420-2022</t>
        </is>
      </c>
      <c r="B3313" s="1" t="n">
        <v>44606</v>
      </c>
      <c r="C3313" s="1" t="n">
        <v>45761</v>
      </c>
      <c r="D3313" t="inlineStr">
        <is>
          <t>SÖDERMANLANDS LÄN</t>
        </is>
      </c>
      <c r="E3313" t="inlineStr">
        <is>
          <t>ESKILSTUNA</t>
        </is>
      </c>
      <c r="F3313" t="inlineStr">
        <is>
          <t>Kyrkan</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7496-2022</t>
        </is>
      </c>
      <c r="B3314" s="1" t="n">
        <v>44607</v>
      </c>
      <c r="C3314" s="1" t="n">
        <v>45761</v>
      </c>
      <c r="D3314" t="inlineStr">
        <is>
          <t>SÖDERMANLANDS LÄN</t>
        </is>
      </c>
      <c r="E3314" t="inlineStr">
        <is>
          <t>NYKÖPING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7550-2022</t>
        </is>
      </c>
      <c r="B3315" s="1" t="n">
        <v>44607</v>
      </c>
      <c r="C3315" s="1" t="n">
        <v>45761</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7459-2022</t>
        </is>
      </c>
      <c r="B3316" s="1" t="n">
        <v>44607</v>
      </c>
      <c r="C3316" s="1" t="n">
        <v>45761</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7506-2022</t>
        </is>
      </c>
      <c r="B3317" s="1" t="n">
        <v>44607</v>
      </c>
      <c r="C3317" s="1" t="n">
        <v>45761</v>
      </c>
      <c r="D3317" t="inlineStr">
        <is>
          <t>SÖDERMANLANDS LÄN</t>
        </is>
      </c>
      <c r="E3317" t="inlineStr">
        <is>
          <t>GNESTA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7756-2022</t>
        </is>
      </c>
      <c r="B3318" s="1" t="n">
        <v>44608</v>
      </c>
      <c r="C3318" s="1" t="n">
        <v>45761</v>
      </c>
      <c r="D3318" t="inlineStr">
        <is>
          <t>SÖDERMANLANDS LÄN</t>
        </is>
      </c>
      <c r="E3318" t="inlineStr">
        <is>
          <t>VINGÅKER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7821-2022</t>
        </is>
      </c>
      <c r="B3319" s="1" t="n">
        <v>44608</v>
      </c>
      <c r="C3319" s="1" t="n">
        <v>45761</v>
      </c>
      <c r="D3319" t="inlineStr">
        <is>
          <t>SÖDERMANLANDS LÄN</t>
        </is>
      </c>
      <c r="E3319" t="inlineStr">
        <is>
          <t>VINGÅKER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7825-2022</t>
        </is>
      </c>
      <c r="B3320" s="1" t="n">
        <v>44608</v>
      </c>
      <c r="C3320" s="1" t="n">
        <v>45761</v>
      </c>
      <c r="D3320" t="inlineStr">
        <is>
          <t>SÖDERMANLANDS LÄN</t>
        </is>
      </c>
      <c r="E3320" t="inlineStr">
        <is>
          <t>VINGÅKER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7739-2022</t>
        </is>
      </c>
      <c r="B3321" s="1" t="n">
        <v>44608</v>
      </c>
      <c r="C3321" s="1" t="n">
        <v>45761</v>
      </c>
      <c r="D3321" t="inlineStr">
        <is>
          <t>SÖDERMANLANDS LÄN</t>
        </is>
      </c>
      <c r="E3321" t="inlineStr">
        <is>
          <t>VINGÅKER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7742-2022</t>
        </is>
      </c>
      <c r="B3322" s="1" t="n">
        <v>44608</v>
      </c>
      <c r="C3322" s="1" t="n">
        <v>45761</v>
      </c>
      <c r="D3322" t="inlineStr">
        <is>
          <t>SÖDERMANLANDS LÄN</t>
        </is>
      </c>
      <c r="E3322" t="inlineStr">
        <is>
          <t>VINGÅKER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7818-2022</t>
        </is>
      </c>
      <c r="B3323" s="1" t="n">
        <v>44608</v>
      </c>
      <c r="C3323" s="1" t="n">
        <v>45761</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7833-2022</t>
        </is>
      </c>
      <c r="B3324" s="1" t="n">
        <v>44608</v>
      </c>
      <c r="C3324" s="1" t="n">
        <v>45761</v>
      </c>
      <c r="D3324" t="inlineStr">
        <is>
          <t>SÖDERMANLANDS LÄN</t>
        </is>
      </c>
      <c r="E3324" t="inlineStr">
        <is>
          <t>ESKILSTUNA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7863-2022</t>
        </is>
      </c>
      <c r="B3325" s="1" t="n">
        <v>44608</v>
      </c>
      <c r="C3325" s="1" t="n">
        <v>45761</v>
      </c>
      <c r="D3325" t="inlineStr">
        <is>
          <t>SÖDERMANLANDS LÄN</t>
        </is>
      </c>
      <c r="E3325" t="inlineStr">
        <is>
          <t>FLEN</t>
        </is>
      </c>
      <c r="F3325" t="inlineStr">
        <is>
          <t>Övriga statliga verk och myndigheter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7931-2022</t>
        </is>
      </c>
      <c r="B3326" s="1" t="n">
        <v>44608</v>
      </c>
      <c r="C3326" s="1" t="n">
        <v>45761</v>
      </c>
      <c r="D3326" t="inlineStr">
        <is>
          <t>SÖDERMANLANDS LÄN</t>
        </is>
      </c>
      <c r="E3326" t="inlineStr">
        <is>
          <t>STRÄNGNÄS</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7923-2022</t>
        </is>
      </c>
      <c r="B3327" s="1" t="n">
        <v>44608</v>
      </c>
      <c r="C3327" s="1" t="n">
        <v>45761</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7929-2022</t>
        </is>
      </c>
      <c r="B3328" s="1" t="n">
        <v>44608</v>
      </c>
      <c r="C3328" s="1" t="n">
        <v>45761</v>
      </c>
      <c r="D3328" t="inlineStr">
        <is>
          <t>SÖDERMANLANDS LÄN</t>
        </is>
      </c>
      <c r="E3328" t="inlineStr">
        <is>
          <t>KATRINEHOLM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7887-2022</t>
        </is>
      </c>
      <c r="B3329" s="1" t="n">
        <v>44608</v>
      </c>
      <c r="C3329" s="1" t="n">
        <v>45761</v>
      </c>
      <c r="D3329" t="inlineStr">
        <is>
          <t>SÖDERMANLANDS LÄN</t>
        </is>
      </c>
      <c r="E3329" t="inlineStr">
        <is>
          <t>NYKÖPING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8087-2022</t>
        </is>
      </c>
      <c r="B3330" s="1" t="n">
        <v>44609</v>
      </c>
      <c r="C3330" s="1" t="n">
        <v>45761</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8301-2022</t>
        </is>
      </c>
      <c r="B3331" s="1" t="n">
        <v>44610</v>
      </c>
      <c r="C3331" s="1" t="n">
        <v>45761</v>
      </c>
      <c r="D3331" t="inlineStr">
        <is>
          <t>SÖDERMANLANDS LÄN</t>
        </is>
      </c>
      <c r="E3331" t="inlineStr">
        <is>
          <t>FLEN</t>
        </is>
      </c>
      <c r="F3331" t="inlineStr">
        <is>
          <t>Övriga statliga verk och myndigheter</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8293-2022</t>
        </is>
      </c>
      <c r="B3332" s="1" t="n">
        <v>44610</v>
      </c>
      <c r="C3332" s="1" t="n">
        <v>45761</v>
      </c>
      <c r="D3332" t="inlineStr">
        <is>
          <t>SÖDERMANLANDS LÄN</t>
        </is>
      </c>
      <c r="E3332" t="inlineStr">
        <is>
          <t>FLEN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8277-2022</t>
        </is>
      </c>
      <c r="B3333" s="1" t="n">
        <v>44610</v>
      </c>
      <c r="C3333" s="1" t="n">
        <v>45761</v>
      </c>
      <c r="D3333" t="inlineStr">
        <is>
          <t>SÖDERMANLANDS LÄN</t>
        </is>
      </c>
      <c r="E3333" t="inlineStr">
        <is>
          <t>ESKILSTUNA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8493-2022</t>
        </is>
      </c>
      <c r="B3334" s="1" t="n">
        <v>44613</v>
      </c>
      <c r="C3334" s="1" t="n">
        <v>45761</v>
      </c>
      <c r="D3334" t="inlineStr">
        <is>
          <t>SÖDERMANLANDS LÄN</t>
        </is>
      </c>
      <c r="E3334" t="inlineStr">
        <is>
          <t>STRÄNGNÄS</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8523-2022</t>
        </is>
      </c>
      <c r="B3335" s="1" t="n">
        <v>44613</v>
      </c>
      <c r="C3335" s="1" t="n">
        <v>45761</v>
      </c>
      <c r="D3335" t="inlineStr">
        <is>
          <t>SÖDERMANLANDS LÄN</t>
        </is>
      </c>
      <c r="E3335" t="inlineStr">
        <is>
          <t>NYKÖPING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8478-2022</t>
        </is>
      </c>
      <c r="B3336" s="1" t="n">
        <v>44613</v>
      </c>
      <c r="C3336" s="1" t="n">
        <v>45761</v>
      </c>
      <c r="D3336" t="inlineStr">
        <is>
          <t>SÖDERMANLANDS LÄN</t>
        </is>
      </c>
      <c r="E3336" t="inlineStr">
        <is>
          <t>ESKILSTUNA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8532-2022</t>
        </is>
      </c>
      <c r="B3337" s="1" t="n">
        <v>44613</v>
      </c>
      <c r="C3337" s="1" t="n">
        <v>45761</v>
      </c>
      <c r="D3337" t="inlineStr">
        <is>
          <t>SÖDERMANLANDS LÄN</t>
        </is>
      </c>
      <c r="E3337" t="inlineStr">
        <is>
          <t>NYKÖPING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8517-2022</t>
        </is>
      </c>
      <c r="B3338" s="1" t="n">
        <v>44613</v>
      </c>
      <c r="C3338" s="1" t="n">
        <v>45761</v>
      </c>
      <c r="D3338" t="inlineStr">
        <is>
          <t>SÖDERMANLANDS LÄN</t>
        </is>
      </c>
      <c r="E3338" t="inlineStr">
        <is>
          <t>NYKÖPING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8783-2022</t>
        </is>
      </c>
      <c r="B3339" s="1" t="n">
        <v>44614</v>
      </c>
      <c r="C3339" s="1" t="n">
        <v>45761</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8793-2022</t>
        </is>
      </c>
      <c r="B3340" s="1" t="n">
        <v>44614</v>
      </c>
      <c r="C3340" s="1" t="n">
        <v>45761</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8778-2022</t>
        </is>
      </c>
      <c r="B3341" s="1" t="n">
        <v>44614</v>
      </c>
      <c r="C3341" s="1" t="n">
        <v>45761</v>
      </c>
      <c r="D3341" t="inlineStr">
        <is>
          <t>SÖDERMANLANDS LÄN</t>
        </is>
      </c>
      <c r="E3341" t="inlineStr">
        <is>
          <t>NYKÖPING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8781-2022</t>
        </is>
      </c>
      <c r="B3342" s="1" t="n">
        <v>44614</v>
      </c>
      <c r="C3342" s="1" t="n">
        <v>45761</v>
      </c>
      <c r="D3342" t="inlineStr">
        <is>
          <t>SÖDERMANLANDS LÄN</t>
        </is>
      </c>
      <c r="E3342" t="inlineStr">
        <is>
          <t>NYKÖPING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8903-2022</t>
        </is>
      </c>
      <c r="B3343" s="1" t="n">
        <v>44614</v>
      </c>
      <c r="C3343" s="1" t="n">
        <v>45761</v>
      </c>
      <c r="D3343" t="inlineStr">
        <is>
          <t>SÖDERMANLANDS LÄN</t>
        </is>
      </c>
      <c r="E3343" t="inlineStr">
        <is>
          <t>FLEN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8990-2022</t>
        </is>
      </c>
      <c r="B3344" s="1" t="n">
        <v>44614</v>
      </c>
      <c r="C3344" s="1" t="n">
        <v>45761</v>
      </c>
      <c r="D3344" t="inlineStr">
        <is>
          <t>SÖDERMANLANDS LÄN</t>
        </is>
      </c>
      <c r="E3344" t="inlineStr">
        <is>
          <t>FLEN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9158-2022</t>
        </is>
      </c>
      <c r="B3345" s="1" t="n">
        <v>44615</v>
      </c>
      <c r="C3345" s="1" t="n">
        <v>45761</v>
      </c>
      <c r="D3345" t="inlineStr">
        <is>
          <t>SÖDERMANLANDS LÄN</t>
        </is>
      </c>
      <c r="E3345" t="inlineStr">
        <is>
          <t>STRÄNGNÄS</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9174-2022</t>
        </is>
      </c>
      <c r="B3346" s="1" t="n">
        <v>44615</v>
      </c>
      <c r="C3346" s="1" t="n">
        <v>45761</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9190-2022</t>
        </is>
      </c>
      <c r="B3347" s="1" t="n">
        <v>44615</v>
      </c>
      <c r="C3347" s="1" t="n">
        <v>45761</v>
      </c>
      <c r="D3347" t="inlineStr">
        <is>
          <t>SÖDERMANLANDS LÄN</t>
        </is>
      </c>
      <c r="E3347" t="inlineStr">
        <is>
          <t>KATRINEHOLM</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9188-2022</t>
        </is>
      </c>
      <c r="B3348" s="1" t="n">
        <v>44615</v>
      </c>
      <c r="C3348" s="1" t="n">
        <v>45761</v>
      </c>
      <c r="D3348" t="inlineStr">
        <is>
          <t>SÖDERMANLANDS LÄN</t>
        </is>
      </c>
      <c r="E3348" t="inlineStr">
        <is>
          <t>KATRINEHOLM</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9419-2022</t>
        </is>
      </c>
      <c r="B3349" s="1" t="n">
        <v>44616</v>
      </c>
      <c r="C3349" s="1" t="n">
        <v>45761</v>
      </c>
      <c r="D3349" t="inlineStr">
        <is>
          <t>SÖDERMANLANDS LÄN</t>
        </is>
      </c>
      <c r="E3349" t="inlineStr">
        <is>
          <t>KATRINEHOLM</t>
        </is>
      </c>
      <c r="F3349" t="inlineStr">
        <is>
          <t>Övriga Aktiebolag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9228-2022</t>
        </is>
      </c>
      <c r="B3350" s="1" t="n">
        <v>44616</v>
      </c>
      <c r="C3350" s="1" t="n">
        <v>45761</v>
      </c>
      <c r="D3350" t="inlineStr">
        <is>
          <t>SÖDERMANLANDS LÄN</t>
        </is>
      </c>
      <c r="E3350" t="inlineStr">
        <is>
          <t>KATRINEHOLM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9437-2022</t>
        </is>
      </c>
      <c r="B3351" s="1" t="n">
        <v>44616</v>
      </c>
      <c r="C3351" s="1" t="n">
        <v>45761</v>
      </c>
      <c r="D3351" t="inlineStr">
        <is>
          <t>SÖDERMANLANDS LÄN</t>
        </is>
      </c>
      <c r="E3351" t="inlineStr">
        <is>
          <t>KATRINEHOLM</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9431-2022</t>
        </is>
      </c>
      <c r="B3352" s="1" t="n">
        <v>44616</v>
      </c>
      <c r="C3352" s="1" t="n">
        <v>45761</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9455-2022</t>
        </is>
      </c>
      <c r="B3353" s="1" t="n">
        <v>44616</v>
      </c>
      <c r="C3353" s="1" t="n">
        <v>45761</v>
      </c>
      <c r="D3353" t="inlineStr">
        <is>
          <t>SÖDERMANLANDS LÄN</t>
        </is>
      </c>
      <c r="E3353" t="inlineStr">
        <is>
          <t>ESKILSTUNA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9469-2022</t>
        </is>
      </c>
      <c r="B3354" s="1" t="n">
        <v>44616</v>
      </c>
      <c r="C3354" s="1" t="n">
        <v>45761</v>
      </c>
      <c r="D3354" t="inlineStr">
        <is>
          <t>SÖDERMANLANDS LÄN</t>
        </is>
      </c>
      <c r="E3354" t="inlineStr">
        <is>
          <t>NYKÖPING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9511-2022</t>
        </is>
      </c>
      <c r="B3355" s="1" t="n">
        <v>44616</v>
      </c>
      <c r="C3355" s="1" t="n">
        <v>45761</v>
      </c>
      <c r="D3355" t="inlineStr">
        <is>
          <t>SÖDERMANLANDS LÄN</t>
        </is>
      </c>
      <c r="E3355" t="inlineStr">
        <is>
          <t>STRÄNGNÄS</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9521-2022</t>
        </is>
      </c>
      <c r="B3356" s="1" t="n">
        <v>44616</v>
      </c>
      <c r="C3356" s="1" t="n">
        <v>45761</v>
      </c>
      <c r="D3356" t="inlineStr">
        <is>
          <t>SÖDERMANLANDS LÄN</t>
        </is>
      </c>
      <c r="E3356" t="inlineStr">
        <is>
          <t>ESKILSTUNA</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9607-2022</t>
        </is>
      </c>
      <c r="B3357" s="1" t="n">
        <v>44617</v>
      </c>
      <c r="C3357" s="1" t="n">
        <v>45761</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9625-2022</t>
        </is>
      </c>
      <c r="B3358" s="1" t="n">
        <v>44617</v>
      </c>
      <c r="C3358" s="1" t="n">
        <v>45761</v>
      </c>
      <c r="D3358" t="inlineStr">
        <is>
          <t>SÖDERMANLANDS LÄN</t>
        </is>
      </c>
      <c r="E3358" t="inlineStr">
        <is>
          <t>STRÄNGNÄS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9536-2022</t>
        </is>
      </c>
      <c r="B3359" s="1" t="n">
        <v>44617</v>
      </c>
      <c r="C3359" s="1" t="n">
        <v>45761</v>
      </c>
      <c r="D3359" t="inlineStr">
        <is>
          <t>SÖDERMANLANDS LÄN</t>
        </is>
      </c>
      <c r="E3359" t="inlineStr">
        <is>
          <t>ESKILSTUNA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9648-2022</t>
        </is>
      </c>
      <c r="B3360" s="1" t="n">
        <v>44617</v>
      </c>
      <c r="C3360" s="1" t="n">
        <v>45761</v>
      </c>
      <c r="D3360" t="inlineStr">
        <is>
          <t>SÖDERMANLANDS LÄN</t>
        </is>
      </c>
      <c r="E3360" t="inlineStr">
        <is>
          <t>VINGÅKER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9543-2022</t>
        </is>
      </c>
      <c r="B3361" s="1" t="n">
        <v>44617</v>
      </c>
      <c r="C3361" s="1" t="n">
        <v>45761</v>
      </c>
      <c r="D3361" t="inlineStr">
        <is>
          <t>SÖDERMANLANDS LÄN</t>
        </is>
      </c>
      <c r="E3361" t="inlineStr">
        <is>
          <t>VINGÅKER</t>
        </is>
      </c>
      <c r="F3361" t="inlineStr">
        <is>
          <t>Kyrkan</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9575-2022</t>
        </is>
      </c>
      <c r="B3362" s="1" t="n">
        <v>44617</v>
      </c>
      <c r="C3362" s="1" t="n">
        <v>45761</v>
      </c>
      <c r="D3362" t="inlineStr">
        <is>
          <t>SÖDERMANLANDS LÄN</t>
        </is>
      </c>
      <c r="E3362" t="inlineStr">
        <is>
          <t>ESKILSTUNA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9646-2022</t>
        </is>
      </c>
      <c r="B3363" s="1" t="n">
        <v>44617</v>
      </c>
      <c r="C3363" s="1" t="n">
        <v>45761</v>
      </c>
      <c r="D3363" t="inlineStr">
        <is>
          <t>SÖDERMANLANDS LÄN</t>
        </is>
      </c>
      <c r="E3363" t="inlineStr">
        <is>
          <t>ESKILSTUNA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9701-2022</t>
        </is>
      </c>
      <c r="B3364" s="1" t="n">
        <v>44617</v>
      </c>
      <c r="C3364" s="1" t="n">
        <v>45761</v>
      </c>
      <c r="D3364" t="inlineStr">
        <is>
          <t>SÖDERMANLANDS LÄN</t>
        </is>
      </c>
      <c r="E3364" t="inlineStr">
        <is>
          <t>STRÄNGNÄS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9704-2022</t>
        </is>
      </c>
      <c r="B3365" s="1" t="n">
        <v>44617</v>
      </c>
      <c r="C3365" s="1" t="n">
        <v>45761</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9753-2022</t>
        </is>
      </c>
      <c r="B3366" s="1" t="n">
        <v>44618</v>
      </c>
      <c r="C3366" s="1" t="n">
        <v>45761</v>
      </c>
      <c r="D3366" t="inlineStr">
        <is>
          <t>SÖDERMANLANDS LÄN</t>
        </is>
      </c>
      <c r="E3366" t="inlineStr">
        <is>
          <t>ESKILSTUNA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9786-2022</t>
        </is>
      </c>
      <c r="B3367" s="1" t="n">
        <v>44619</v>
      </c>
      <c r="C3367" s="1" t="n">
        <v>45761</v>
      </c>
      <c r="D3367" t="inlineStr">
        <is>
          <t>SÖDERMANLANDS LÄN</t>
        </is>
      </c>
      <c r="E3367" t="inlineStr">
        <is>
          <t>KATRINEHOLM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9842-2022</t>
        </is>
      </c>
      <c r="B3368" s="1" t="n">
        <v>44620</v>
      </c>
      <c r="C3368" s="1" t="n">
        <v>45761</v>
      </c>
      <c r="D3368" t="inlineStr">
        <is>
          <t>SÖDERMANLANDS LÄN</t>
        </is>
      </c>
      <c r="E3368" t="inlineStr">
        <is>
          <t>NYKÖPING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9861-2022</t>
        </is>
      </c>
      <c r="B3369" s="1" t="n">
        <v>44620</v>
      </c>
      <c r="C3369" s="1" t="n">
        <v>45761</v>
      </c>
      <c r="D3369" t="inlineStr">
        <is>
          <t>SÖDERMANLANDS LÄN</t>
        </is>
      </c>
      <c r="E3369" t="inlineStr">
        <is>
          <t>STRÄNGNÄS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9913-2022</t>
        </is>
      </c>
      <c r="B3370" s="1" t="n">
        <v>44620</v>
      </c>
      <c r="C3370" s="1" t="n">
        <v>45761</v>
      </c>
      <c r="D3370" t="inlineStr">
        <is>
          <t>SÖDERMANLANDS LÄN</t>
        </is>
      </c>
      <c r="E3370" t="inlineStr">
        <is>
          <t>NYKÖPING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9992-2022</t>
        </is>
      </c>
      <c r="B3371" s="1" t="n">
        <v>44621</v>
      </c>
      <c r="C3371" s="1" t="n">
        <v>45761</v>
      </c>
      <c r="D3371" t="inlineStr">
        <is>
          <t>SÖDERMANLANDS LÄN</t>
        </is>
      </c>
      <c r="E3371" t="inlineStr">
        <is>
          <t>KATRINEHOLM</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10341-2022</t>
        </is>
      </c>
      <c r="B3372" s="1" t="n">
        <v>44623</v>
      </c>
      <c r="C3372" s="1" t="n">
        <v>45761</v>
      </c>
      <c r="D3372" t="inlineStr">
        <is>
          <t>SÖDERMANLANDS LÄN</t>
        </is>
      </c>
      <c r="E3372" t="inlineStr">
        <is>
          <t>KATRINEHOLM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10388-2022</t>
        </is>
      </c>
      <c r="B3373" s="1" t="n">
        <v>44623</v>
      </c>
      <c r="C3373" s="1" t="n">
        <v>45761</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10438-2022</t>
        </is>
      </c>
      <c r="B3374" s="1" t="n">
        <v>44623</v>
      </c>
      <c r="C3374" s="1" t="n">
        <v>45761</v>
      </c>
      <c r="D3374" t="inlineStr">
        <is>
          <t>SÖDERMANLANDS LÄN</t>
        </is>
      </c>
      <c r="E3374" t="inlineStr">
        <is>
          <t>VINGÅKER</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10440-2022</t>
        </is>
      </c>
      <c r="B3375" s="1" t="n">
        <v>44623</v>
      </c>
      <c r="C3375" s="1" t="n">
        <v>45761</v>
      </c>
      <c r="D3375" t="inlineStr">
        <is>
          <t>SÖDERMANLANDS LÄN</t>
        </is>
      </c>
      <c r="E3375" t="inlineStr">
        <is>
          <t>VINGÅKER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10357-2022</t>
        </is>
      </c>
      <c r="B3376" s="1" t="n">
        <v>44623</v>
      </c>
      <c r="C3376" s="1" t="n">
        <v>45761</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10391-2022</t>
        </is>
      </c>
      <c r="B3377" s="1" t="n">
        <v>44623</v>
      </c>
      <c r="C3377" s="1" t="n">
        <v>45761</v>
      </c>
      <c r="D3377" t="inlineStr">
        <is>
          <t>SÖDERMANLANDS LÄN</t>
        </is>
      </c>
      <c r="E3377" t="inlineStr">
        <is>
          <t>STRÄNGNÄS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10435-2022</t>
        </is>
      </c>
      <c r="B3378" s="1" t="n">
        <v>44623</v>
      </c>
      <c r="C3378" s="1" t="n">
        <v>45761</v>
      </c>
      <c r="D3378" t="inlineStr">
        <is>
          <t>SÖDERMANLANDS LÄN</t>
        </is>
      </c>
      <c r="E3378" t="inlineStr">
        <is>
          <t>NYKÖPING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10413-2022</t>
        </is>
      </c>
      <c r="B3379" s="1" t="n">
        <v>44623</v>
      </c>
      <c r="C3379" s="1" t="n">
        <v>45761</v>
      </c>
      <c r="D3379" t="inlineStr">
        <is>
          <t>SÖDERMANLANDS LÄN</t>
        </is>
      </c>
      <c r="E3379" t="inlineStr">
        <is>
          <t>STRÄNGNÄS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10446-2022</t>
        </is>
      </c>
      <c r="B3380" s="1" t="n">
        <v>44623</v>
      </c>
      <c r="C3380" s="1" t="n">
        <v>45761</v>
      </c>
      <c r="D3380" t="inlineStr">
        <is>
          <t>SÖDERMANLANDS LÄN</t>
        </is>
      </c>
      <c r="E3380" t="inlineStr">
        <is>
          <t>STRÄNGNÄS</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10738-2022</t>
        </is>
      </c>
      <c r="B3381" s="1" t="n">
        <v>44624</v>
      </c>
      <c r="C3381" s="1" t="n">
        <v>45761</v>
      </c>
      <c r="D3381" t="inlineStr">
        <is>
          <t>SÖDERMANLANDS LÄN</t>
        </is>
      </c>
      <c r="E3381" t="inlineStr">
        <is>
          <t>FLEN</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10771-2022</t>
        </is>
      </c>
      <c r="B3382" s="1" t="n">
        <v>44624</v>
      </c>
      <c r="C3382" s="1" t="n">
        <v>45761</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10828-2022</t>
        </is>
      </c>
      <c r="B3383" s="1" t="n">
        <v>44624</v>
      </c>
      <c r="C3383" s="1" t="n">
        <v>45761</v>
      </c>
      <c r="D3383" t="inlineStr">
        <is>
          <t>SÖDERMANLANDS LÄN</t>
        </is>
      </c>
      <c r="E3383" t="inlineStr">
        <is>
          <t>FLEN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10827-2022</t>
        </is>
      </c>
      <c r="B3384" s="1" t="n">
        <v>44624</v>
      </c>
      <c r="C3384" s="1" t="n">
        <v>45761</v>
      </c>
      <c r="D3384" t="inlineStr">
        <is>
          <t>SÖDERMANLANDS LÄN</t>
        </is>
      </c>
      <c r="E3384" t="inlineStr">
        <is>
          <t>FLEN</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10745-2022</t>
        </is>
      </c>
      <c r="B3385" s="1" t="n">
        <v>44624</v>
      </c>
      <c r="C3385" s="1" t="n">
        <v>45761</v>
      </c>
      <c r="D3385" t="inlineStr">
        <is>
          <t>SÖDERMANLANDS LÄN</t>
        </is>
      </c>
      <c r="E3385" t="inlineStr">
        <is>
          <t>FLEN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10715-2022</t>
        </is>
      </c>
      <c r="B3386" s="1" t="n">
        <v>44626</v>
      </c>
      <c r="C3386" s="1" t="n">
        <v>45761</v>
      </c>
      <c r="D3386" t="inlineStr">
        <is>
          <t>SÖDERMANLANDS LÄN</t>
        </is>
      </c>
      <c r="E3386" t="inlineStr">
        <is>
          <t>ESKILSTUNA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10732-2022</t>
        </is>
      </c>
      <c r="B3387" s="1" t="n">
        <v>44627</v>
      </c>
      <c r="C3387" s="1" t="n">
        <v>45761</v>
      </c>
      <c r="D3387" t="inlineStr">
        <is>
          <t>SÖDERMANLANDS LÄN</t>
        </is>
      </c>
      <c r="E3387" t="inlineStr">
        <is>
          <t>KATRINEHOLM</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10873-2022</t>
        </is>
      </c>
      <c r="B3388" s="1" t="n">
        <v>44627</v>
      </c>
      <c r="C3388" s="1" t="n">
        <v>45761</v>
      </c>
      <c r="D3388" t="inlineStr">
        <is>
          <t>SÖDERMANLANDS LÄN</t>
        </is>
      </c>
      <c r="E3388" t="inlineStr">
        <is>
          <t>NYKÖPING</t>
        </is>
      </c>
      <c r="F3388" t="inlineStr">
        <is>
          <t>Övriga Aktiebolag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10996-2022</t>
        </is>
      </c>
      <c r="B3389" s="1" t="n">
        <v>44628</v>
      </c>
      <c r="C3389" s="1" t="n">
        <v>45761</v>
      </c>
      <c r="D3389" t="inlineStr">
        <is>
          <t>SÖDERMANLANDS LÄN</t>
        </is>
      </c>
      <c r="E3389" t="inlineStr">
        <is>
          <t>KATRINEHOLM</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11024-2022</t>
        </is>
      </c>
      <c r="B3390" s="1" t="n">
        <v>44628</v>
      </c>
      <c r="C3390" s="1" t="n">
        <v>45761</v>
      </c>
      <c r="D3390" t="inlineStr">
        <is>
          <t>SÖDERMANLANDS LÄN</t>
        </is>
      </c>
      <c r="E3390" t="inlineStr">
        <is>
          <t>KATRINEHOLM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11108-2022</t>
        </is>
      </c>
      <c r="B3391" s="1" t="n">
        <v>44628</v>
      </c>
      <c r="C3391" s="1" t="n">
        <v>45761</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11137-2022</t>
        </is>
      </c>
      <c r="B3392" s="1" t="n">
        <v>44628</v>
      </c>
      <c r="C3392" s="1" t="n">
        <v>45761</v>
      </c>
      <c r="D3392" t="inlineStr">
        <is>
          <t>SÖDERMANLANDS LÄN</t>
        </is>
      </c>
      <c r="E3392" t="inlineStr">
        <is>
          <t>ESKILSTUNA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11326-2022</t>
        </is>
      </c>
      <c r="B3393" s="1" t="n">
        <v>44629</v>
      </c>
      <c r="C3393" s="1" t="n">
        <v>45761</v>
      </c>
      <c r="D3393" t="inlineStr">
        <is>
          <t>SÖDERMANLANDS LÄN</t>
        </is>
      </c>
      <c r="E3393" t="inlineStr">
        <is>
          <t>VINGÅKER</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11443-2022</t>
        </is>
      </c>
      <c r="B3394" s="1" t="n">
        <v>44630</v>
      </c>
      <c r="C3394" s="1" t="n">
        <v>45761</v>
      </c>
      <c r="D3394" t="inlineStr">
        <is>
          <t>SÖDERMANLANDS LÄN</t>
        </is>
      </c>
      <c r="E3394" t="inlineStr">
        <is>
          <t>NYKÖPING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11446-2022</t>
        </is>
      </c>
      <c r="B3395" s="1" t="n">
        <v>44630</v>
      </c>
      <c r="C3395" s="1" t="n">
        <v>45761</v>
      </c>
      <c r="D3395" t="inlineStr">
        <is>
          <t>SÖDERMANLANDS LÄN</t>
        </is>
      </c>
      <c r="E3395" t="inlineStr">
        <is>
          <t>NYKÖPING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11507-2022</t>
        </is>
      </c>
      <c r="B3396" s="1" t="n">
        <v>44631</v>
      </c>
      <c r="C3396" s="1" t="n">
        <v>45761</v>
      </c>
      <c r="D3396" t="inlineStr">
        <is>
          <t>SÖDERMANLANDS LÄN</t>
        </is>
      </c>
      <c r="E3396" t="inlineStr">
        <is>
          <t>STRÄNGNÄS</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11728-2022</t>
        </is>
      </c>
      <c r="B3397" s="1" t="n">
        <v>44634</v>
      </c>
      <c r="C3397" s="1" t="n">
        <v>45761</v>
      </c>
      <c r="D3397" t="inlineStr">
        <is>
          <t>SÖDERMANLANDS LÄN</t>
        </is>
      </c>
      <c r="E3397" t="inlineStr">
        <is>
          <t>NYKÖPING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11705-2022</t>
        </is>
      </c>
      <c r="B3398" s="1" t="n">
        <v>44634</v>
      </c>
      <c r="C3398" s="1" t="n">
        <v>45761</v>
      </c>
      <c r="D3398" t="inlineStr">
        <is>
          <t>SÖDERMANLANDS LÄN</t>
        </is>
      </c>
      <c r="E3398" t="inlineStr">
        <is>
          <t>ESKILSTUNA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11796-2022</t>
        </is>
      </c>
      <c r="B3399" s="1" t="n">
        <v>44634</v>
      </c>
      <c r="C3399" s="1" t="n">
        <v>45761</v>
      </c>
      <c r="D3399" t="inlineStr">
        <is>
          <t>SÖDERMANLANDS LÄN</t>
        </is>
      </c>
      <c r="E3399" t="inlineStr">
        <is>
          <t>ESKILSTUNA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11929-2022</t>
        </is>
      </c>
      <c r="B3400" s="1" t="n">
        <v>44635</v>
      </c>
      <c r="C3400" s="1" t="n">
        <v>45761</v>
      </c>
      <c r="D3400" t="inlineStr">
        <is>
          <t>SÖDERMANLANDS LÄN</t>
        </is>
      </c>
      <c r="E3400" t="inlineStr">
        <is>
          <t>GNESTA</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12072-2022</t>
        </is>
      </c>
      <c r="B3401" s="1" t="n">
        <v>44636</v>
      </c>
      <c r="C3401" s="1" t="n">
        <v>45761</v>
      </c>
      <c r="D3401" t="inlineStr">
        <is>
          <t>SÖDERMANLANDS LÄN</t>
        </is>
      </c>
      <c r="E3401" t="inlineStr">
        <is>
          <t>ESKILSTUNA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12172-2022</t>
        </is>
      </c>
      <c r="B3402" s="1" t="n">
        <v>44636</v>
      </c>
      <c r="C3402" s="1" t="n">
        <v>45761</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12116-2022</t>
        </is>
      </c>
      <c r="B3403" s="1" t="n">
        <v>44636</v>
      </c>
      <c r="C3403" s="1" t="n">
        <v>45761</v>
      </c>
      <c r="D3403" t="inlineStr">
        <is>
          <t>SÖDERMANLANDS LÄN</t>
        </is>
      </c>
      <c r="E3403" t="inlineStr">
        <is>
          <t>FLEN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12171-2022</t>
        </is>
      </c>
      <c r="B3404" s="1" t="n">
        <v>44636</v>
      </c>
      <c r="C3404" s="1" t="n">
        <v>45761</v>
      </c>
      <c r="D3404" t="inlineStr">
        <is>
          <t>SÖDERMANLANDS LÄN</t>
        </is>
      </c>
      <c r="E3404" t="inlineStr">
        <is>
          <t>FLEN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12174-2022</t>
        </is>
      </c>
      <c r="B3405" s="1" t="n">
        <v>44636</v>
      </c>
      <c r="C3405" s="1" t="n">
        <v>45761</v>
      </c>
      <c r="D3405" t="inlineStr">
        <is>
          <t>SÖDERMANLANDS LÄN</t>
        </is>
      </c>
      <c r="E3405" t="inlineStr">
        <is>
          <t>FLEN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12277-2022</t>
        </is>
      </c>
      <c r="B3406" s="1" t="n">
        <v>44637</v>
      </c>
      <c r="C3406" s="1" t="n">
        <v>45761</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12306-2022</t>
        </is>
      </c>
      <c r="B3407" s="1" t="n">
        <v>44637</v>
      </c>
      <c r="C3407" s="1" t="n">
        <v>45761</v>
      </c>
      <c r="D3407" t="inlineStr">
        <is>
          <t>SÖDERMANLANDS LÄN</t>
        </is>
      </c>
      <c r="E3407" t="inlineStr">
        <is>
          <t>FLEN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45761</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45761</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45761</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45761</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45761</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45761</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45761</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45761</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45761</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45761</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45761</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45761</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45761</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45761</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45761</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45761</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45761</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45761</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45761</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45761</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45761</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45761</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45761</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45761</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45761</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45761</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45761</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45761</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45761</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45761</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45761</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45761</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45761</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45761</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45761</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45761</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45761</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45761</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45761</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45761</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45761</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45761</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45761</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45761</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45761</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45761</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45761</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45761</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45761</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45761</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45761</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45761</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45761</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45761</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45761</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45761</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45761</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45761</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45761</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45761</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45761</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45761</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45761</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45761</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45761</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45761</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45761</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45761</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45761</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45761</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45761</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45761</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45761</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45761</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45761</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45761</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45761</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45761</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45761</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45761</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45761</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45761</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45761</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45761</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45761</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45761</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45761</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45761</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45761</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45761</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45761</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45761</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45761</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45761</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45761</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45761</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45761</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45761</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45761</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45761</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45761</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45761</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45761</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45761</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45761</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45761</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45761</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45761</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45761</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45761</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45761</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45761</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45761</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45761</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45761</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45761</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45761</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45761</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45761</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45761</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45761</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45761</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45761</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45761</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45761</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45761</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45761</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45761</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45761</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45761</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45761</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45761</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45761</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45761</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45761</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45761</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45761</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45761</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45761</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45761</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45761</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45761</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45761</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45761</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45761</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45761</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45761</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45761</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45761</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45761</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45761</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45761</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45761</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45761</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45761</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45761</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45761</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45761</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45761</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45761</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45761</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45761</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45761</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45761</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45761</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45761</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45761</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45761</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45761</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45761</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45761</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45761</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45761</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45761</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45761</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45761</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45761</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45761</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45761</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45761</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45761</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45761</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45761</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45761</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45761</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45761</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45761</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45761</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45761</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45761</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45761</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45761</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45761</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45761</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45761</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45761</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45761</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45761</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45761</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45761</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45761</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45761</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45761</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45761</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45761</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45761</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45761</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45761</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45761</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45761</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45761</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45761</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45761</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45761</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45761</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45761</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45761</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45761</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45761</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45761</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45761</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45761</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45761</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45761</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45761</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45761</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45761</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45761</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45761</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45761</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45761</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45761</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45761</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45761</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45761</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45761</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45761</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45761</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45761</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45761</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45761</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45761</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45761</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45761</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45761</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45761</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45761</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45761</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45761</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45761</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45761</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45761</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45761</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45761</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45761</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45761</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45761</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45761</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45761</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45761</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45761</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45761</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45761</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45761</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45761</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45761</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45761</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45761</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45761</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45761</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45761</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45761</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45761</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45761</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45761</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45761</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45761</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45761</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45761</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45761</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45761</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45761</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45761</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45761</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45761</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45761</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45761</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45761</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45761</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45761</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45761</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45761</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45761</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45761</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45761</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45761</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45761</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45761</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45761</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45761</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45761</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45761</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45761</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45761</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45761</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45761</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45761</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45761</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45761</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45761</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45761</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45761</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45761</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45761</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45761</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45761</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45761</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45761</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45761</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45761</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45761</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45761</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45761</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45761</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45761</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45761</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45761</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45761</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45761</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45761</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45761</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45761</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45761</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45761</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45761</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45761</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45761</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45761</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45761</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45761</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45761</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45761</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45761</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45761</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45761</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45761</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45761</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45761</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45761</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45761</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45761</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45761</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45761</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45761</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45761</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45761</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45761</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45761</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45761</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45761</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45761</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45761</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45761</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45761</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45761</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45761</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45761</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45761</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45761</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45761</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45761</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45761</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45761</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45761</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45761</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45761</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45761</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45761</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45761</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45761</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45761</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45761</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45761</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45761</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45761</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45761</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45761</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45761</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45761</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45761</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45761</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45761</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45761</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45761</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45761</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45761</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45761</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45761</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45761</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45761</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45761</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45761</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45761</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45761</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45761</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45761</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45761</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45761</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45761</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45761</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45761</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45761</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45761</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45761</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45761</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45761</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45761</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45761</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45761</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45761</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45761</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45761</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45761</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45761</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45761</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45761</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45761</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45761</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45761</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45761</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45761</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45761</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45761</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45761</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45761</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45761</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45761</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45761</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45761</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45761</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45761</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45761</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45761</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45761</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45761</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45761</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45761</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45761</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45761</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45761</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45761</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45761</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45761</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45761</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45761</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45761</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45761</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45761</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45761</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45761</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45761</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45761</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45761</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45761</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45761</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45761</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45761</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45761</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45761</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45761</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45761</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45761</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45761</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45761</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45761</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45761</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45761</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45761</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45761</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45761</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45761</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45761</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45761</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45761</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45761</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45761</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45761</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45761</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45761</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45761</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45761</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45761</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45761</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45761</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45761</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45761</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45761</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45761</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45761</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45761</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45761</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45761</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45761</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45761</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45761</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45761</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45761</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45761</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45761</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45761</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45761</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45761</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45761</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45761</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45761</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45761</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45761</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45761</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45761</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45761</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45761</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45761</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45761</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45761</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45761</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45761</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45761</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45761</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45761</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45761</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45761</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45761</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45761</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45761</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45761</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45761</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45761</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45761</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45761</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45761</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45761</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45761</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45761</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45761</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45761</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45761</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45761</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45761</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45761</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45761</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45761</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45761</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45761</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45761</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45761</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45761</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45761</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45761</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45761</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45761</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45761</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45761</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45761</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45761</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45761</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45761</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45761</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45761</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45761</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45761</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45761</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45761</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45761</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45761</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45761</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45761</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45761</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45761</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45761</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45761</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45761</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45761</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45761</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45761</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45761</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45761</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45761</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45761</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45761</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45761</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45761</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45761</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45761</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45761</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45761</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45761</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45761</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45761</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45761</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45761</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45761</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45761</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45761</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45761</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45761</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45761</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45761</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45761</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45761</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45761</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45761</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45761</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45761</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45761</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45761</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45761</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45761</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45761</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45761</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45761</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45761</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45761</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45761</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45761</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45761</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45761</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45761</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45761</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45761</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45761</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45761</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45761</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45761</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45761</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45761</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45761</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45761</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45761</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45761</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45761</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45761</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45761</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45761</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45761</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45761</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45761</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45761</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45761</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45761</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45761</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45761</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45761</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45761</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45761</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45761</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45761</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45761</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45761</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45761</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45761</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45761</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45761</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45761</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45761</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45761</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45761</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45761</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45761</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45761</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45761</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45761</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45761</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45761</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45761</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45761</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45761</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45761</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45761</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45761</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45761</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45761</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45761</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45761</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45761</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45761</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45761</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45761</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45761</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45761</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45761</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45761</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45761</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45761</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45761</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45761</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45761</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45761</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45761</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45761</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45761</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45761</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45761</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45761</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45761</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45761</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45761</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45761</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45761</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45761</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45761</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45761</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45761</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45761</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45761</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45761</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45761</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45761</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45761</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45761</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45761</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45761</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45761</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45761</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45761</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45761</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45761</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45761</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45761</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45761</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45761</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45761</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45761</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45761</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45761</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45761</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45761</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45761</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45761</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45761</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45761</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45761</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45761</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45761</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45761</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45761</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45761</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45761</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45761</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45761</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45761</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45761</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45761</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45761</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45761</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45761</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45761</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45761</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45761</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45761</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45761</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45761</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45761</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45761</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45761</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45761</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45761</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45761</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45761</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45761</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45761</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45761</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45761</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45761</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45761</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45761</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45761</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45761</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45761</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45761</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45761</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45761</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45761</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45761</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45761</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45761</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45761</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45761</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45761</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45761</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45761</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45761</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45761</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45761</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45761</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45761</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45761</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45761</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45761</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45761</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45761</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45761</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45761</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45761</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45761</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45761</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45761</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45761</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45761</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45761</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45761</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45761</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45761</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45761</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45761</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45761</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45761</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45761</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45761</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45761</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45761</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45761</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45761</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45761</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45761</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45761</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45761</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45761</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45761</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45761</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45761</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45761</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45761</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45761</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45761</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45761</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45761</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45761</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45761</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45761</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45761</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45761</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45761</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45761</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45761</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45761</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45761</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45761</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45761</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45761</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45761</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45761</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45761</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45761</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45761</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45761</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45761</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45761</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45761</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45761</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45761</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45761</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45761</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45761</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45761</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45761</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45761</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45761</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45761</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45761</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45761</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45761</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45761</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45761</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45761</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45761</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45761</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45761</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45761</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45761</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45761</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45761</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45761</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45761</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45761</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45761</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45761</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45761</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45761</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45761</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45761</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45761</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45761</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45761</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45761</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45761</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45761</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45761</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45761</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45761</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45761</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45761</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45761</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45761</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45761</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45761</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45761</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45761</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45761</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45761</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45761</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45761</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45761</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45761</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45761</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45761</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45761</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45761</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45761</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45761</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45761</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45761</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45761</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45761</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45761</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45761</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45761</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45761</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45761</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45761</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45761</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45761</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45761</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45761</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45761</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45761</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45761</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45761</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45761</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45761</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45761</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45761</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45761</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45761</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45761</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45761</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45761</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45761</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45761</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45761</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45761</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45761</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45761</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45761</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45761</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45761</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45761</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45761</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45761</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45761</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45761</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45761</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45761</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45761</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45761</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45761</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45761</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45761</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45761</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45761</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45761</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45761</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45761</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45761</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45761</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45761</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45761</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45761</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45761</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45761</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45761</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45761</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45761</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45761</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45761</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45761</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45761</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45761</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45761</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45761</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45761</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45761</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45761</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45761</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45761</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45761</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45761</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45761</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45761</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45761</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45761</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45761</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45761</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45761</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45761</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45761</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45761</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45761</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45761</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45761</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45761</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45761</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45761</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45761</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45761</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45761</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45761</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45761</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45761</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45761</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45761</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45761</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45761</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45761</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45761</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45761</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45761</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45761</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45761</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45761</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45761</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45761</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45761</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45761</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45761</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45761</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45761</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45761</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45761</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45761</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45761</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45761</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45761</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45761</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45761</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45761</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45761</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45761</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45761</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45761</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45761</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45761</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45761</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45761</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45761</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45761</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45761</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45761</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45761</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45761</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45761</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45761</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45761</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45761</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45761</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45761</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45761</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45761</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45761</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45761</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45761</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45761</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45761</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45761</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45761</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45761</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45761</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45761</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45761</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45761</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45761</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45761</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45761</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45761</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45761</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45761</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45761</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45761</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45761</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45761</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45761</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45761</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45761</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45761</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45761</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45761</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45761</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45761</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45761</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45761</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45761</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45761</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45761</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45761</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45761</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45761</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45761</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45761</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45761</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45761</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45761</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45761</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45761</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45761</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45761</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45761</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45761</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45761</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45761</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45761</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45761</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45761</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45761</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45761</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45761</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45761</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45761</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45761</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45761</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45761</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45761</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45761</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45761</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45761</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45761</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45761</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45761</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45761</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45761</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45761</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45761</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45761</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45761</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45761</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45761</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45761</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45761</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45761</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45761</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45761</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45761</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45761</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45761</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45761</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45761</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45761</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45761</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45761</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45761</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45761</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45761</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45761</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45761</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45761</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45761</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45761</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45761</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45761</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45761</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45761</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45761</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45761</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45761</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45761</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45761</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45761</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45761</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45761</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45761</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45761</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45761</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45761</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45761</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45761</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45761</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45761</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45761</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45761</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45761</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45761</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45761</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45761</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45761</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45761</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45761</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45761</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45761</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45761</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45761</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45761</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45761</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45761</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45761</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45761</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45761</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45761</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45761</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45761</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45761</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45761</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45761</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45761</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45761</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45761</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45761</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45761</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45761</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45761</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45761</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45761</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45761</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45761</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45761</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45761</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45761</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45761</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45761</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45761</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45761</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45761</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45761</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45761</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45761</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45761</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45761</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45761</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45761</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45761</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45761</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45761</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45761</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45761</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45761</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45761</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45761</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45761</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45761</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45761</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45761</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45761</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45761</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45761</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45761</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45761</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45761</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45761</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45761</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45761</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45761</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45761</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45761</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45761</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45761</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45761</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45761</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45761</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45761</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45761</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45761</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45761</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45761</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45761</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45761</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45761</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45761</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45761</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45761</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45761</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45761</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45761</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45761</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45761</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45761</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45761</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45761</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45761</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45761</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45761</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45761</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45761</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45761</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45761</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45761</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45761</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45761</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45761</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45761</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45761</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45761</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45761</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45761</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45761</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45761</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45761</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45761</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45761</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45761</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45761</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45761</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45761</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45761</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45761</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45761</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45761</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45761</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45761</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45761</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45761</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45761</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45761</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45761</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45761</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45761</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45761</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45761</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45761</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45761</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45761</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45761</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45761</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45761</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45761</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45761</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45761</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45761</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45761</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45761</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45761</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45761</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45761</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45761</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45761</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45761</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45761</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45761</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45761</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45761</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45761</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45761</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45761</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45761</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45761</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45761</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45761</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45761</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45761</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45761</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45761</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45761</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45761</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45761</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45761</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45761</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45761</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45761</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45761</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45761</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45761</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45761</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45761</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45761</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45761</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45761</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45761</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45761</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45761</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45761</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45761</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45761</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45761</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45761</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45761</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45761</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45761</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45761</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45761</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45761</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45761</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45761</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45761</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45761</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45761</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45761</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45761</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45761</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45761</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45761</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45761</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45761</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45761</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45761</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45761</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45761</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45761</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45761</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45761</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45761</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45761</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45761</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45761</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45761</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45761</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45761</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45761</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45761</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45761</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45761</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45761</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45761</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45761</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45761</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45761</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45761</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45761</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45761</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45761</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45761</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45761</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45761</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45761</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45761</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45761</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45761</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45761</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45761</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45761</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45761</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45761</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45761</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45761</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45761</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45761</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45761</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45761</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45761</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45761</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45761</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45761</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45761</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45761</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45761</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45761</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45761</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45761</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45761</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45761</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45761</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45761</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45761</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45761</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45761</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45761</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45761</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45761</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45761</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45761</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45761</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45761</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45761</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45761</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45761</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45761</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45761</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45761</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45761</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45761</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45761</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45761</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45761</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45761</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45761</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45761</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45761</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45761</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45761</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45761</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45761</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45761</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45761</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45761</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45761</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45761</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45761</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45761</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45761</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45761</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45761</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45761</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45761</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45761</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45761</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45761</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45761</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45761</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45761</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45761</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45761</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45761</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45761</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45761</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45761</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45761</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45761</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45761</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45761</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45761</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45761</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45761</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45761</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45761</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45761</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45761</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45761</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45761</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45761</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45761</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45761</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45761</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45761</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45761</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45761</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45761</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45761</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45761</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45761</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45761</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45761</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45761</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45761</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45761</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45761</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45761</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45761</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45761</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45761</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45761</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45761</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45761</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45761</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45761</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45761</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45761</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45761</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45761</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45761</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45761</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45761</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45761</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45761</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45761</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45761</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45761</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45761</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45761</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45761</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45761</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45761</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45761</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45761</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45761</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45761</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45761</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45761</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45761</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45761</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45761</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45761</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45761</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45761</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45761</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45761</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45761</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45761</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45761</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45761</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45761</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45761</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45761</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45761</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45761</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45761</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45761</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45761</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45761</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45761</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45761</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45761</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45761</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45761</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45761</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45761</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45761</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45761</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45761</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45761</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45761</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45761</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45761</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45761</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45761</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45761</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45761</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45761</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45761</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45761</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45761</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45761</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45761</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45761</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45761</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45761</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45761</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45761</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45761</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45761</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45761</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45761</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45761</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45761</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45761</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45761</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45761</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45761</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45761</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45761</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45761</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45761</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45761</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45761</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45761</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45761</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45761</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45761</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45761</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45761</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45761</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45761</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45761</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45761</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45761</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45761</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45761</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45761</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45761</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45761</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45761</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45761</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45761</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45761</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45761</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45761</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45761</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45761</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45761</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45761</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45761</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45761</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45761</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45761</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45761</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45761</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45761</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45761</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45761</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45761</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45761</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45761</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45761</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45761</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45761</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45761</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45761</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45761</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45761</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45761</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45761</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45761</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45761</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45761</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45761</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45761</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45761</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45761</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45761</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45761</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45761</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45761</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45761</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45761</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45761</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45761</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45761</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45761</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45761</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45761</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45761</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45761</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45761</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45761</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45761</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45761</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45761</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45761</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45761</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45761</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45761</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45761</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45761</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45761</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45761</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45761</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45761</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45761</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45761</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45761</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45761</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45761</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45761</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45761</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45761</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45761</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45761</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45761</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45761</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45761</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45761</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45761</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45761</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45761</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45761</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45761</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45761</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45761</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45761</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45761</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45761</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45761</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45761</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45761</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45761</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45761</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45761</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45761</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45761</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45761</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45761</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45761</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45761</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45761</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45761</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45761</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45761</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45761</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45761</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45761</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45761</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45761</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45761</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45761</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45761</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45761</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45761</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45761</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45761</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45761</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45761</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45761</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45761</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45761</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45761</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45761</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45761</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45761</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45761</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45761</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45761</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45761</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45761</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45761</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45761</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45761</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45761</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45761</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45761</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45761</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45761</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45761</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45761</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45761</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45761</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45761</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45761</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45761</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45761</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45761</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45761</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45761</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45761</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45761</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45761</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45761</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45761</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45761</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45761</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45761</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45761</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45761</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45761</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45761</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45761</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45761</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45761</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45761</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45761</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45761</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45761</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45761</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45761</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45761</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45761</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45761</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45761</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45761</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45761</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45761</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45761</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45761</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45761</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45761</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45761</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45761</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45761</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45761</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45761</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45761</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45761</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45761</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45761</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45761</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45761</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45761</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45761</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45761</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45761</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45761</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45761</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45761</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45761</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45761</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45761</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45761</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45761</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45761</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45761</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45761</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45761</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45761</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45761</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45761</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45761</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45761</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45761</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45761</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45761</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45761</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45761</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45761</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45761</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45761</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45761</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45761</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45761</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45761</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45761</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45761</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45761</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45761</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45761</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45761</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45761</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45761</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45761</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45761</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45761</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45761</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45761</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45761</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45761</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45761</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45761</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45761</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45761</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45761</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45761</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45761</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45761</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45761</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45761</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45761</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45761</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45761</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45761</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45761</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45761</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45761</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45761</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45761</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45761</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45761</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45761</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45761</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45761</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45761</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45761</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45761</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45761</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45761</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45761</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45761</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45761</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45761</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45761</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45761</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45761</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45761</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45761</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45761</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45761</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45761</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45761</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45761</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45761</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45761</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45761</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45761</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45761</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45761</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45761</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45761</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45761</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45761</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45761</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45761</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45761</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45761</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45761</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45761</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45761</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45761</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45761</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45761</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45761</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45761</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45761</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45761</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45761</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45761</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45761</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45761</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45761</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45761</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45761</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45761</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45761</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45761</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45761</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45761</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45761</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45761</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45761</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45761</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45761</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45761</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45761</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45761</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45761</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45761</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45761</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45761</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45761</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45761</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45761</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45761</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45761</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45761</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45761</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45761</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45761</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45761</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45761</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45761</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45761</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45761</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45761</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45761</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45761</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45761</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45761</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45761</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45761</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45761</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45761</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45761</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45761</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45761</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45761</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45761</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45761</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45761</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45761</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45761</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45761</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45761</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45761</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45761</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45761</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45761</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45761</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45761</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45761</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45761</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45761</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45761</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45761</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45761</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45761</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45761</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45761</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45761</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45761</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45761</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45761</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45761</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45761</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45761</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45761</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45761</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45761</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45761</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45761</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45761</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45761</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45761</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45761</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45761</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45761</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45761</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45761</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45761</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45761</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45761</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45761</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45761</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45761</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45761</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45761</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45761</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45761</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45761</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45761</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45761</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45761</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45761</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45761</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45761</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45761</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45761</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45761</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45761</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45761</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45761</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45761</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45761</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45761</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45761</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45761</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45761</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45761</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45761</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45761</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45761</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45761</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45761</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45761</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45761</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45761</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45761</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45761</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45761</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45761</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45761</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45761</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45761</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45761</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45761</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45761</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45761</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45761</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45761</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45761</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45761</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45761</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45761</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45761</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45761</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45761</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45761</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45761</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45761</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45761</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45761</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45761</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45761</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45761</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45761</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45761</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45761</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45761</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45761</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45761</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45761</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45761</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45761</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45761</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45761</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45761</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45761</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45761</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45761</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45761</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45761</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45761</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45761</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45761</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45761</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45761</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45761</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45761</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45761</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45761</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45761</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45761</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45761</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45761</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45761</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45761</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45761</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45761</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45761</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45761</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45761</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45761</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45761</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45761</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45761</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45761</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45761</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45761</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45761</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45761</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45761</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45761</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45761</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45761</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45761</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45761</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45761</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45761</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45761</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45761</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45761</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45761</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45761</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45761</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45761</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45761</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45761</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45761</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45761</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45761</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45761</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45761</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45761</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45761</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45761</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45761</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45761</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45761</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45761</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45761</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45761</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45761</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45761</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45761</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45761</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45761</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45761</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45761</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45761</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45761</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45761</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45761</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45761</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45761</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45761</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45761</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45761</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45761</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45761</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45761</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45761</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45761</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45761</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45761</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45761</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45761</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45761</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45761</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45761</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45761</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45761</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45761</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45761</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45761</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45761</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45761</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45761</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45761</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45761</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45761</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45761</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45761</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45761</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45761</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45761</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45761</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45761</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45761</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45761</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45761</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45761</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45761</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45761</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45761</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45761</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45761</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45761</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45761</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45761</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45761</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45761</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45761</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45761</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45761</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45761</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45761</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45761</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45761</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45761</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45761</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45761</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45761</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45761</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45761</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45761</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45761</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45761</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45761</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45761</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45761</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45761</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45761</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45761</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45761</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45761</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45761</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45761</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45761</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45761</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45761</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45761</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45761</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45761</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45761</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45761</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45761</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45761</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45761</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45761</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45761</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45761</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45761</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45761</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45761</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45761</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45761</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45761</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45761</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45761</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45761</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45761</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45761</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45761</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45761</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45761</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45761</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45761</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45761</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45761</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45761</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45761</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45761</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45761</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45761</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45761</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45761</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45761</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45761</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45761</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45761</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45761</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45761</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45761</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45761</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45761</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45761</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45761</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45761</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45761</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45761</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45761</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45761</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45761</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45761</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45761</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45761</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45761</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45761</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45761</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45761</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45761</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45761</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45761</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45761</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45761</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45761</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45761</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45761</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45761</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45761</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45761</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45761</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45761</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45761</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45761</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45761</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45761</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45761</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45761</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45761</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45761</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45761</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45761</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45761</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45761</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45761</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45761</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45761</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45761</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45761</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45761</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45761</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45761</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45761</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45761</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45761</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45761</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45761</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45761</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45761</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45761</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45761</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45761</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45761</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45761</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45761</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45761</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45761</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45761</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45761</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45761</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45761</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45761</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45761</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45761</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45761</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45761</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45761</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45761</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45761</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45761</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45761</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45761</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45761</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45761</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45761</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45761</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45761</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45761</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45761</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45761</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45761</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45761</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45761</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45761</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45761</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45761</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45761</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45761</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45761</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45761</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45761</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45761</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45761</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45761</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45761</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45761</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45761</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45761</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45761</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45761</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45761</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45761</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45761</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45761</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45761</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45761</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45761</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45761</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45761</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45761</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45761</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45761</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45761</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45761</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45761</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45761</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45761</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45761</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45761</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45761</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45761</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45761</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45761</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45761</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45761</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45761</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45761</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45761</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45761</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45761</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45761</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45761</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45761</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45761</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45761</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45761</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45761</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45761</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45761</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45761</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45761</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45761</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45761</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45761</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45761</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45761</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45761</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45761</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45761</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45761</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45761</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45761</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45761</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45761</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45761</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45761</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45761</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45761</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45761</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45761</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45761</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45761</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45761</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45761</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45761</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45761</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45761</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45761</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45761</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45761</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45761</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45761</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45761</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45761</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45761</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45761</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45761</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45761</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45761</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45761</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45761</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45761</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45761</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45761</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45761</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45761</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45761</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45761</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45761</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45761</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45761</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45761</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45761</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45761</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45761</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45761</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45761</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45761</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45761</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45761</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45761</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45761</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45761</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45761</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45761</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45761</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45761</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45761</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45761</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45761</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45761</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45761</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45761</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45761</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45761</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45761</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45761</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45761</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45761</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45761</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45761</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45761</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45761</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45761</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45761</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45761</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45761</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45761</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45761</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45761</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45761</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45761</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45761</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45761</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45761</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45761</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45761</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45761</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45761</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45761</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45761</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45761</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45761</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45761</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45761</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45761</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45761</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45761</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45761</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45761</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45761</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45761</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45761</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45761</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45761</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45761</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45761</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45761</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45761</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45761</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45761</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45761</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45761</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45761</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45761</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45761</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45761</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45761</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45761</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45761</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45761</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45761</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45761</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45761</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45761</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45761</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45761</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45761</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45761</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45761</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45761</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45761</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45761</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45761</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45761</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45761</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45761</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45761</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45761</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45761</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45761</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45761</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45761</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45761</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45761</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45761</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45761</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45761</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45761</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45761</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45761</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45761</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45761</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45761</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45761</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45761</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45761</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45761</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45761</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45761</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45761</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45761</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45761</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45761</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45761</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45761</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45761</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45761</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45761</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45761</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45761</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45761</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45761</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45761</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45761</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45761</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45761</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45761</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45761</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45761</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45761</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45761</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45761</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45761</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45761</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45761</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45761</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45761</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45761</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45761</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45761</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45761</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45761</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45761</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45761</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45761</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45761</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45761</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45761</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45761</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45761</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45761</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45761</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45761</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45761</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45761</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45761</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45761</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45761</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45761</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45761</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45761</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45761</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45761</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45761</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45761</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45761</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45761</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45761</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45761</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45761</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45761</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45761</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45761</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45761</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45761</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45761</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45761</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45761</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45761</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45761</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45761</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45761</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45761</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45761</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45761</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45761</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45761</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45761</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45761</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45761</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45761</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45761</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45761</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45761</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45761</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45761</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45761</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45761</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45761</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45761</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45761</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45761</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45761</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45761</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45761</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45761</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45761</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45761</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45761</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45761</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45761</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45761</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45761</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45761</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45761</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45761</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45761</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45761</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45761</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45761</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45761</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45761</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45761</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45761</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45761</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45761</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45761</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45761</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45761</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45761</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45761</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45761</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45761</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45761</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45761</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45761</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45761</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45761</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45761</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45761</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45761</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45761</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45761</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45761</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45761</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45761</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45761</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45761</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45761</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45761</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45761</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45761</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45761</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45761</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45761</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45761</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45761</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45761</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45761</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45761</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45761</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45761</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45761</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45761</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45761</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45761</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45761</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45761</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45761</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45761</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45761</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45761</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45761</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45761</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45761</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45761</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45761</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45761</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45761</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45761</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45761</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45761</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45761</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45761</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45761</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45761</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45761</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45761</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45761</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45761</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45761</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45761</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45761</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45761</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45761</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45761</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45761</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45761</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45761</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45761</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45761</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45761</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45761</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45761</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45761</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45761</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45761</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45761</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45761</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45761</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45761</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45761</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45761</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45761</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45761</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45761</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45761</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45761</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45761</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45761</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45761</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45761</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45761</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45761</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45761</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45761</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45761</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45761</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45761</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45761</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45761</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45761</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45761</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45761</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45761</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45761</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45761</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45761</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45761</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45761</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45761</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45761</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45761</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45761</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45761</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45761</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45761</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45761</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45761</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45761</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45761</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45761</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45761</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45761</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45761</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45761</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45761</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45761</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45761</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45761</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45761</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45761</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45761</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45761</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45761</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45761</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45761</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45761</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45761</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45761</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45761</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45761</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45761</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45761</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45761</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45761</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45761</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45761</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45761</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45761</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45761</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45761</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45761</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45761</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45761</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45761</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45761</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45761</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45761</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45761</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45761</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45761</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45761</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45761</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45761</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45761</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45761</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45761</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45761</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45761</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45761</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45761</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45761</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45761</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45761</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45761</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45761</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45761</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45761</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45761</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45761</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45761</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45761</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45761</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45761</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45761</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45761</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45761</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45761</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45761</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45761</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45761</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45761</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45761</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45761</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45761</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45761</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45761</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45761</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45761</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45761</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45761</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45761</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45761</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45761</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45761</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45761</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45761</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45761</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45761</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45761</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45761</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45761</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45761</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45761</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45761</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45761</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45761</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45761</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45761</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45761</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45761</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45761</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45761</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45761</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45761</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45761</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45761</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45761</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45761</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45761</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45761</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45761</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45761</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45761</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45761</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45761</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45761</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45761</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45761</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45761</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45761</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45761</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45761</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45761</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45761</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45761</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45761</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45761</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45761</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45761</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45761</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45761</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45761</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45761</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45761</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45761</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45761</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45761</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45761</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45761</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45761</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45761</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45761</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45761</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45761</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45761</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45761</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45761</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45761</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45761</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45761</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45761</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45761</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45761</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45761</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45761</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45761</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45761</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45761</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45761</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45761</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45761</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45761</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45761</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45761</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45761</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45761</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45761</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45761</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45761</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45761</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45761</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45761</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45761</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45761</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45761</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45761</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45761</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45761</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45761</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45761</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45761</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45761</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45761</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45761</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45761</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45761</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45761</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45761</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45761</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45761</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45761</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45761</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45761</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45761</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45761</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45761</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45761</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45761</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45761</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45761</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45761</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45761</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45761</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45761</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45761</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45761</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45761</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45761</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45761</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45761</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45761</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45761</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45761</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45761</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45761</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45761</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45761</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45761</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45761</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45761</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45761</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45761</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45761</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45761</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45761</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45761</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45761</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45761</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45761</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45761</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45761</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45761</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45761</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45761</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45761</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45761</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45761</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45761</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45761</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45761</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45761</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45761</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45761</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45761</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45761</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45761</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45761</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45761</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45761</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45761</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45761</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45761</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45761</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45761</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45761</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45761</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45761</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45761</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45761</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45761</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45761</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45761</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45761</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45761</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45761</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45761</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45761</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45761</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45761</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45761</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45761</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45761</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45761</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45761</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45761</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45761</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45761</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45761</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45761</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45761</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45761</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45761</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45761</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45761</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45761</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45761</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45761</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45761</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45761</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45761</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45761</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45761</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45761</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45761</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45761</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45761</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45761</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45761</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45761</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45761</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45761</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45761</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45761</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45761</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45761</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45761</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45761</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45761</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45761</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45761</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45761</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45761</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45761</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45761</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45761</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45761</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45761</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45761</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45761</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45761</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45761</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45761</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45761</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45761</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45761</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45761</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45761</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45761</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45761</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45761</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45761</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45761</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45761</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45761</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45761</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45761</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45761</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45761</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45761</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45761</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45761</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45761</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45761</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45761</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45761</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45761</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45761</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45761</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45761</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45761</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45761</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45761</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45761</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45761</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45761</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45761</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45761</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45761</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45761</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45761</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45761</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45761</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45761</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45761</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45761</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45761</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45761</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45761</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45761</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45761</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45761</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45761</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45761</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45761</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45761</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45761</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45761</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45761</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45761</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45761</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45761</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45761</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45761</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45761</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45761</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45761</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45761</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45761</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45761</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45761</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45761</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45761</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45761</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45761</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45761</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45761</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45761</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45761</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45761</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45761</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45761</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45761</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45761</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45761</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45761</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45761</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45761</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45761</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45761</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45761</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45761</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45761</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45761</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45761</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45761</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45761</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45761</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45761</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45761</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45761</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45761</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45761</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45761</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45761</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45761</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45761</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45761</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45761</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45761</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45761</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45761</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45761</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45761</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45761</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45761</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45761</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45761</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45761</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45761</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45761</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45761</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45761</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45761</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45761</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45761</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45761</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45761</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45761</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45761</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45761</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45761</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45761</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45761</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45761</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45761</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45761</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45761</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45761</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45761</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45761</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45761</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45761</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45761</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45761</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45761</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45761</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45761</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45761</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45761</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45761</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45761</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45761</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45761</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45761</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45761</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45761</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45761</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45761</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45761</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45761</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45761</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45761</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45761</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45761</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45761</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45761</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45761</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45761</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45761</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45761</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45761</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45761</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45761</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45761</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45761</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45761</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45761</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45761</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45761</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45761</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45761</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45761</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45761</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45761</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45761</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45761</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45761</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45761</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45761</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45761</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45761</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45761</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45761</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45761</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45761</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45761</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45761</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45761</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45761</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45761</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45761</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45761</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45761</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45761</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45761</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45761</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45761</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45761</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45761</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45761</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45761</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45761</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45761</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45761</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45761</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45761</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45761</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45761</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45761</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45761</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45761</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45761</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45761</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45761</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45761</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45761</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45761</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45761</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45761</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45761</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45761</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45761</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45761</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45761</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45761</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45761</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45761</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45761</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45761</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45761</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45761</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45761</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45761</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45761</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45761</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45761</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45761</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45761</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45761</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45761</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45761</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45761</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45761</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45761</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45761</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45761</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45761</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45761</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45761</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45761</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45761</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45761</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45761</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45761</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45761</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45761</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45761</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45761</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45761</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45761</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45761</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45761</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45761</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45761</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45761</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45761</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45761</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45761</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45761</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45761</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45761</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45761</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45761</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45761</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45761</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45761</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45761</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45761</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45761</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45761</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45761</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45761</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45761</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45761</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45761</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45761</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45761</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45761</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45761</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45761</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45761</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45761</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45761</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45761</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45761</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45761</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45761</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45761</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45761</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45761</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45761</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45761</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45761</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45761</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45761</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45761</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45761</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45761</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45761</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45761</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45761</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45761</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45761</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45761</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45761</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45761</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45761</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45761</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45761</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45761</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45761</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45761</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45761</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45761</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45761</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45761</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45761</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45761</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45761</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45761</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45761</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45761</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45761</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45761</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45761</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45761</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45761</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45761</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45761</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45761</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45761</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45761</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45761</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45761</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45761</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45761</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45761</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45761</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45761</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45761</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45761</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45761</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45761</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45761</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45761</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45761</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45761</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45761</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45761</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45761</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45761</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45761</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45761</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45761</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45761</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45761</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45761</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45761</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45761</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45761</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45761</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45761</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45761</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45761</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45761</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45761</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45761</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45761</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45761</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45761</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45761</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45761</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45761</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45761</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45761</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45761</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45761</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45761</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45761</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45761</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45761</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45761</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45761</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45761</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45761</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45761</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45761</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45761</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45761</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45761</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45761</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45761</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45761</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45761</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45761</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45761</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45761</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45761</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45761</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45761</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45761</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45761</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45761</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45761</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45761</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45761</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45761</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45761</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45761</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45761</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45761</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45761</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45761</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45761</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45761</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45761</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45761</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45761</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45761</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45761</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45761</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45761</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45761</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45761</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45761</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45761</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45761</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45761</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45761</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45761</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45761</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45761</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45761</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45761</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45761</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45761</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45761</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45761</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45761</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45761</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45761</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45761</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45761</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45761</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45761</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45761</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45761</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45761</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45761</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45761</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45761</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45761</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45761</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45761</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45761</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45761</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45761</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45761</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45761</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45761</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45761</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45761</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45761</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45761</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45761</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45761</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45761</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45761</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45761</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45761</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45761</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45761</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45761</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45761</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45761</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45761</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45761</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45761</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45761</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45761</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45761</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45761</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45761</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45761</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45761</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45761</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45761</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45761</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45761</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45761</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45761</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45761</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45761</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45761</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45761</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45761</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45761</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45761</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45761</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45761</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45761</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45761</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45761</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45761</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45761</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45761</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45761</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45761</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45761</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45761</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45761</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45761</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45761</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45761</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45761</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45761</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45761</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45761</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45761</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45761</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45761</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45761</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45761</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45761</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45761</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45761</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45761</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45761</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45761</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45761</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45761</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45761</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45761</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45761</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45761</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45761</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45761</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45761</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45761</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45761</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45761</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45761</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45761</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45761</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45761</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45761</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45761</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45761</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45761</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45761</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45761</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45761</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45761</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45761</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45761</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45761</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45761</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45761</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45761</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45761</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45761</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45761</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45761</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45761</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45761</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45761</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45761</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45761</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45761</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45761</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45761</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45761</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45761</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45761</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45761</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45761</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45761</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45761</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45761</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45761</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45761</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45761</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45761</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45761</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45761</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45761</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45761</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45761</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45761</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45761</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45761</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45761</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45761</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45761</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45761</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45761</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45761</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45761</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45761</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45761</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45761</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45761</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45761</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45761</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45761</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45761</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45761</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45761</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45761</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45761</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45761</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45761</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45761</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45761</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45761</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45761</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45761</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45761</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45761</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45761</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45761</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45761</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45761</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45761</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45761</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45761</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45761</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45761</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45761</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45761</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45761</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45761</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45761</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45761</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45761</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45761</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45761</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45761</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45761</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45761</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45761</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45761</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45761</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45761</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45761</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45761</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45761</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45761</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45761</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45761</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45761</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45761</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45761</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45761</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45761</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45761</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45761</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45761</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45761</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45761</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45761</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45761</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45761</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45761</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45761</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45761</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45761</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45761</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45761</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45761</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45761</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45761</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45761</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45761</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45761</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45761</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45761</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45761</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45761</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45761</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45761</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45761</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45761</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45761</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45761</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45761</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45761</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45761</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45761</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45761</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45761</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45761</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45761</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45761</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45761</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45761</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45761</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45761</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45761</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45761</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45761</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45761</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45761</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45761</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45761</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45761</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45761</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45761</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45761</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45761</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45761</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45761</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45761</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45761</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45761</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45761</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45761</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45761</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45761</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45761</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45761</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45761</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45761</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45761</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45761</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45761</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45761</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45761</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45761</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45761</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45761</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45761</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45761</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45761</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45761</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45761</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45761</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45761</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45761</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45761</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45761</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45761</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45761</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45761</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45761</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45761</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45761</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45761</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45761</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45761</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45761</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45761</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45761</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45761</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45761</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45761</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45761</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45761</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45761</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45761</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45761</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45761</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45761</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45761</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45761</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45761</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45761</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45761</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45761</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45761</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45761</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45761</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45761</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45761</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45761</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45761</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45761</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45761</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45761</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45761</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45761</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45761</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45761</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45761</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45761</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45761</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45761</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45761</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45761</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45761</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45761</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45761</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45761</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45761</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45761</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45761</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45761</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45761</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45761</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45761</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45761</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45761</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45761</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45761</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45761</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45761</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45761</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45761</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45761</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45761</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45761</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45761</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45761</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45761</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45761</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45761</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45761</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45761</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45761</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45761</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45761</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45761</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45761</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45761</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45761</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45761</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45761</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45761</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45761</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45761</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45761</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45761</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45761</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45761</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45761</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45761</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45761</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45761</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45761</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45761</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45761</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45761</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45761</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45761</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45761</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45761</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45761</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45761</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45761</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45761</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45761</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45761</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45761</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45761</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45761</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45761</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45761</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45761</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45761</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45761</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45761</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45761</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45761</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12812-2025</t>
        </is>
      </c>
      <c r="B7504" s="1" t="n">
        <v>45733</v>
      </c>
      <c r="C7504" s="1" t="n">
        <v>45761</v>
      </c>
      <c r="D7504" t="inlineStr">
        <is>
          <t>SÖDERMANLANDS LÄN</t>
        </is>
      </c>
      <c r="E7504" t="inlineStr">
        <is>
          <t>NYKÖPING</t>
        </is>
      </c>
      <c r="F7504" t="inlineStr">
        <is>
          <t>Holmen skog AB</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12615-2025</t>
        </is>
      </c>
      <c r="B7505" s="1" t="n">
        <v>45733</v>
      </c>
      <c r="C7505" s="1" t="n">
        <v>45761</v>
      </c>
      <c r="D7505" t="inlineStr">
        <is>
          <t>SÖDERMANLANDS LÄN</t>
        </is>
      </c>
      <c r="E7505" t="inlineStr">
        <is>
          <t>STRÄNGNÄS</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45761</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45761</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45761</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45761</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45761</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45761</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45761</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45761</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45761</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45761</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45761</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45761</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45761</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45761</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45761</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14074-2025</t>
        </is>
      </c>
      <c r="B7521" s="1" t="n">
        <v>45740</v>
      </c>
      <c r="C7521" s="1" t="n">
        <v>45761</v>
      </c>
      <c r="D7521" t="inlineStr">
        <is>
          <t>SÖDERMANLANDS LÄN</t>
        </is>
      </c>
      <c r="E7521" t="inlineStr">
        <is>
          <t>VINGÅKER</t>
        </is>
      </c>
      <c r="F7521" t="inlineStr">
        <is>
          <t>Sveaskog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45761</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45761</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45761</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45761</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45761</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45761</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45761</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45761</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45761</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45761</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45761</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45761</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45761</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45761</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45761</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45761</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45761</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45761</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45761</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45761</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45761</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15372-2025</t>
        </is>
      </c>
      <c r="B7543" s="1" t="n">
        <v>45747</v>
      </c>
      <c r="C7543" s="1" t="n">
        <v>45761</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45761</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45761</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15418-2025</t>
        </is>
      </c>
      <c r="B7546" s="1" t="n">
        <v>45747</v>
      </c>
      <c r="C7546" s="1" t="n">
        <v>45761</v>
      </c>
      <c r="D7546" t="inlineStr">
        <is>
          <t>SÖDERMANLANDS LÄN</t>
        </is>
      </c>
      <c r="E7546" t="inlineStr">
        <is>
          <t>NYKÖPING</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15357-2025</t>
        </is>
      </c>
      <c r="B7547" s="1" t="n">
        <v>45747</v>
      </c>
      <c r="C7547" s="1" t="n">
        <v>45761</v>
      </c>
      <c r="D7547" t="inlineStr">
        <is>
          <t>SÖDERMANLANDS LÄN</t>
        </is>
      </c>
      <c r="E7547" t="inlineStr">
        <is>
          <t>NYKÖPING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45761</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45761</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15841-2025</t>
        </is>
      </c>
      <c r="B7550" s="1" t="n">
        <v>45748</v>
      </c>
      <c r="C7550" s="1" t="n">
        <v>45761</v>
      </c>
      <c r="D7550" t="inlineStr">
        <is>
          <t>SÖDERMANLANDS LÄN</t>
        </is>
      </c>
      <c r="E7550" t="inlineStr">
        <is>
          <t>GNESTA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45761</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45761</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45761</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45761</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45761</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45761</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45761</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45761</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45761</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45761</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45761</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17247-2025</t>
        </is>
      </c>
      <c r="B7562" s="1" t="n">
        <v>45756</v>
      </c>
      <c r="C7562" s="1" t="n">
        <v>45761</v>
      </c>
      <c r="D7562" t="inlineStr">
        <is>
          <t>SÖDERMANLANDS LÄN</t>
        </is>
      </c>
      <c r="E7562" t="inlineStr">
        <is>
          <t>NYKÖPING</t>
        </is>
      </c>
      <c r="F7562" t="inlineStr">
        <is>
          <t>Holmen skog AB</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17376-2025</t>
        </is>
      </c>
      <c r="B7563" s="1" t="n">
        <v>45756</v>
      </c>
      <c r="C7563" s="1" t="n">
        <v>45761</v>
      </c>
      <c r="D7563" t="inlineStr">
        <is>
          <t>SÖDERMANLANDS LÄN</t>
        </is>
      </c>
      <c r="E7563" t="inlineStr">
        <is>
          <t>ESKILSTUNA</t>
        </is>
      </c>
      <c r="F7563" t="inlineStr">
        <is>
          <t>Allmännings- och besparingsskogar</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17249-2025</t>
        </is>
      </c>
      <c r="B7564" s="1" t="n">
        <v>45756</v>
      </c>
      <c r="C7564" s="1" t="n">
        <v>45761</v>
      </c>
      <c r="D7564" t="inlineStr">
        <is>
          <t>SÖDERMANLANDS LÄN</t>
        </is>
      </c>
      <c r="E7564" t="inlineStr">
        <is>
          <t>STRÄNGNÄS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17792-2025</t>
        </is>
      </c>
      <c r="B7565" s="1" t="n">
        <v>45758</v>
      </c>
      <c r="C7565" s="1" t="n">
        <v>45761</v>
      </c>
      <c r="D7565" t="inlineStr">
        <is>
          <t>SÖDERMANLANDS LÄN</t>
        </is>
      </c>
      <c r="E7565" t="inlineStr">
        <is>
          <t>KATRINEHOLM</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17797-2025</t>
        </is>
      </c>
      <c r="B7566" s="1" t="n">
        <v>45758</v>
      </c>
      <c r="C7566" s="1" t="n">
        <v>45761</v>
      </c>
      <c r="D7566" t="inlineStr">
        <is>
          <t>SÖDERMANLANDS LÄN</t>
        </is>
      </c>
      <c r="E7566" t="inlineStr">
        <is>
          <t>VINGÅKER</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45761</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17858-2025</t>
        </is>
      </c>
      <c r="B7568" s="1" t="n">
        <v>45758</v>
      </c>
      <c r="C7568" s="1" t="n">
        <v>45761</v>
      </c>
      <c r="D7568" t="inlineStr">
        <is>
          <t>SÖDERMANLANDS LÄN</t>
        </is>
      </c>
      <c r="E7568" t="inlineStr">
        <is>
          <t>FLEN</t>
        </is>
      </c>
      <c r="G7568" t="n">
        <v>1.1</v>
      </c>
      <c r="H7568" t="n">
        <v>0</v>
      </c>
      <c r="I7568" t="n">
        <v>0</v>
      </c>
      <c r="J7568" t="n">
        <v>0</v>
      </c>
      <c r="K7568" t="n">
        <v>0</v>
      </c>
      <c r="L7568" t="n">
        <v>0</v>
      </c>
      <c r="M7568" t="n">
        <v>0</v>
      </c>
      <c r="N7568" t="n">
        <v>0</v>
      </c>
      <c r="O7568" t="n">
        <v>0</v>
      </c>
      <c r="P7568" t="n">
        <v>0</v>
      </c>
      <c r="Q7568" t="n">
        <v>0</v>
      </c>
      <c r="R7568" s="2" t="inlineStr"/>
    </row>
    <row r="7569">
      <c r="A7569" t="inlineStr">
        <is>
          <t>A 17903-2025</t>
        </is>
      </c>
      <c r="B7569" s="1" t="n">
        <v>45758</v>
      </c>
      <c r="C7569" s="1" t="n">
        <v>45761</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2025-04-14T16:37:52Z</dcterms:created>
  <dcterms:modified xmlns:dcterms="http://purl.org/dc/terms/" xmlns:xsi="http://www.w3.org/2001/XMLSchema-instance" xsi:type="dcterms:W3CDTF">2025-04-14T16:37:58Z</dcterms:modified>
</cp:coreProperties>
</file>