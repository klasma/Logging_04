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45843</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45843</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45843</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45843</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45843</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26357-2025</t>
        </is>
      </c>
      <c r="B7" s="1" t="n">
        <v>45805</v>
      </c>
      <c r="C7" s="1" t="n">
        <v>45843</v>
      </c>
      <c r="D7" t="inlineStr">
        <is>
          <t>SÖDERMANLANDS LÄN</t>
        </is>
      </c>
      <c r="E7" t="inlineStr">
        <is>
          <t>GNESTA</t>
        </is>
      </c>
      <c r="G7" t="n">
        <v>57.5</v>
      </c>
      <c r="H7" t="n">
        <v>9</v>
      </c>
      <c r="I7" t="n">
        <v>6</v>
      </c>
      <c r="J7" t="n">
        <v>8</v>
      </c>
      <c r="K7" t="n">
        <v>0</v>
      </c>
      <c r="L7" t="n">
        <v>0</v>
      </c>
      <c r="M7" t="n">
        <v>0</v>
      </c>
      <c r="N7" t="n">
        <v>0</v>
      </c>
      <c r="O7" t="n">
        <v>8</v>
      </c>
      <c r="P7" t="n">
        <v>0</v>
      </c>
      <c r="Q7" t="n">
        <v>19</v>
      </c>
      <c r="R7" s="2" t="inlineStr">
        <is>
          <t>Entita
Granticka
Mindre hackspett
Rosenticka
Spillkråka
Tallticka
Ullticka
Vedtrappmossa
Björksplintborre
Brandticka
Bronshjon
Grön sköldmossa
Grönpyrola
Vågbandad barkbock
Kungsfågel
Fläcknycklar
Grönvit nattviol
Mattlummer
Revlummer</t>
        </is>
      </c>
      <c r="S7">
        <f>HYPERLINK("https://klasma.github.io/Logging_040461/artfynd/A 26357-2025 artfynd.xlsx", "A 26357-2025")</f>
        <v/>
      </c>
      <c r="T7">
        <f>HYPERLINK("https://klasma.github.io/Logging_040461/kartor/A 26357-2025 karta.png", "A 26357-2025")</f>
        <v/>
      </c>
      <c r="V7">
        <f>HYPERLINK("https://klasma.github.io/Logging_040461/klagomål/A 26357-2025 FSC-klagomål.docx", "A 26357-2025")</f>
        <v/>
      </c>
      <c r="W7">
        <f>HYPERLINK("https://klasma.github.io/Logging_040461/klagomålsmail/A 26357-2025 FSC-klagomål mail.docx", "A 26357-2025")</f>
        <v/>
      </c>
      <c r="X7">
        <f>HYPERLINK("https://klasma.github.io/Logging_040461/tillsyn/A 26357-2025 tillsynsbegäran.docx", "A 26357-2025")</f>
        <v/>
      </c>
      <c r="Y7">
        <f>HYPERLINK("https://klasma.github.io/Logging_040461/tillsynsmail/A 26357-2025 tillsynsbegäran mail.docx", "A 26357-2025")</f>
        <v/>
      </c>
      <c r="Z7">
        <f>HYPERLINK("https://klasma.github.io/Logging_040461/fåglar/A 26357-2025 prioriterade fågelarter.docx", "A 26357-2025")</f>
        <v/>
      </c>
    </row>
    <row r="8" ht="15" customHeight="1">
      <c r="A8" t="inlineStr">
        <is>
          <t>A 38819-2021</t>
        </is>
      </c>
      <c r="B8" s="1" t="n">
        <v>44410</v>
      </c>
      <c r="C8" s="1" t="n">
        <v>45843</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45843</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45843</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45843</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45843</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45843</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45843</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45843</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45843</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45843</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45843</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45843</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45843</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45843</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45843</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45843</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45843</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45843</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45843</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45843</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45843</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45843</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45843</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45843</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45843</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45843</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45843</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45843</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45843</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45843</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45843</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45843</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45843</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45843</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45843</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45843</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45843</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45843</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45843</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45843</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45843</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45843</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45843</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45843</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45843</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45843</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45843</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45843</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45843</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45843</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45843</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45843</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45843</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45843</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45843</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45843</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45843</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45843</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45843</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45843</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45843</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45843</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45843</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45843</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45843</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45843</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45843</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45843</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45843</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45843</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45843</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45843</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45843</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45843</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45843</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45843</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45843</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45843</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45843</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45843</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45843</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45843</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45843</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45843</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45843</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45843</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45843</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45843</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45843</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45843</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45843</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45843</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45843</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45843</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45843</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45843</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45843</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45843</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45843</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45843</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45843</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45843</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45843</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45843</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45843</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45843</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45843</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45843</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45843</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45843</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45843</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45843</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45843</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45843</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45843</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45843</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45843</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45843</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45843</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45843</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45843</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45843</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45843</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45843</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45843</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45843</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45843</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45843</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45843</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45843</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45843</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45843</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45843</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45843</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45843</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45843</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45843</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45843</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45843</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45843</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45843</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45843</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45843</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45843</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45843</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45843</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45843</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45843</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45843</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45843</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45843</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45843</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45843</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45843</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45843</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45843</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45843</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45843</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45843</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45843</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45843</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45843</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45843</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45843</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45843</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45843</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45843</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45843</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45843</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45843</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45843</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45843</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45843</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45843</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45843</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45843</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45843</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45843</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45843</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45843</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45843</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45843</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45843</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45843</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45843</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45843</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45843</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45843</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45843</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45843</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45843</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45843</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45843</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45843</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45843</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45843</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45843</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45843</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45843</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45843</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45843</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45843</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45843</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45843</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45843</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45843</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45843</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45843</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45843</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45843</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45843</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45843</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45843</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45843</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45843</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45843</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45843</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45843</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45843</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45843</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45843</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45843</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45843</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45843</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45843</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45843</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45843</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45843</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45843</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45843</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45843</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45843</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45843</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45843</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45843</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45843</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45843</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45843</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45843</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45843</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45843</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45843</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45843</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45843</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45843</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45843</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45843</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45843</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45843</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45843</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45843</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45843</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45843</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45843</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45843</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45843</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45843</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45843</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45843</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45843</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45843</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45843</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45843</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45843</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45843</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45843</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45843</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45843</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45843</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45843</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45843</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45843</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45843</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45843</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45843</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45843</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45843</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45843</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45843</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45843</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45843</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45843</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45843</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45843</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45843</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45843</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45843</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45843</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45843</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45843</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45843</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45843</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45843</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45843</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45843</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45843</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45843</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45843</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45843</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45843</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45843</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45843</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45843</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34785-2023</t>
        </is>
      </c>
      <c r="B311" s="1" t="n">
        <v>45140</v>
      </c>
      <c r="C311" s="1" t="n">
        <v>45843</v>
      </c>
      <c r="D311" t="inlineStr">
        <is>
          <t>SÖDERMANLANDS LÄN</t>
        </is>
      </c>
      <c r="E311" t="inlineStr">
        <is>
          <t>FLEN</t>
        </is>
      </c>
      <c r="G311" t="n">
        <v>1.8</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34785-2023 artfynd.xlsx", "A 34785-2023")</f>
        <v/>
      </c>
      <c r="T311">
        <f>HYPERLINK("https://klasma.github.io/Logging_0482/kartor/A 34785-2023 karta.png", "A 34785-2023")</f>
        <v/>
      </c>
      <c r="V311">
        <f>HYPERLINK("https://klasma.github.io/Logging_0482/klagomål/A 34785-2023 FSC-klagomål.docx", "A 34785-2023")</f>
        <v/>
      </c>
      <c r="W311">
        <f>HYPERLINK("https://klasma.github.io/Logging_0482/klagomålsmail/A 34785-2023 FSC-klagomål mail.docx", "A 34785-2023")</f>
        <v/>
      </c>
      <c r="X311">
        <f>HYPERLINK("https://klasma.github.io/Logging_0482/tillsyn/A 34785-2023 tillsynsbegäran.docx", "A 34785-2023")</f>
        <v/>
      </c>
      <c r="Y311">
        <f>HYPERLINK("https://klasma.github.io/Logging_0482/tillsynsmail/A 34785-2023 tillsynsbegäran mail.docx", "A 34785-2023")</f>
        <v/>
      </c>
    </row>
    <row r="312" ht="15" customHeight="1">
      <c r="A312" t="inlineStr">
        <is>
          <t>A 37383-2023</t>
        </is>
      </c>
      <c r="B312" s="1" t="n">
        <v>45155</v>
      </c>
      <c r="C312" s="1" t="n">
        <v>45843</v>
      </c>
      <c r="D312" t="inlineStr">
        <is>
          <t>SÖDERMANLANDS LÄN</t>
        </is>
      </c>
      <c r="E312" t="inlineStr">
        <is>
          <t>KATRINEHOLM</t>
        </is>
      </c>
      <c r="G312" t="n">
        <v>10.1</v>
      </c>
      <c r="H312" t="n">
        <v>1</v>
      </c>
      <c r="I312" t="n">
        <v>1</v>
      </c>
      <c r="J312" t="n">
        <v>0</v>
      </c>
      <c r="K312" t="n">
        <v>0</v>
      </c>
      <c r="L312" t="n">
        <v>0</v>
      </c>
      <c r="M312" t="n">
        <v>0</v>
      </c>
      <c r="N312" t="n">
        <v>0</v>
      </c>
      <c r="O312" t="n">
        <v>0</v>
      </c>
      <c r="P312" t="n">
        <v>0</v>
      </c>
      <c r="Q312" t="n">
        <v>2</v>
      </c>
      <c r="R312" s="2" t="inlineStr">
        <is>
          <t>Svart trolldruva
Blåsippa</t>
        </is>
      </c>
      <c r="S312">
        <f>HYPERLINK("https://klasma.github.io/Logging_0483/artfynd/A 37383-2023 artfynd.xlsx", "A 37383-2023")</f>
        <v/>
      </c>
      <c r="T312">
        <f>HYPERLINK("https://klasma.github.io/Logging_0483/kartor/A 37383-2023 karta.png", "A 37383-2023")</f>
        <v/>
      </c>
      <c r="V312">
        <f>HYPERLINK("https://klasma.github.io/Logging_0483/klagomål/A 37383-2023 FSC-klagomål.docx", "A 37383-2023")</f>
        <v/>
      </c>
      <c r="W312">
        <f>HYPERLINK("https://klasma.github.io/Logging_0483/klagomålsmail/A 37383-2023 FSC-klagomål mail.docx", "A 37383-2023")</f>
        <v/>
      </c>
      <c r="X312">
        <f>HYPERLINK("https://klasma.github.io/Logging_0483/tillsyn/A 37383-2023 tillsynsbegäran.docx", "A 37383-2023")</f>
        <v/>
      </c>
      <c r="Y312">
        <f>HYPERLINK("https://klasma.github.io/Logging_0483/tillsynsmail/A 37383-2023 tillsynsbegäran mail.docx", "A 37383-2023")</f>
        <v/>
      </c>
    </row>
    <row r="313" ht="15" customHeight="1">
      <c r="A313" t="inlineStr">
        <is>
          <t>A 37423-2023</t>
        </is>
      </c>
      <c r="B313" s="1" t="n">
        <v>45156</v>
      </c>
      <c r="C313" s="1" t="n">
        <v>45843</v>
      </c>
      <c r="D313" t="inlineStr">
        <is>
          <t>SÖDERMANLANDS LÄN</t>
        </is>
      </c>
      <c r="E313" t="inlineStr">
        <is>
          <t>FLEN</t>
        </is>
      </c>
      <c r="G313" t="n">
        <v>1.9</v>
      </c>
      <c r="H313" t="n">
        <v>0</v>
      </c>
      <c r="I313" t="n">
        <v>2</v>
      </c>
      <c r="J313" t="n">
        <v>0</v>
      </c>
      <c r="K313" t="n">
        <v>0</v>
      </c>
      <c r="L313" t="n">
        <v>0</v>
      </c>
      <c r="M313" t="n">
        <v>0</v>
      </c>
      <c r="N313" t="n">
        <v>0</v>
      </c>
      <c r="O313" t="n">
        <v>0</v>
      </c>
      <c r="P313" t="n">
        <v>0</v>
      </c>
      <c r="Q313" t="n">
        <v>2</v>
      </c>
      <c r="R313" s="2" t="inlineStr">
        <is>
          <t>Blåmossa
Grönpyrola</t>
        </is>
      </c>
      <c r="S313">
        <f>HYPERLINK("https://klasma.github.io/Logging_0482/artfynd/A 37423-2023 artfynd.xlsx", "A 37423-2023")</f>
        <v/>
      </c>
      <c r="T313">
        <f>HYPERLINK("https://klasma.github.io/Logging_0482/kartor/A 37423-2023 karta.png", "A 37423-2023")</f>
        <v/>
      </c>
      <c r="V313">
        <f>HYPERLINK("https://klasma.github.io/Logging_0482/klagomål/A 37423-2023 FSC-klagomål.docx", "A 37423-2023")</f>
        <v/>
      </c>
      <c r="W313">
        <f>HYPERLINK("https://klasma.github.io/Logging_0482/klagomålsmail/A 37423-2023 FSC-klagomål mail.docx", "A 37423-2023")</f>
        <v/>
      </c>
      <c r="X313">
        <f>HYPERLINK("https://klasma.github.io/Logging_0482/tillsyn/A 37423-2023 tillsynsbegäran.docx", "A 37423-2023")</f>
        <v/>
      </c>
      <c r="Y313">
        <f>HYPERLINK("https://klasma.github.io/Logging_0482/tillsynsmail/A 37423-2023 tillsynsbegäran mail.docx", "A 37423-2023")</f>
        <v/>
      </c>
    </row>
    <row r="314" ht="15" customHeight="1">
      <c r="A314" t="inlineStr">
        <is>
          <t>A 39893-2023</t>
        </is>
      </c>
      <c r="B314" s="1" t="n">
        <v>45168</v>
      </c>
      <c r="C314" s="1" t="n">
        <v>45843</v>
      </c>
      <c r="D314" t="inlineStr">
        <is>
          <t>SÖDERMANLANDS LÄN</t>
        </is>
      </c>
      <c r="E314" t="inlineStr">
        <is>
          <t>KATRINEHOLM</t>
        </is>
      </c>
      <c r="G314" t="n">
        <v>7.3</v>
      </c>
      <c r="H314" t="n">
        <v>0</v>
      </c>
      <c r="I314" t="n">
        <v>2</v>
      </c>
      <c r="J314" t="n">
        <v>0</v>
      </c>
      <c r="K314" t="n">
        <v>0</v>
      </c>
      <c r="L314" t="n">
        <v>0</v>
      </c>
      <c r="M314" t="n">
        <v>0</v>
      </c>
      <c r="N314" t="n">
        <v>0</v>
      </c>
      <c r="O314" t="n">
        <v>0</v>
      </c>
      <c r="P314" t="n">
        <v>0</v>
      </c>
      <c r="Q314" t="n">
        <v>2</v>
      </c>
      <c r="R314" s="2" t="inlineStr">
        <is>
          <t>Blomkålssvamp
Grovticka</t>
        </is>
      </c>
      <c r="S314">
        <f>HYPERLINK("https://klasma.github.io/Logging_0483/artfynd/A 39893-2023 artfynd.xlsx", "A 39893-2023")</f>
        <v/>
      </c>
      <c r="T314">
        <f>HYPERLINK("https://klasma.github.io/Logging_0483/kartor/A 39893-2023 karta.png", "A 39893-2023")</f>
        <v/>
      </c>
      <c r="V314">
        <f>HYPERLINK("https://klasma.github.io/Logging_0483/klagomål/A 39893-2023 FSC-klagomål.docx", "A 39893-2023")</f>
        <v/>
      </c>
      <c r="W314">
        <f>HYPERLINK("https://klasma.github.io/Logging_0483/klagomålsmail/A 39893-2023 FSC-klagomål mail.docx", "A 39893-2023")</f>
        <v/>
      </c>
      <c r="X314">
        <f>HYPERLINK("https://klasma.github.io/Logging_0483/tillsyn/A 39893-2023 tillsynsbegäran.docx", "A 39893-2023")</f>
        <v/>
      </c>
      <c r="Y314">
        <f>HYPERLINK("https://klasma.github.io/Logging_0483/tillsynsmail/A 39893-2023 tillsynsbegäran mail.docx", "A 39893-2023")</f>
        <v/>
      </c>
    </row>
    <row r="315" ht="15" customHeight="1">
      <c r="A315" t="inlineStr">
        <is>
          <t>A 43237-2023</t>
        </is>
      </c>
      <c r="B315" s="1" t="n">
        <v>45183</v>
      </c>
      <c r="C315" s="1" t="n">
        <v>45843</v>
      </c>
      <c r="D315" t="inlineStr">
        <is>
          <t>SÖDERMANLANDS LÄN</t>
        </is>
      </c>
      <c r="E315" t="inlineStr">
        <is>
          <t>ESKILSTUNA</t>
        </is>
      </c>
      <c r="F315" t="inlineStr">
        <is>
          <t>Allmännings- och besparingsskogar</t>
        </is>
      </c>
      <c r="G315" t="n">
        <v>4.2</v>
      </c>
      <c r="H315" t="n">
        <v>2</v>
      </c>
      <c r="I315" t="n">
        <v>0</v>
      </c>
      <c r="J315" t="n">
        <v>2</v>
      </c>
      <c r="K315" t="n">
        <v>0</v>
      </c>
      <c r="L315" t="n">
        <v>0</v>
      </c>
      <c r="M315" t="n">
        <v>0</v>
      </c>
      <c r="N315" t="n">
        <v>0</v>
      </c>
      <c r="O315" t="n">
        <v>2</v>
      </c>
      <c r="P315" t="n">
        <v>0</v>
      </c>
      <c r="Q315" t="n">
        <v>2</v>
      </c>
      <c r="R315" s="2" t="inlineStr">
        <is>
          <t>Spillkråka
Talltita</t>
        </is>
      </c>
      <c r="S315">
        <f>HYPERLINK("https://klasma.github.io/Logging_0484/artfynd/A 43237-2023 artfynd.xlsx", "A 43237-2023")</f>
        <v/>
      </c>
      <c r="T315">
        <f>HYPERLINK("https://klasma.github.io/Logging_0484/kartor/A 43237-2023 karta.png", "A 43237-2023")</f>
        <v/>
      </c>
      <c r="V315">
        <f>HYPERLINK("https://klasma.github.io/Logging_0484/klagomål/A 43237-2023 FSC-klagomål.docx", "A 43237-2023")</f>
        <v/>
      </c>
      <c r="W315">
        <f>HYPERLINK("https://klasma.github.io/Logging_0484/klagomålsmail/A 43237-2023 FSC-klagomål mail.docx", "A 43237-2023")</f>
        <v/>
      </c>
      <c r="X315">
        <f>HYPERLINK("https://klasma.github.io/Logging_0484/tillsyn/A 43237-2023 tillsynsbegäran.docx", "A 43237-2023")</f>
        <v/>
      </c>
      <c r="Y315">
        <f>HYPERLINK("https://klasma.github.io/Logging_0484/tillsynsmail/A 43237-2023 tillsynsbegäran mail.docx", "A 43237-2023")</f>
        <v/>
      </c>
      <c r="Z315">
        <f>HYPERLINK("https://klasma.github.io/Logging_0484/fåglar/A 43237-2023 prioriterade fågelarter.docx", "A 43237-2023")</f>
        <v/>
      </c>
    </row>
    <row r="316" ht="15" customHeight="1">
      <c r="A316" t="inlineStr">
        <is>
          <t>A 48174-2023</t>
        </is>
      </c>
      <c r="B316" s="1" t="n">
        <v>45205</v>
      </c>
      <c r="C316" s="1" t="n">
        <v>45843</v>
      </c>
      <c r="D316" t="inlineStr">
        <is>
          <t>SÖDERMANLANDS LÄN</t>
        </is>
      </c>
      <c r="E316" t="inlineStr">
        <is>
          <t>NYKÖPING</t>
        </is>
      </c>
      <c r="F316" t="inlineStr">
        <is>
          <t>Holmen skog AB</t>
        </is>
      </c>
      <c r="G316" t="n">
        <v>1.2</v>
      </c>
      <c r="H316" t="n">
        <v>2</v>
      </c>
      <c r="I316" t="n">
        <v>0</v>
      </c>
      <c r="J316" t="n">
        <v>1</v>
      </c>
      <c r="K316" t="n">
        <v>0</v>
      </c>
      <c r="L316" t="n">
        <v>0</v>
      </c>
      <c r="M316" t="n">
        <v>0</v>
      </c>
      <c r="N316" t="n">
        <v>0</v>
      </c>
      <c r="O316" t="n">
        <v>1</v>
      </c>
      <c r="P316" t="n">
        <v>0</v>
      </c>
      <c r="Q316" t="n">
        <v>2</v>
      </c>
      <c r="R316" s="2" t="inlineStr">
        <is>
          <t>Havsörn
Nötkråka</t>
        </is>
      </c>
      <c r="S316">
        <f>HYPERLINK("https://klasma.github.io/Logging_0480/artfynd/A 48174-2023 artfynd.xlsx", "A 48174-2023")</f>
        <v/>
      </c>
      <c r="T316">
        <f>HYPERLINK("https://klasma.github.io/Logging_0480/kartor/A 48174-2023 karta.png", "A 48174-2023")</f>
        <v/>
      </c>
      <c r="V316">
        <f>HYPERLINK("https://klasma.github.io/Logging_0480/klagomål/A 48174-2023 FSC-klagomål.docx", "A 48174-2023")</f>
        <v/>
      </c>
      <c r="W316">
        <f>HYPERLINK("https://klasma.github.io/Logging_0480/klagomålsmail/A 48174-2023 FSC-klagomål mail.docx", "A 48174-2023")</f>
        <v/>
      </c>
      <c r="X316">
        <f>HYPERLINK("https://klasma.github.io/Logging_0480/tillsyn/A 48174-2023 tillsynsbegäran.docx", "A 48174-2023")</f>
        <v/>
      </c>
      <c r="Y316">
        <f>HYPERLINK("https://klasma.github.io/Logging_0480/tillsynsmail/A 48174-2023 tillsynsbegäran mail.docx", "A 48174-2023")</f>
        <v/>
      </c>
      <c r="Z316">
        <f>HYPERLINK("https://klasma.github.io/Logging_0480/fåglar/A 48174-2023 prioriterade fågelarter.docx", "A 48174-2023")</f>
        <v/>
      </c>
    </row>
    <row r="317" ht="15" customHeight="1">
      <c r="A317" t="inlineStr">
        <is>
          <t>A 49231-2023</t>
        </is>
      </c>
      <c r="B317" s="1" t="n">
        <v>45210</v>
      </c>
      <c r="C317" s="1" t="n">
        <v>45843</v>
      </c>
      <c r="D317" t="inlineStr">
        <is>
          <t>SÖDERMANLANDS LÄN</t>
        </is>
      </c>
      <c r="E317" t="inlineStr">
        <is>
          <t>NYKÖPING</t>
        </is>
      </c>
      <c r="G317" t="n">
        <v>0.5</v>
      </c>
      <c r="H317" t="n">
        <v>1</v>
      </c>
      <c r="I317" t="n">
        <v>1</v>
      </c>
      <c r="J317" t="n">
        <v>0</v>
      </c>
      <c r="K317" t="n">
        <v>1</v>
      </c>
      <c r="L317" t="n">
        <v>0</v>
      </c>
      <c r="M317" t="n">
        <v>0</v>
      </c>
      <c r="N317" t="n">
        <v>0</v>
      </c>
      <c r="O317" t="n">
        <v>1</v>
      </c>
      <c r="P317" t="n">
        <v>1</v>
      </c>
      <c r="Q317" t="n">
        <v>2</v>
      </c>
      <c r="R317" s="2" t="inlineStr">
        <is>
          <t>Bombmurkla
Blåmossa</t>
        </is>
      </c>
      <c r="S317">
        <f>HYPERLINK("https://klasma.github.io/Logging_0480/artfynd/A 49231-2023 artfynd.xlsx", "A 49231-2023")</f>
        <v/>
      </c>
      <c r="T317">
        <f>HYPERLINK("https://klasma.github.io/Logging_0480/kartor/A 49231-2023 karta.png", "A 49231-2023")</f>
        <v/>
      </c>
      <c r="V317">
        <f>HYPERLINK("https://klasma.github.io/Logging_0480/klagomål/A 49231-2023 FSC-klagomål.docx", "A 49231-2023")</f>
        <v/>
      </c>
      <c r="W317">
        <f>HYPERLINK("https://klasma.github.io/Logging_0480/klagomålsmail/A 49231-2023 FSC-klagomål mail.docx", "A 49231-2023")</f>
        <v/>
      </c>
      <c r="X317">
        <f>HYPERLINK("https://klasma.github.io/Logging_0480/tillsyn/A 49231-2023 tillsynsbegäran.docx", "A 49231-2023")</f>
        <v/>
      </c>
      <c r="Y317">
        <f>HYPERLINK("https://klasma.github.io/Logging_0480/tillsynsmail/A 49231-2023 tillsynsbegäran mail.docx", "A 49231-2023")</f>
        <v/>
      </c>
    </row>
    <row r="318" ht="15" customHeight="1">
      <c r="A318" t="inlineStr">
        <is>
          <t>A 52858-2023</t>
        </is>
      </c>
      <c r="B318" s="1" t="n">
        <v>45219</v>
      </c>
      <c r="C318" s="1" t="n">
        <v>45843</v>
      </c>
      <c r="D318" t="inlineStr">
        <is>
          <t>SÖDERMANLANDS LÄN</t>
        </is>
      </c>
      <c r="E318" t="inlineStr">
        <is>
          <t>FLEN</t>
        </is>
      </c>
      <c r="G318" t="n">
        <v>3.6</v>
      </c>
      <c r="H318" t="n">
        <v>1</v>
      </c>
      <c r="I318" t="n">
        <v>0</v>
      </c>
      <c r="J318" t="n">
        <v>2</v>
      </c>
      <c r="K318" t="n">
        <v>0</v>
      </c>
      <c r="L318" t="n">
        <v>0</v>
      </c>
      <c r="M318" t="n">
        <v>0</v>
      </c>
      <c r="N318" t="n">
        <v>0</v>
      </c>
      <c r="O318" t="n">
        <v>2</v>
      </c>
      <c r="P318" t="n">
        <v>0</v>
      </c>
      <c r="Q318" t="n">
        <v>2</v>
      </c>
      <c r="R318" s="2" t="inlineStr">
        <is>
          <t>Mindre hackspett
Tallticka</t>
        </is>
      </c>
      <c r="S318">
        <f>HYPERLINK("https://klasma.github.io/Logging_0482/artfynd/A 52858-2023 artfynd.xlsx", "A 52858-2023")</f>
        <v/>
      </c>
      <c r="T318">
        <f>HYPERLINK("https://klasma.github.io/Logging_0482/kartor/A 52858-2023 karta.png", "A 52858-2023")</f>
        <v/>
      </c>
      <c r="V318">
        <f>HYPERLINK("https://klasma.github.io/Logging_0482/klagomål/A 52858-2023 FSC-klagomål.docx", "A 52858-2023")</f>
        <v/>
      </c>
      <c r="W318">
        <f>HYPERLINK("https://klasma.github.io/Logging_0482/klagomålsmail/A 52858-2023 FSC-klagomål mail.docx", "A 52858-2023")</f>
        <v/>
      </c>
      <c r="X318">
        <f>HYPERLINK("https://klasma.github.io/Logging_0482/tillsyn/A 52858-2023 tillsynsbegäran.docx", "A 52858-2023")</f>
        <v/>
      </c>
      <c r="Y318">
        <f>HYPERLINK("https://klasma.github.io/Logging_0482/tillsynsmail/A 52858-2023 tillsynsbegäran mail.docx", "A 52858-2023")</f>
        <v/>
      </c>
      <c r="Z318">
        <f>HYPERLINK("https://klasma.github.io/Logging_0482/fåglar/A 52858-2023 prioriterade fågelarter.docx", "A 52858-2023")</f>
        <v/>
      </c>
    </row>
    <row r="319" ht="15" customHeight="1">
      <c r="A319" t="inlineStr">
        <is>
          <t>A 52485-2023</t>
        </is>
      </c>
      <c r="B319" s="1" t="n">
        <v>45225</v>
      </c>
      <c r="C319" s="1" t="n">
        <v>45843</v>
      </c>
      <c r="D319" t="inlineStr">
        <is>
          <t>SÖDERMANLANDS LÄN</t>
        </is>
      </c>
      <c r="E319" t="inlineStr">
        <is>
          <t>FLEN</t>
        </is>
      </c>
      <c r="G319" t="n">
        <v>8.1</v>
      </c>
      <c r="H319" t="n">
        <v>0</v>
      </c>
      <c r="I319" t="n">
        <v>0</v>
      </c>
      <c r="J319" t="n">
        <v>2</v>
      </c>
      <c r="K319" t="n">
        <v>0</v>
      </c>
      <c r="L319" t="n">
        <v>0</v>
      </c>
      <c r="M319" t="n">
        <v>0</v>
      </c>
      <c r="N319" t="n">
        <v>0</v>
      </c>
      <c r="O319" t="n">
        <v>2</v>
      </c>
      <c r="P319" t="n">
        <v>0</v>
      </c>
      <c r="Q319" t="n">
        <v>2</v>
      </c>
      <c r="R319" s="2" t="inlineStr">
        <is>
          <t>Gullklöver
Svinrot</t>
        </is>
      </c>
      <c r="S319">
        <f>HYPERLINK("https://klasma.github.io/Logging_0482/artfynd/A 52485-2023 artfynd.xlsx", "A 52485-2023")</f>
        <v/>
      </c>
      <c r="T319">
        <f>HYPERLINK("https://klasma.github.io/Logging_0482/kartor/A 52485-2023 karta.png", "A 52485-2023")</f>
        <v/>
      </c>
      <c r="V319">
        <f>HYPERLINK("https://klasma.github.io/Logging_0482/klagomål/A 52485-2023 FSC-klagomål.docx", "A 52485-2023")</f>
        <v/>
      </c>
      <c r="W319">
        <f>HYPERLINK("https://klasma.github.io/Logging_0482/klagomålsmail/A 52485-2023 FSC-klagomål mail.docx", "A 52485-2023")</f>
        <v/>
      </c>
      <c r="X319">
        <f>HYPERLINK("https://klasma.github.io/Logging_0482/tillsyn/A 52485-2023 tillsynsbegäran.docx", "A 52485-2023")</f>
        <v/>
      </c>
      <c r="Y319">
        <f>HYPERLINK("https://klasma.github.io/Logging_0482/tillsynsmail/A 52485-2023 tillsynsbegäran mail.docx", "A 52485-2023")</f>
        <v/>
      </c>
    </row>
    <row r="320" ht="15" customHeight="1">
      <c r="A320" t="inlineStr">
        <is>
          <t>A 56157-2023</t>
        </is>
      </c>
      <c r="B320" s="1" t="n">
        <v>45240</v>
      </c>
      <c r="C320" s="1" t="n">
        <v>45843</v>
      </c>
      <c r="D320" t="inlineStr">
        <is>
          <t>SÖDERMANLANDS LÄN</t>
        </is>
      </c>
      <c r="E320" t="inlineStr">
        <is>
          <t>STRÄNGNÄS</t>
        </is>
      </c>
      <c r="G320" t="n">
        <v>5</v>
      </c>
      <c r="H320" t="n">
        <v>1</v>
      </c>
      <c r="I320" t="n">
        <v>1</v>
      </c>
      <c r="J320" t="n">
        <v>0</v>
      </c>
      <c r="K320" t="n">
        <v>0</v>
      </c>
      <c r="L320" t="n">
        <v>0</v>
      </c>
      <c r="M320" t="n">
        <v>0</v>
      </c>
      <c r="N320" t="n">
        <v>0</v>
      </c>
      <c r="O320" t="n">
        <v>0</v>
      </c>
      <c r="P320" t="n">
        <v>0</v>
      </c>
      <c r="Q320" t="n">
        <v>2</v>
      </c>
      <c r="R320" s="2" t="inlineStr">
        <is>
          <t>Strutbräken
Nattskärra</t>
        </is>
      </c>
      <c r="S320">
        <f>HYPERLINK("https://klasma.github.io/Logging_0486/artfynd/A 56157-2023 artfynd.xlsx", "A 56157-2023")</f>
        <v/>
      </c>
      <c r="T320">
        <f>HYPERLINK("https://klasma.github.io/Logging_0486/kartor/A 56157-2023 karta.png", "A 56157-2023")</f>
        <v/>
      </c>
      <c r="V320">
        <f>HYPERLINK("https://klasma.github.io/Logging_0486/klagomål/A 56157-2023 FSC-klagomål.docx", "A 56157-2023")</f>
        <v/>
      </c>
      <c r="W320">
        <f>HYPERLINK("https://klasma.github.io/Logging_0486/klagomålsmail/A 56157-2023 FSC-klagomål mail.docx", "A 56157-2023")</f>
        <v/>
      </c>
      <c r="X320">
        <f>HYPERLINK("https://klasma.github.io/Logging_0486/tillsyn/A 56157-2023 tillsynsbegäran.docx", "A 56157-2023")</f>
        <v/>
      </c>
      <c r="Y320">
        <f>HYPERLINK("https://klasma.github.io/Logging_0486/tillsynsmail/A 56157-2023 tillsynsbegäran mail.docx", "A 56157-2023")</f>
        <v/>
      </c>
      <c r="Z320">
        <f>HYPERLINK("https://klasma.github.io/Logging_0486/fåglar/A 56157-2023 prioriterade fågelarter.docx", "A 56157-2023")</f>
        <v/>
      </c>
    </row>
    <row r="321" ht="15" customHeight="1">
      <c r="A321" t="inlineStr">
        <is>
          <t>A 63736-2023</t>
        </is>
      </c>
      <c r="B321" s="1" t="n">
        <v>45277</v>
      </c>
      <c r="C321" s="1" t="n">
        <v>45843</v>
      </c>
      <c r="D321" t="inlineStr">
        <is>
          <t>SÖDERMANLANDS LÄN</t>
        </is>
      </c>
      <c r="E321" t="inlineStr">
        <is>
          <t>GNESTA</t>
        </is>
      </c>
      <c r="G321" t="n">
        <v>5.2</v>
      </c>
      <c r="H321" t="n">
        <v>2</v>
      </c>
      <c r="I321" t="n">
        <v>0</v>
      </c>
      <c r="J321" t="n">
        <v>1</v>
      </c>
      <c r="K321" t="n">
        <v>0</v>
      </c>
      <c r="L321" t="n">
        <v>0</v>
      </c>
      <c r="M321" t="n">
        <v>0</v>
      </c>
      <c r="N321" t="n">
        <v>0</v>
      </c>
      <c r="O321" t="n">
        <v>1</v>
      </c>
      <c r="P321" t="n">
        <v>0</v>
      </c>
      <c r="Q321" t="n">
        <v>2</v>
      </c>
      <c r="R321" s="2" t="inlineStr">
        <is>
          <t>Nordfladdermus
Kopparödla</t>
        </is>
      </c>
      <c r="S321">
        <f>HYPERLINK("https://klasma.github.io/Logging_0461/artfynd/A 63736-2023 artfynd.xlsx", "A 63736-2023")</f>
        <v/>
      </c>
      <c r="T321">
        <f>HYPERLINK("https://klasma.github.io/Logging_0461/kartor/A 63736-2023 karta.png", "A 63736-2023")</f>
        <v/>
      </c>
      <c r="V321">
        <f>HYPERLINK("https://klasma.github.io/Logging_0461/klagomål/A 63736-2023 FSC-klagomål.docx", "A 63736-2023")</f>
        <v/>
      </c>
      <c r="W321">
        <f>HYPERLINK("https://klasma.github.io/Logging_0461/klagomålsmail/A 63736-2023 FSC-klagomål mail.docx", "A 63736-2023")</f>
        <v/>
      </c>
      <c r="X321">
        <f>HYPERLINK("https://klasma.github.io/Logging_0461/tillsyn/A 63736-2023 tillsynsbegäran.docx", "A 63736-2023")</f>
        <v/>
      </c>
      <c r="Y321">
        <f>HYPERLINK("https://klasma.github.io/Logging_0461/tillsynsmail/A 63736-2023 tillsynsbegäran mail.docx", "A 63736-2023")</f>
        <v/>
      </c>
    </row>
    <row r="322" ht="15" customHeight="1">
      <c r="A322" t="inlineStr">
        <is>
          <t>A 3825-2024</t>
        </is>
      </c>
      <c r="B322" s="1" t="n">
        <v>45321</v>
      </c>
      <c r="C322" s="1" t="n">
        <v>45843</v>
      </c>
      <c r="D322" t="inlineStr">
        <is>
          <t>SÖDERMANLANDS LÄN</t>
        </is>
      </c>
      <c r="E322" t="inlineStr">
        <is>
          <t>STRÄNGNÄS</t>
        </is>
      </c>
      <c r="G322" t="n">
        <v>6.4</v>
      </c>
      <c r="H322" t="n">
        <v>2</v>
      </c>
      <c r="I322" t="n">
        <v>0</v>
      </c>
      <c r="J322" t="n">
        <v>1</v>
      </c>
      <c r="K322" t="n">
        <v>0</v>
      </c>
      <c r="L322" t="n">
        <v>0</v>
      </c>
      <c r="M322" t="n">
        <v>0</v>
      </c>
      <c r="N322" t="n">
        <v>0</v>
      </c>
      <c r="O322" t="n">
        <v>1</v>
      </c>
      <c r="P322" t="n">
        <v>0</v>
      </c>
      <c r="Q322" t="n">
        <v>2</v>
      </c>
      <c r="R322" s="2" t="inlineStr">
        <is>
          <t>Spillkråka
Blåsippa</t>
        </is>
      </c>
      <c r="S322">
        <f>HYPERLINK("https://klasma.github.io/Logging_0486/artfynd/A 3825-2024 artfynd.xlsx", "A 3825-2024")</f>
        <v/>
      </c>
      <c r="T322">
        <f>HYPERLINK("https://klasma.github.io/Logging_0486/kartor/A 3825-2024 karta.png", "A 3825-2024")</f>
        <v/>
      </c>
      <c r="V322">
        <f>HYPERLINK("https://klasma.github.io/Logging_0486/klagomål/A 3825-2024 FSC-klagomål.docx", "A 3825-2024")</f>
        <v/>
      </c>
      <c r="W322">
        <f>HYPERLINK("https://klasma.github.io/Logging_0486/klagomålsmail/A 3825-2024 FSC-klagomål mail.docx", "A 3825-2024")</f>
        <v/>
      </c>
      <c r="X322">
        <f>HYPERLINK("https://klasma.github.io/Logging_0486/tillsyn/A 3825-2024 tillsynsbegäran.docx", "A 3825-2024")</f>
        <v/>
      </c>
      <c r="Y322">
        <f>HYPERLINK("https://klasma.github.io/Logging_0486/tillsynsmail/A 3825-2024 tillsynsbegäran mail.docx", "A 3825-2024")</f>
        <v/>
      </c>
      <c r="Z322">
        <f>HYPERLINK("https://klasma.github.io/Logging_0486/fåglar/A 3825-2024 prioriterade fågelarter.docx", "A 3825-2024")</f>
        <v/>
      </c>
    </row>
    <row r="323" ht="15" customHeight="1">
      <c r="A323" t="inlineStr">
        <is>
          <t>A 4155-2024</t>
        </is>
      </c>
      <c r="B323" s="1" t="n">
        <v>45323</v>
      </c>
      <c r="C323" s="1" t="n">
        <v>45843</v>
      </c>
      <c r="D323" t="inlineStr">
        <is>
          <t>SÖDERMANLANDS LÄN</t>
        </is>
      </c>
      <c r="E323" t="inlineStr">
        <is>
          <t>FLEN</t>
        </is>
      </c>
      <c r="G323" t="n">
        <v>2.1</v>
      </c>
      <c r="H323" t="n">
        <v>1</v>
      </c>
      <c r="I323" t="n">
        <v>1</v>
      </c>
      <c r="J323" t="n">
        <v>0</v>
      </c>
      <c r="K323" t="n">
        <v>1</v>
      </c>
      <c r="L323" t="n">
        <v>0</v>
      </c>
      <c r="M323" t="n">
        <v>0</v>
      </c>
      <c r="N323" t="n">
        <v>0</v>
      </c>
      <c r="O323" t="n">
        <v>1</v>
      </c>
      <c r="P323" t="n">
        <v>1</v>
      </c>
      <c r="Q323" t="n">
        <v>2</v>
      </c>
      <c r="R323" s="2" t="inlineStr">
        <is>
          <t>Knärot
Scharlakansskål</t>
        </is>
      </c>
      <c r="S323">
        <f>HYPERLINK("https://klasma.github.io/Logging_0482/artfynd/A 4155-2024 artfynd.xlsx", "A 4155-2024")</f>
        <v/>
      </c>
      <c r="T323">
        <f>HYPERLINK("https://klasma.github.io/Logging_0482/kartor/A 4155-2024 karta.png", "A 4155-2024")</f>
        <v/>
      </c>
      <c r="U323">
        <f>HYPERLINK("https://klasma.github.io/Logging_0482/knärot/A 4155-2024 karta knärot.png", "A 4155-2024")</f>
        <v/>
      </c>
      <c r="V323">
        <f>HYPERLINK("https://klasma.github.io/Logging_0482/klagomål/A 4155-2024 FSC-klagomål.docx", "A 4155-2024")</f>
        <v/>
      </c>
      <c r="W323">
        <f>HYPERLINK("https://klasma.github.io/Logging_0482/klagomålsmail/A 4155-2024 FSC-klagomål mail.docx", "A 4155-2024")</f>
        <v/>
      </c>
      <c r="X323">
        <f>HYPERLINK("https://klasma.github.io/Logging_0482/tillsyn/A 4155-2024 tillsynsbegäran.docx", "A 4155-2024")</f>
        <v/>
      </c>
      <c r="Y323">
        <f>HYPERLINK("https://klasma.github.io/Logging_0482/tillsynsmail/A 4155-2024 tillsynsbegäran mail.docx", "A 4155-2024")</f>
        <v/>
      </c>
    </row>
    <row r="324" ht="15" customHeight="1">
      <c r="A324" t="inlineStr">
        <is>
          <t>A 4392-2024</t>
        </is>
      </c>
      <c r="B324" s="1" t="n">
        <v>45327</v>
      </c>
      <c r="C324" s="1" t="n">
        <v>45843</v>
      </c>
      <c r="D324" t="inlineStr">
        <is>
          <t>SÖDERMANLANDS LÄN</t>
        </is>
      </c>
      <c r="E324" t="inlineStr">
        <is>
          <t>KATRINEHOLM</t>
        </is>
      </c>
      <c r="G324" t="n">
        <v>2.3</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4392-2024 artfynd.xlsx", "A 4392-2024")</f>
        <v/>
      </c>
      <c r="T324">
        <f>HYPERLINK("https://klasma.github.io/Logging_0483/kartor/A 4392-2024 karta.png", "A 4392-2024")</f>
        <v/>
      </c>
      <c r="V324">
        <f>HYPERLINK("https://klasma.github.io/Logging_0483/klagomål/A 4392-2024 FSC-klagomål.docx", "A 4392-2024")</f>
        <v/>
      </c>
      <c r="W324">
        <f>HYPERLINK("https://klasma.github.io/Logging_0483/klagomålsmail/A 4392-2024 FSC-klagomål mail.docx", "A 4392-2024")</f>
        <v/>
      </c>
      <c r="X324">
        <f>HYPERLINK("https://klasma.github.io/Logging_0483/tillsyn/A 4392-2024 tillsynsbegäran.docx", "A 4392-2024")</f>
        <v/>
      </c>
      <c r="Y324">
        <f>HYPERLINK("https://klasma.github.io/Logging_0483/tillsynsmail/A 4392-2024 tillsynsbegäran mail.docx", "A 4392-2024")</f>
        <v/>
      </c>
      <c r="Z324">
        <f>HYPERLINK("https://klasma.github.io/Logging_0483/fåglar/A 4392-2024 prioriterade fågelarter.docx", "A 4392-2024")</f>
        <v/>
      </c>
    </row>
    <row r="325" ht="15" customHeight="1">
      <c r="A325" t="inlineStr">
        <is>
          <t>A 4518-2024</t>
        </is>
      </c>
      <c r="B325" s="1" t="n">
        <v>45327</v>
      </c>
      <c r="C325" s="1" t="n">
        <v>45843</v>
      </c>
      <c r="D325" t="inlineStr">
        <is>
          <t>SÖDERMANLANDS LÄN</t>
        </is>
      </c>
      <c r="E325" t="inlineStr">
        <is>
          <t>KATRINEHOLM</t>
        </is>
      </c>
      <c r="G325" t="n">
        <v>2.5</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4518-2024 artfynd.xlsx", "A 4518-2024")</f>
        <v/>
      </c>
      <c r="T325">
        <f>HYPERLINK("https://klasma.github.io/Logging_0483/kartor/A 4518-2024 karta.png", "A 4518-2024")</f>
        <v/>
      </c>
      <c r="V325">
        <f>HYPERLINK("https://klasma.github.io/Logging_0483/klagomål/A 4518-2024 FSC-klagomål.docx", "A 4518-2024")</f>
        <v/>
      </c>
      <c r="W325">
        <f>HYPERLINK("https://klasma.github.io/Logging_0483/klagomålsmail/A 4518-2024 FSC-klagomål mail.docx", "A 4518-2024")</f>
        <v/>
      </c>
      <c r="X325">
        <f>HYPERLINK("https://klasma.github.io/Logging_0483/tillsyn/A 4518-2024 tillsynsbegäran.docx", "A 4518-2024")</f>
        <v/>
      </c>
      <c r="Y325">
        <f>HYPERLINK("https://klasma.github.io/Logging_0483/tillsynsmail/A 4518-2024 tillsynsbegäran mail.docx", "A 4518-2024")</f>
        <v/>
      </c>
      <c r="Z325">
        <f>HYPERLINK("https://klasma.github.io/Logging_0483/fåglar/A 4518-2024 prioriterade fågelarter.docx", "A 4518-2024")</f>
        <v/>
      </c>
    </row>
    <row r="326" ht="15" customHeight="1">
      <c r="A326" t="inlineStr">
        <is>
          <t>A 7939-2024</t>
        </is>
      </c>
      <c r="B326" s="1" t="n">
        <v>45350</v>
      </c>
      <c r="C326" s="1" t="n">
        <v>45843</v>
      </c>
      <c r="D326" t="inlineStr">
        <is>
          <t>SÖDERMANLANDS LÄN</t>
        </is>
      </c>
      <c r="E326" t="inlineStr">
        <is>
          <t>FLEN</t>
        </is>
      </c>
      <c r="G326" t="n">
        <v>11.5</v>
      </c>
      <c r="H326" t="n">
        <v>0</v>
      </c>
      <c r="I326" t="n">
        <v>1</v>
      </c>
      <c r="J326" t="n">
        <v>1</v>
      </c>
      <c r="K326" t="n">
        <v>0</v>
      </c>
      <c r="L326" t="n">
        <v>0</v>
      </c>
      <c r="M326" t="n">
        <v>0</v>
      </c>
      <c r="N326" t="n">
        <v>0</v>
      </c>
      <c r="O326" t="n">
        <v>1</v>
      </c>
      <c r="P326" t="n">
        <v>0</v>
      </c>
      <c r="Q326" t="n">
        <v>2</v>
      </c>
      <c r="R326" s="2" t="inlineStr">
        <is>
          <t>Motaggsvamp
Grovticka</t>
        </is>
      </c>
      <c r="S326">
        <f>HYPERLINK("https://klasma.github.io/Logging_0482/artfynd/A 7939-2024 artfynd.xlsx", "A 7939-2024")</f>
        <v/>
      </c>
      <c r="T326">
        <f>HYPERLINK("https://klasma.github.io/Logging_0482/kartor/A 7939-2024 karta.png", "A 7939-2024")</f>
        <v/>
      </c>
      <c r="V326">
        <f>HYPERLINK("https://klasma.github.io/Logging_0482/klagomål/A 7939-2024 FSC-klagomål.docx", "A 7939-2024")</f>
        <v/>
      </c>
      <c r="W326">
        <f>HYPERLINK("https://klasma.github.io/Logging_0482/klagomålsmail/A 7939-2024 FSC-klagomål mail.docx", "A 7939-2024")</f>
        <v/>
      </c>
      <c r="X326">
        <f>HYPERLINK("https://klasma.github.io/Logging_0482/tillsyn/A 7939-2024 tillsynsbegäran.docx", "A 7939-2024")</f>
        <v/>
      </c>
      <c r="Y326">
        <f>HYPERLINK("https://klasma.github.io/Logging_0482/tillsynsmail/A 7939-2024 tillsynsbegäran mail.docx", "A 7939-2024")</f>
        <v/>
      </c>
    </row>
    <row r="327" ht="15" customHeight="1">
      <c r="A327" t="inlineStr">
        <is>
          <t>A 12658-2024</t>
        </is>
      </c>
      <c r="B327" s="1" t="n">
        <v>45381</v>
      </c>
      <c r="C327" s="1" t="n">
        <v>45843</v>
      </c>
      <c r="D327" t="inlineStr">
        <is>
          <t>SÖDERMANLANDS LÄN</t>
        </is>
      </c>
      <c r="E327" t="inlineStr">
        <is>
          <t>NYKÖPING</t>
        </is>
      </c>
      <c r="G327" t="n">
        <v>1.5</v>
      </c>
      <c r="H327" t="n">
        <v>1</v>
      </c>
      <c r="I327" t="n">
        <v>0</v>
      </c>
      <c r="J327" t="n">
        <v>1</v>
      </c>
      <c r="K327" t="n">
        <v>0</v>
      </c>
      <c r="L327" t="n">
        <v>0</v>
      </c>
      <c r="M327" t="n">
        <v>1</v>
      </c>
      <c r="N327" t="n">
        <v>0</v>
      </c>
      <c r="O327" t="n">
        <v>2</v>
      </c>
      <c r="P327" t="n">
        <v>1</v>
      </c>
      <c r="Q327" t="n">
        <v>2</v>
      </c>
      <c r="R327" s="2" t="inlineStr">
        <is>
          <t>Skogsalm
Gulsparv</t>
        </is>
      </c>
      <c r="S327">
        <f>HYPERLINK("https://klasma.github.io/Logging_0480/artfynd/A 12658-2024 artfynd.xlsx", "A 12658-2024")</f>
        <v/>
      </c>
      <c r="T327">
        <f>HYPERLINK("https://klasma.github.io/Logging_0480/kartor/A 12658-2024 karta.png", "A 12658-2024")</f>
        <v/>
      </c>
      <c r="V327">
        <f>HYPERLINK("https://klasma.github.io/Logging_0480/klagomål/A 12658-2024 FSC-klagomål.docx", "A 12658-2024")</f>
        <v/>
      </c>
      <c r="W327">
        <f>HYPERLINK("https://klasma.github.io/Logging_0480/klagomålsmail/A 12658-2024 FSC-klagomål mail.docx", "A 12658-2024")</f>
        <v/>
      </c>
      <c r="X327">
        <f>HYPERLINK("https://klasma.github.io/Logging_0480/tillsyn/A 12658-2024 tillsynsbegäran.docx", "A 12658-2024")</f>
        <v/>
      </c>
      <c r="Y327">
        <f>HYPERLINK("https://klasma.github.io/Logging_0480/tillsynsmail/A 12658-2024 tillsynsbegäran mail.docx", "A 12658-2024")</f>
        <v/>
      </c>
      <c r="Z327">
        <f>HYPERLINK("https://klasma.github.io/Logging_0480/fåglar/A 12658-2024 prioriterade fågelarter.docx", "A 12658-2024")</f>
        <v/>
      </c>
    </row>
    <row r="328" ht="15" customHeight="1">
      <c r="A328" t="inlineStr">
        <is>
          <t>A 16308-2024</t>
        </is>
      </c>
      <c r="B328" s="1" t="n">
        <v>45407</v>
      </c>
      <c r="C328" s="1" t="n">
        <v>45843</v>
      </c>
      <c r="D328" t="inlineStr">
        <is>
          <t>SÖDERMANLANDS LÄN</t>
        </is>
      </c>
      <c r="E328" t="inlineStr">
        <is>
          <t>VINGÅKER</t>
        </is>
      </c>
      <c r="G328" t="n">
        <v>4.2</v>
      </c>
      <c r="H328" t="n">
        <v>2</v>
      </c>
      <c r="I328" t="n">
        <v>0</v>
      </c>
      <c r="J328" t="n">
        <v>2</v>
      </c>
      <c r="K328" t="n">
        <v>0</v>
      </c>
      <c r="L328" t="n">
        <v>0</v>
      </c>
      <c r="M328" t="n">
        <v>0</v>
      </c>
      <c r="N328" t="n">
        <v>0</v>
      </c>
      <c r="O328" t="n">
        <v>2</v>
      </c>
      <c r="P328" t="n">
        <v>0</v>
      </c>
      <c r="Q328" t="n">
        <v>2</v>
      </c>
      <c r="R328" s="2" t="inlineStr">
        <is>
          <t>Spillkråka
Svartvit flugsnappare</t>
        </is>
      </c>
      <c r="S328">
        <f>HYPERLINK("https://klasma.github.io/Logging_0428/artfynd/A 16308-2024 artfynd.xlsx", "A 16308-2024")</f>
        <v/>
      </c>
      <c r="T328">
        <f>HYPERLINK("https://klasma.github.io/Logging_0428/kartor/A 16308-2024 karta.png", "A 16308-2024")</f>
        <v/>
      </c>
      <c r="V328">
        <f>HYPERLINK("https://klasma.github.io/Logging_0428/klagomål/A 16308-2024 FSC-klagomål.docx", "A 16308-2024")</f>
        <v/>
      </c>
      <c r="W328">
        <f>HYPERLINK("https://klasma.github.io/Logging_0428/klagomålsmail/A 16308-2024 FSC-klagomål mail.docx", "A 16308-2024")</f>
        <v/>
      </c>
      <c r="X328">
        <f>HYPERLINK("https://klasma.github.io/Logging_0428/tillsyn/A 16308-2024 tillsynsbegäran.docx", "A 16308-2024")</f>
        <v/>
      </c>
      <c r="Y328">
        <f>HYPERLINK("https://klasma.github.io/Logging_0428/tillsynsmail/A 16308-2024 tillsynsbegäran mail.docx", "A 16308-2024")</f>
        <v/>
      </c>
      <c r="Z328">
        <f>HYPERLINK("https://klasma.github.io/Logging_0428/fåglar/A 16308-2024 prioriterade fågelarter.docx", "A 16308-2024")</f>
        <v/>
      </c>
    </row>
    <row r="329" ht="15" customHeight="1">
      <c r="A329" t="inlineStr">
        <is>
          <t>A 18788-2024</t>
        </is>
      </c>
      <c r="B329" s="1" t="n">
        <v>45426</v>
      </c>
      <c r="C329" s="1" t="n">
        <v>45843</v>
      </c>
      <c r="D329" t="inlineStr">
        <is>
          <t>SÖDERMANLANDS LÄN</t>
        </is>
      </c>
      <c r="E329" t="inlineStr">
        <is>
          <t>FLEN</t>
        </is>
      </c>
      <c r="G329" t="n">
        <v>11.1</v>
      </c>
      <c r="H329" t="n">
        <v>0</v>
      </c>
      <c r="I329" t="n">
        <v>0</v>
      </c>
      <c r="J329" t="n">
        <v>2</v>
      </c>
      <c r="K329" t="n">
        <v>0</v>
      </c>
      <c r="L329" t="n">
        <v>0</v>
      </c>
      <c r="M329" t="n">
        <v>0</v>
      </c>
      <c r="N329" t="n">
        <v>0</v>
      </c>
      <c r="O329" t="n">
        <v>2</v>
      </c>
      <c r="P329" t="n">
        <v>0</v>
      </c>
      <c r="Q329" t="n">
        <v>2</v>
      </c>
      <c r="R329" s="2" t="inlineStr">
        <is>
          <t>Svinrot
Ängsskära</t>
        </is>
      </c>
      <c r="S329">
        <f>HYPERLINK("https://klasma.github.io/Logging_0482/artfynd/A 18788-2024 artfynd.xlsx", "A 18788-2024")</f>
        <v/>
      </c>
      <c r="T329">
        <f>HYPERLINK("https://klasma.github.io/Logging_0482/kartor/A 18788-2024 karta.png", "A 18788-2024")</f>
        <v/>
      </c>
      <c r="V329">
        <f>HYPERLINK("https://klasma.github.io/Logging_0482/klagomål/A 18788-2024 FSC-klagomål.docx", "A 18788-2024")</f>
        <v/>
      </c>
      <c r="W329">
        <f>HYPERLINK("https://klasma.github.io/Logging_0482/klagomålsmail/A 18788-2024 FSC-klagomål mail.docx", "A 18788-2024")</f>
        <v/>
      </c>
      <c r="X329">
        <f>HYPERLINK("https://klasma.github.io/Logging_0482/tillsyn/A 18788-2024 tillsynsbegäran.docx", "A 18788-2024")</f>
        <v/>
      </c>
      <c r="Y329">
        <f>HYPERLINK("https://klasma.github.io/Logging_0482/tillsynsmail/A 18788-2024 tillsynsbegäran mail.docx", "A 18788-2024")</f>
        <v/>
      </c>
    </row>
    <row r="330" ht="15" customHeight="1">
      <c r="A330" t="inlineStr">
        <is>
          <t>A 19598-2024</t>
        </is>
      </c>
      <c r="B330" s="1" t="n">
        <v>45431</v>
      </c>
      <c r="C330" s="1" t="n">
        <v>45843</v>
      </c>
      <c r="D330" t="inlineStr">
        <is>
          <t>SÖDERMANLANDS LÄN</t>
        </is>
      </c>
      <c r="E330" t="inlineStr">
        <is>
          <t>STRÄNGNÄS</t>
        </is>
      </c>
      <c r="F330" t="inlineStr">
        <is>
          <t>Övriga Aktiebolag</t>
        </is>
      </c>
      <c r="G330" t="n">
        <v>3.5</v>
      </c>
      <c r="H330" t="n">
        <v>2</v>
      </c>
      <c r="I330" t="n">
        <v>0</v>
      </c>
      <c r="J330" t="n">
        <v>0</v>
      </c>
      <c r="K330" t="n">
        <v>0</v>
      </c>
      <c r="L330" t="n">
        <v>0</v>
      </c>
      <c r="M330" t="n">
        <v>0</v>
      </c>
      <c r="N330" t="n">
        <v>0</v>
      </c>
      <c r="O330" t="n">
        <v>0</v>
      </c>
      <c r="P330" t="n">
        <v>0</v>
      </c>
      <c r="Q330" t="n">
        <v>2</v>
      </c>
      <c r="R330" s="2" t="inlineStr">
        <is>
          <t>Gröngöling
Kungsfågel</t>
        </is>
      </c>
      <c r="S330">
        <f>HYPERLINK("https://klasma.github.io/Logging_0486/artfynd/A 19598-2024 artfynd.xlsx", "A 19598-2024")</f>
        <v/>
      </c>
      <c r="T330">
        <f>HYPERLINK("https://klasma.github.io/Logging_0486/kartor/A 19598-2024 karta.png", "A 19598-2024")</f>
        <v/>
      </c>
      <c r="V330">
        <f>HYPERLINK("https://klasma.github.io/Logging_0486/klagomål/A 19598-2024 FSC-klagomål.docx", "A 19598-2024")</f>
        <v/>
      </c>
      <c r="W330">
        <f>HYPERLINK("https://klasma.github.io/Logging_0486/klagomålsmail/A 19598-2024 FSC-klagomål mail.docx", "A 19598-2024")</f>
        <v/>
      </c>
      <c r="X330">
        <f>HYPERLINK("https://klasma.github.io/Logging_0486/tillsyn/A 19598-2024 tillsynsbegäran.docx", "A 19598-2024")</f>
        <v/>
      </c>
      <c r="Y330">
        <f>HYPERLINK("https://klasma.github.io/Logging_0486/tillsynsmail/A 19598-2024 tillsynsbegäran mail.docx", "A 19598-2024")</f>
        <v/>
      </c>
      <c r="Z330">
        <f>HYPERLINK("https://klasma.github.io/Logging_0486/fåglar/A 19598-2024 prioriterade fågelarter.docx", "A 19598-2024")</f>
        <v/>
      </c>
    </row>
    <row r="331" ht="15" customHeight="1">
      <c r="A331" t="inlineStr">
        <is>
          <t>A 20863-2024</t>
        </is>
      </c>
      <c r="B331" s="1" t="n">
        <v>45439</v>
      </c>
      <c r="C331" s="1" t="n">
        <v>45843</v>
      </c>
      <c r="D331" t="inlineStr">
        <is>
          <t>SÖDERMANLANDS LÄN</t>
        </is>
      </c>
      <c r="E331" t="inlineStr">
        <is>
          <t>FLEN</t>
        </is>
      </c>
      <c r="F331" t="inlineStr">
        <is>
          <t>Holmen skog AB</t>
        </is>
      </c>
      <c r="G331" t="n">
        <v>1.9</v>
      </c>
      <c r="H331" t="n">
        <v>2</v>
      </c>
      <c r="I331" t="n">
        <v>0</v>
      </c>
      <c r="J331" t="n">
        <v>0</v>
      </c>
      <c r="K331" t="n">
        <v>0</v>
      </c>
      <c r="L331" t="n">
        <v>0</v>
      </c>
      <c r="M331" t="n">
        <v>0</v>
      </c>
      <c r="N331" t="n">
        <v>0</v>
      </c>
      <c r="O331" t="n">
        <v>0</v>
      </c>
      <c r="P331" t="n">
        <v>0</v>
      </c>
      <c r="Q331" t="n">
        <v>2</v>
      </c>
      <c r="R331" s="2" t="inlineStr">
        <is>
          <t>Fläcknycklar
Revlummer</t>
        </is>
      </c>
      <c r="S331">
        <f>HYPERLINK("https://klasma.github.io/Logging_0482/artfynd/A 20863-2024 artfynd.xlsx", "A 20863-2024")</f>
        <v/>
      </c>
      <c r="T331">
        <f>HYPERLINK("https://klasma.github.io/Logging_0482/kartor/A 20863-2024 karta.png", "A 20863-2024")</f>
        <v/>
      </c>
      <c r="V331">
        <f>HYPERLINK("https://klasma.github.io/Logging_0482/klagomål/A 20863-2024 FSC-klagomål.docx", "A 20863-2024")</f>
        <v/>
      </c>
      <c r="W331">
        <f>HYPERLINK("https://klasma.github.io/Logging_0482/klagomålsmail/A 20863-2024 FSC-klagomål mail.docx", "A 20863-2024")</f>
        <v/>
      </c>
      <c r="X331">
        <f>HYPERLINK("https://klasma.github.io/Logging_0482/tillsyn/A 20863-2024 tillsynsbegäran.docx", "A 20863-2024")</f>
        <v/>
      </c>
      <c r="Y331">
        <f>HYPERLINK("https://klasma.github.io/Logging_0482/tillsynsmail/A 20863-2024 tillsynsbegäran mail.docx", "A 20863-2024")</f>
        <v/>
      </c>
    </row>
    <row r="332" ht="15" customHeight="1">
      <c r="A332" t="inlineStr">
        <is>
          <t>A 24767-2024</t>
        </is>
      </c>
      <c r="B332" s="1" t="n">
        <v>45460</v>
      </c>
      <c r="C332" s="1" t="n">
        <v>45843</v>
      </c>
      <c r="D332" t="inlineStr">
        <is>
          <t>SÖDERMANLANDS LÄN</t>
        </is>
      </c>
      <c r="E332" t="inlineStr">
        <is>
          <t>ESKILSTUNA</t>
        </is>
      </c>
      <c r="G332" t="n">
        <v>15.2</v>
      </c>
      <c r="H332" t="n">
        <v>2</v>
      </c>
      <c r="I332" t="n">
        <v>0</v>
      </c>
      <c r="J332" t="n">
        <v>0</v>
      </c>
      <c r="K332" t="n">
        <v>0</v>
      </c>
      <c r="L332" t="n">
        <v>0</v>
      </c>
      <c r="M332" t="n">
        <v>0</v>
      </c>
      <c r="N332" t="n">
        <v>0</v>
      </c>
      <c r="O332" t="n">
        <v>0</v>
      </c>
      <c r="P332" t="n">
        <v>0</v>
      </c>
      <c r="Q332" t="n">
        <v>2</v>
      </c>
      <c r="R332" s="2" t="inlineStr">
        <is>
          <t>Fläcknycklar
Mattlummer</t>
        </is>
      </c>
      <c r="S332">
        <f>HYPERLINK("https://klasma.github.io/Logging_0484/artfynd/A 24767-2024 artfynd.xlsx", "A 24767-2024")</f>
        <v/>
      </c>
      <c r="T332">
        <f>HYPERLINK("https://klasma.github.io/Logging_0484/kartor/A 24767-2024 karta.png", "A 24767-2024")</f>
        <v/>
      </c>
      <c r="V332">
        <f>HYPERLINK("https://klasma.github.io/Logging_0484/klagomål/A 24767-2024 FSC-klagomål.docx", "A 24767-2024")</f>
        <v/>
      </c>
      <c r="W332">
        <f>HYPERLINK("https://klasma.github.io/Logging_0484/klagomålsmail/A 24767-2024 FSC-klagomål mail.docx", "A 24767-2024")</f>
        <v/>
      </c>
      <c r="X332">
        <f>HYPERLINK("https://klasma.github.io/Logging_0484/tillsyn/A 24767-2024 tillsynsbegäran.docx", "A 24767-2024")</f>
        <v/>
      </c>
      <c r="Y332">
        <f>HYPERLINK("https://klasma.github.io/Logging_0484/tillsynsmail/A 24767-2024 tillsynsbegäran mail.docx", "A 24767-2024")</f>
        <v/>
      </c>
    </row>
    <row r="333" ht="15" customHeight="1">
      <c r="A333" t="inlineStr">
        <is>
          <t>A 25979-2024</t>
        </is>
      </c>
      <c r="B333" s="1" t="n">
        <v>45467</v>
      </c>
      <c r="C333" s="1" t="n">
        <v>45843</v>
      </c>
      <c r="D333" t="inlineStr">
        <is>
          <t>SÖDERMANLANDS LÄN</t>
        </is>
      </c>
      <c r="E333" t="inlineStr">
        <is>
          <t>GNESTA</t>
        </is>
      </c>
      <c r="G333" t="n">
        <v>6.3</v>
      </c>
      <c r="H333" t="n">
        <v>1</v>
      </c>
      <c r="I333" t="n">
        <v>0</v>
      </c>
      <c r="J333" t="n">
        <v>0</v>
      </c>
      <c r="K333" t="n">
        <v>0</v>
      </c>
      <c r="L333" t="n">
        <v>1</v>
      </c>
      <c r="M333" t="n">
        <v>0</v>
      </c>
      <c r="N333" t="n">
        <v>0</v>
      </c>
      <c r="O333" t="n">
        <v>1</v>
      </c>
      <c r="P333" t="n">
        <v>1</v>
      </c>
      <c r="Q333" t="n">
        <v>2</v>
      </c>
      <c r="R333" s="2" t="inlineStr">
        <is>
          <t>Rökpipsvamp
Blåsippa</t>
        </is>
      </c>
      <c r="S333">
        <f>HYPERLINK("https://klasma.github.io/Logging_0461/artfynd/A 25979-2024 artfynd.xlsx", "A 25979-2024")</f>
        <v/>
      </c>
      <c r="T333">
        <f>HYPERLINK("https://klasma.github.io/Logging_0461/kartor/A 25979-2024 karta.png", "A 25979-2024")</f>
        <v/>
      </c>
      <c r="V333">
        <f>HYPERLINK("https://klasma.github.io/Logging_0461/klagomål/A 25979-2024 FSC-klagomål.docx", "A 25979-2024")</f>
        <v/>
      </c>
      <c r="W333">
        <f>HYPERLINK("https://klasma.github.io/Logging_0461/klagomålsmail/A 25979-2024 FSC-klagomål mail.docx", "A 25979-2024")</f>
        <v/>
      </c>
      <c r="X333">
        <f>HYPERLINK("https://klasma.github.io/Logging_0461/tillsyn/A 25979-2024 tillsynsbegäran.docx", "A 25979-2024")</f>
        <v/>
      </c>
      <c r="Y333">
        <f>HYPERLINK("https://klasma.github.io/Logging_0461/tillsynsmail/A 25979-2024 tillsynsbegäran mail.docx", "A 25979-2024")</f>
        <v/>
      </c>
    </row>
    <row r="334" ht="15" customHeight="1">
      <c r="A334" t="inlineStr">
        <is>
          <t>A 29797-2024</t>
        </is>
      </c>
      <c r="B334" s="1" t="n">
        <v>45485</v>
      </c>
      <c r="C334" s="1" t="n">
        <v>45843</v>
      </c>
      <c r="D334" t="inlineStr">
        <is>
          <t>SÖDERMANLANDS LÄN</t>
        </is>
      </c>
      <c r="E334" t="inlineStr">
        <is>
          <t>NYKÖPING</t>
        </is>
      </c>
      <c r="G334" t="n">
        <v>22.2</v>
      </c>
      <c r="H334" t="n">
        <v>2</v>
      </c>
      <c r="I334" t="n">
        <v>0</v>
      </c>
      <c r="J334" t="n">
        <v>0</v>
      </c>
      <c r="K334" t="n">
        <v>0</v>
      </c>
      <c r="L334" t="n">
        <v>0</v>
      </c>
      <c r="M334" t="n">
        <v>0</v>
      </c>
      <c r="N334" t="n">
        <v>0</v>
      </c>
      <c r="O334" t="n">
        <v>0</v>
      </c>
      <c r="P334" t="n">
        <v>0</v>
      </c>
      <c r="Q334" t="n">
        <v>2</v>
      </c>
      <c r="R334" s="2" t="inlineStr">
        <is>
          <t>Citronfläckad kärrtrollslända
Större vattensalamander</t>
        </is>
      </c>
      <c r="S334">
        <f>HYPERLINK("https://klasma.github.io/Logging_0480/artfynd/A 29797-2024 artfynd.xlsx", "A 29797-2024")</f>
        <v/>
      </c>
      <c r="T334">
        <f>HYPERLINK("https://klasma.github.io/Logging_0480/kartor/A 29797-2024 karta.png", "A 29797-2024")</f>
        <v/>
      </c>
      <c r="V334">
        <f>HYPERLINK("https://klasma.github.io/Logging_0480/klagomål/A 29797-2024 FSC-klagomål.docx", "A 29797-2024")</f>
        <v/>
      </c>
      <c r="W334">
        <f>HYPERLINK("https://klasma.github.io/Logging_0480/klagomålsmail/A 29797-2024 FSC-klagomål mail.docx", "A 29797-2024")</f>
        <v/>
      </c>
      <c r="X334">
        <f>HYPERLINK("https://klasma.github.io/Logging_0480/tillsyn/A 29797-2024 tillsynsbegäran.docx", "A 29797-2024")</f>
        <v/>
      </c>
      <c r="Y334">
        <f>HYPERLINK("https://klasma.github.io/Logging_0480/tillsynsmail/A 29797-2024 tillsynsbegäran mail.docx", "A 29797-2024")</f>
        <v/>
      </c>
    </row>
    <row r="335" ht="15" customHeight="1">
      <c r="A335" t="inlineStr">
        <is>
          <t>A 29982-2024</t>
        </is>
      </c>
      <c r="B335" s="1" t="n">
        <v>45488</v>
      </c>
      <c r="C335" s="1" t="n">
        <v>45843</v>
      </c>
      <c r="D335" t="inlineStr">
        <is>
          <t>SÖDERMANLANDS LÄN</t>
        </is>
      </c>
      <c r="E335" t="inlineStr">
        <is>
          <t>GNESTA</t>
        </is>
      </c>
      <c r="G335" t="n">
        <v>6.8</v>
      </c>
      <c r="H335" t="n">
        <v>0</v>
      </c>
      <c r="I335" t="n">
        <v>0</v>
      </c>
      <c r="J335" t="n">
        <v>2</v>
      </c>
      <c r="K335" t="n">
        <v>0</v>
      </c>
      <c r="L335" t="n">
        <v>0</v>
      </c>
      <c r="M335" t="n">
        <v>0</v>
      </c>
      <c r="N335" t="n">
        <v>0</v>
      </c>
      <c r="O335" t="n">
        <v>2</v>
      </c>
      <c r="P335" t="n">
        <v>0</v>
      </c>
      <c r="Q335" t="n">
        <v>2</v>
      </c>
      <c r="R335" s="2" t="inlineStr">
        <is>
          <t>Svinrot
Ängsskära</t>
        </is>
      </c>
      <c r="S335">
        <f>HYPERLINK("https://klasma.github.io/Logging_0461/artfynd/A 29982-2024 artfynd.xlsx", "A 29982-2024")</f>
        <v/>
      </c>
      <c r="T335">
        <f>HYPERLINK("https://klasma.github.io/Logging_0461/kartor/A 29982-2024 karta.png", "A 29982-2024")</f>
        <v/>
      </c>
      <c r="V335">
        <f>HYPERLINK("https://klasma.github.io/Logging_0461/klagomål/A 29982-2024 FSC-klagomål.docx", "A 29982-2024")</f>
        <v/>
      </c>
      <c r="W335">
        <f>HYPERLINK("https://klasma.github.io/Logging_0461/klagomålsmail/A 29982-2024 FSC-klagomål mail.docx", "A 29982-2024")</f>
        <v/>
      </c>
      <c r="X335">
        <f>HYPERLINK("https://klasma.github.io/Logging_0461/tillsyn/A 29982-2024 tillsynsbegäran.docx", "A 29982-2024")</f>
        <v/>
      </c>
      <c r="Y335">
        <f>HYPERLINK("https://klasma.github.io/Logging_0461/tillsynsmail/A 29982-2024 tillsynsbegäran mail.docx", "A 29982-2024")</f>
        <v/>
      </c>
    </row>
    <row r="336" ht="15" customHeight="1">
      <c r="A336" t="inlineStr">
        <is>
          <t>A 32760-2024</t>
        </is>
      </c>
      <c r="B336" s="1" t="n">
        <v>45515</v>
      </c>
      <c r="C336" s="1" t="n">
        <v>45843</v>
      </c>
      <c r="D336" t="inlineStr">
        <is>
          <t>SÖDERMANLANDS LÄN</t>
        </is>
      </c>
      <c r="E336" t="inlineStr">
        <is>
          <t>FLEN</t>
        </is>
      </c>
      <c r="G336" t="n">
        <v>4.8</v>
      </c>
      <c r="H336" t="n">
        <v>0</v>
      </c>
      <c r="I336" t="n">
        <v>1</v>
      </c>
      <c r="J336" t="n">
        <v>1</v>
      </c>
      <c r="K336" t="n">
        <v>0</v>
      </c>
      <c r="L336" t="n">
        <v>0</v>
      </c>
      <c r="M336" t="n">
        <v>0</v>
      </c>
      <c r="N336" t="n">
        <v>0</v>
      </c>
      <c r="O336" t="n">
        <v>1</v>
      </c>
      <c r="P336" t="n">
        <v>0</v>
      </c>
      <c r="Q336" t="n">
        <v>2</v>
      </c>
      <c r="R336" s="2" t="inlineStr">
        <is>
          <t>Svinrot
Grönpyrola</t>
        </is>
      </c>
      <c r="S336">
        <f>HYPERLINK("https://klasma.github.io/Logging_0482/artfynd/A 32760-2024 artfynd.xlsx", "A 32760-2024")</f>
        <v/>
      </c>
      <c r="T336">
        <f>HYPERLINK("https://klasma.github.io/Logging_0482/kartor/A 32760-2024 karta.png", "A 32760-2024")</f>
        <v/>
      </c>
      <c r="V336">
        <f>HYPERLINK("https://klasma.github.io/Logging_0482/klagomål/A 32760-2024 FSC-klagomål.docx", "A 32760-2024")</f>
        <v/>
      </c>
      <c r="W336">
        <f>HYPERLINK("https://klasma.github.io/Logging_0482/klagomålsmail/A 32760-2024 FSC-klagomål mail.docx", "A 32760-2024")</f>
        <v/>
      </c>
      <c r="X336">
        <f>HYPERLINK("https://klasma.github.io/Logging_0482/tillsyn/A 32760-2024 tillsynsbegäran.docx", "A 32760-2024")</f>
        <v/>
      </c>
      <c r="Y336">
        <f>HYPERLINK("https://klasma.github.io/Logging_0482/tillsynsmail/A 32760-2024 tillsynsbegäran mail.docx", "A 32760-2024")</f>
        <v/>
      </c>
    </row>
    <row r="337" ht="15" customHeight="1">
      <c r="A337" t="inlineStr">
        <is>
          <t>A 32756-2024</t>
        </is>
      </c>
      <c r="B337" s="1" t="n">
        <v>45515</v>
      </c>
      <c r="C337" s="1" t="n">
        <v>45843</v>
      </c>
      <c r="D337" t="inlineStr">
        <is>
          <t>SÖDERMANLANDS LÄN</t>
        </is>
      </c>
      <c r="E337" t="inlineStr">
        <is>
          <t>FLEN</t>
        </is>
      </c>
      <c r="G337" t="n">
        <v>2.4</v>
      </c>
      <c r="H337" t="n">
        <v>1</v>
      </c>
      <c r="I337" t="n">
        <v>1</v>
      </c>
      <c r="J337" t="n">
        <v>0</v>
      </c>
      <c r="K337" t="n">
        <v>0</v>
      </c>
      <c r="L337" t="n">
        <v>0</v>
      </c>
      <c r="M337" t="n">
        <v>0</v>
      </c>
      <c r="N337" t="n">
        <v>0</v>
      </c>
      <c r="O337" t="n">
        <v>0</v>
      </c>
      <c r="P337" t="n">
        <v>0</v>
      </c>
      <c r="Q337" t="n">
        <v>2</v>
      </c>
      <c r="R337" s="2" t="inlineStr">
        <is>
          <t>Grönpyrola
Mattlummer</t>
        </is>
      </c>
      <c r="S337">
        <f>HYPERLINK("https://klasma.github.io/Logging_0482/artfynd/A 32756-2024 artfynd.xlsx", "A 32756-2024")</f>
        <v/>
      </c>
      <c r="T337">
        <f>HYPERLINK("https://klasma.github.io/Logging_0482/kartor/A 32756-2024 karta.png", "A 32756-2024")</f>
        <v/>
      </c>
      <c r="V337">
        <f>HYPERLINK("https://klasma.github.io/Logging_0482/klagomål/A 32756-2024 FSC-klagomål.docx", "A 32756-2024")</f>
        <v/>
      </c>
      <c r="W337">
        <f>HYPERLINK("https://klasma.github.io/Logging_0482/klagomålsmail/A 32756-2024 FSC-klagomål mail.docx", "A 32756-2024")</f>
        <v/>
      </c>
      <c r="X337">
        <f>HYPERLINK("https://klasma.github.io/Logging_0482/tillsyn/A 32756-2024 tillsynsbegäran.docx", "A 32756-2024")</f>
        <v/>
      </c>
      <c r="Y337">
        <f>HYPERLINK("https://klasma.github.io/Logging_0482/tillsynsmail/A 32756-2024 tillsynsbegäran mail.docx", "A 32756-2024")</f>
        <v/>
      </c>
    </row>
    <row r="338" ht="15" customHeight="1">
      <c r="A338" t="inlineStr">
        <is>
          <t>A 33224-2024</t>
        </is>
      </c>
      <c r="B338" s="1" t="n">
        <v>45518</v>
      </c>
      <c r="C338" s="1" t="n">
        <v>45843</v>
      </c>
      <c r="D338" t="inlineStr">
        <is>
          <t>SÖDERMANLANDS LÄN</t>
        </is>
      </c>
      <c r="E338" t="inlineStr">
        <is>
          <t>FLEN</t>
        </is>
      </c>
      <c r="G338" t="n">
        <v>1.4</v>
      </c>
      <c r="H338" t="n">
        <v>1</v>
      </c>
      <c r="I338" t="n">
        <v>0</v>
      </c>
      <c r="J338" t="n">
        <v>1</v>
      </c>
      <c r="K338" t="n">
        <v>0</v>
      </c>
      <c r="L338" t="n">
        <v>0</v>
      </c>
      <c r="M338" t="n">
        <v>0</v>
      </c>
      <c r="N338" t="n">
        <v>0</v>
      </c>
      <c r="O338" t="n">
        <v>1</v>
      </c>
      <c r="P338" t="n">
        <v>0</v>
      </c>
      <c r="Q338" t="n">
        <v>2</v>
      </c>
      <c r="R338" s="2" t="inlineStr">
        <is>
          <t>Gullklöver
Blåsippa</t>
        </is>
      </c>
      <c r="S338">
        <f>HYPERLINK("https://klasma.github.io/Logging_0482/artfynd/A 33224-2024 artfynd.xlsx", "A 33224-2024")</f>
        <v/>
      </c>
      <c r="T338">
        <f>HYPERLINK("https://klasma.github.io/Logging_0482/kartor/A 33224-2024 karta.png", "A 33224-2024")</f>
        <v/>
      </c>
      <c r="V338">
        <f>HYPERLINK("https://klasma.github.io/Logging_0482/klagomål/A 33224-2024 FSC-klagomål.docx", "A 33224-2024")</f>
        <v/>
      </c>
      <c r="W338">
        <f>HYPERLINK("https://klasma.github.io/Logging_0482/klagomålsmail/A 33224-2024 FSC-klagomål mail.docx", "A 33224-2024")</f>
        <v/>
      </c>
      <c r="X338">
        <f>HYPERLINK("https://klasma.github.io/Logging_0482/tillsyn/A 33224-2024 tillsynsbegäran.docx", "A 33224-2024")</f>
        <v/>
      </c>
      <c r="Y338">
        <f>HYPERLINK("https://klasma.github.io/Logging_0482/tillsynsmail/A 33224-2024 tillsynsbegäran mail.docx", "A 33224-2024")</f>
        <v/>
      </c>
    </row>
    <row r="339" ht="15" customHeight="1">
      <c r="A339" t="inlineStr">
        <is>
          <t>A 33826-2024</t>
        </is>
      </c>
      <c r="B339" s="1" t="n">
        <v>45520</v>
      </c>
      <c r="C339" s="1" t="n">
        <v>45843</v>
      </c>
      <c r="D339" t="inlineStr">
        <is>
          <t>SÖDERMANLANDS LÄN</t>
        </is>
      </c>
      <c r="E339" t="inlineStr">
        <is>
          <t>GNESTA</t>
        </is>
      </c>
      <c r="F339" t="inlineStr">
        <is>
          <t>Holmen skog AB</t>
        </is>
      </c>
      <c r="G339" t="n">
        <v>8.300000000000001</v>
      </c>
      <c r="H339" t="n">
        <v>0</v>
      </c>
      <c r="I339" t="n">
        <v>2</v>
      </c>
      <c r="J339" t="n">
        <v>0</v>
      </c>
      <c r="K339" t="n">
        <v>0</v>
      </c>
      <c r="L339" t="n">
        <v>0</v>
      </c>
      <c r="M339" t="n">
        <v>0</v>
      </c>
      <c r="N339" t="n">
        <v>0</v>
      </c>
      <c r="O339" t="n">
        <v>0</v>
      </c>
      <c r="P339" t="n">
        <v>0</v>
      </c>
      <c r="Q339" t="n">
        <v>2</v>
      </c>
      <c r="R339" s="2" t="inlineStr">
        <is>
          <t>Dropptaggsvamp
Grovticka</t>
        </is>
      </c>
      <c r="S339">
        <f>HYPERLINK("https://klasma.github.io/Logging_0461/artfynd/A 33826-2024 artfynd.xlsx", "A 33826-2024")</f>
        <v/>
      </c>
      <c r="T339">
        <f>HYPERLINK("https://klasma.github.io/Logging_0461/kartor/A 33826-2024 karta.png", "A 33826-2024")</f>
        <v/>
      </c>
      <c r="V339">
        <f>HYPERLINK("https://klasma.github.io/Logging_0461/klagomål/A 33826-2024 FSC-klagomål.docx", "A 33826-2024")</f>
        <v/>
      </c>
      <c r="W339">
        <f>HYPERLINK("https://klasma.github.io/Logging_0461/klagomålsmail/A 33826-2024 FSC-klagomål mail.docx", "A 33826-2024")</f>
        <v/>
      </c>
      <c r="X339">
        <f>HYPERLINK("https://klasma.github.io/Logging_0461/tillsyn/A 33826-2024 tillsynsbegäran.docx", "A 33826-2024")</f>
        <v/>
      </c>
      <c r="Y339">
        <f>HYPERLINK("https://klasma.github.io/Logging_0461/tillsynsmail/A 33826-2024 tillsynsbegäran mail.docx", "A 33826-2024")</f>
        <v/>
      </c>
    </row>
    <row r="340" ht="15" customHeight="1">
      <c r="A340" t="inlineStr">
        <is>
          <t>A 33954-2024</t>
        </is>
      </c>
      <c r="B340" s="1" t="n">
        <v>45523</v>
      </c>
      <c r="C340" s="1" t="n">
        <v>45843</v>
      </c>
      <c r="D340" t="inlineStr">
        <is>
          <t>SÖDERMANLANDS LÄN</t>
        </is>
      </c>
      <c r="E340" t="inlineStr">
        <is>
          <t>GNESTA</t>
        </is>
      </c>
      <c r="F340" t="inlineStr">
        <is>
          <t>Holmen skog AB</t>
        </is>
      </c>
      <c r="G340" t="n">
        <v>5.4</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HYPERLINK("https://klasma.github.io/Logging_0461/artfynd/A 33954-2024 artfynd.xlsx", "A 33954-2024")</f>
        <v/>
      </c>
      <c r="T340">
        <f>HYPERLINK("https://klasma.github.io/Logging_0461/kartor/A 33954-2024 karta.png", "A 33954-2024")</f>
        <v/>
      </c>
      <c r="V340">
        <f>HYPERLINK("https://klasma.github.io/Logging_0461/klagomål/A 33954-2024 FSC-klagomål.docx", "A 33954-2024")</f>
        <v/>
      </c>
      <c r="W340">
        <f>HYPERLINK("https://klasma.github.io/Logging_0461/klagomålsmail/A 33954-2024 FSC-klagomål mail.docx", "A 33954-2024")</f>
        <v/>
      </c>
      <c r="X340">
        <f>HYPERLINK("https://klasma.github.io/Logging_0461/tillsyn/A 33954-2024 tillsynsbegäran.docx", "A 33954-2024")</f>
        <v/>
      </c>
      <c r="Y340">
        <f>HYPERLINK("https://klasma.github.io/Logging_0461/tillsynsmail/A 33954-2024 tillsynsbegäran mail.docx", "A 33954-2024")</f>
        <v/>
      </c>
    </row>
    <row r="341" ht="15" customHeight="1">
      <c r="A341" t="inlineStr">
        <is>
          <t>A 37401-2024</t>
        </is>
      </c>
      <c r="B341" s="1" t="n">
        <v>45540</v>
      </c>
      <c r="C341" s="1" t="n">
        <v>45843</v>
      </c>
      <c r="D341" t="inlineStr">
        <is>
          <t>SÖDERMANLANDS LÄN</t>
        </is>
      </c>
      <c r="E341" t="inlineStr">
        <is>
          <t>NYKÖPING</t>
        </is>
      </c>
      <c r="F341" t="inlineStr">
        <is>
          <t>Holmen skog AB</t>
        </is>
      </c>
      <c r="G341" t="n">
        <v>2.2</v>
      </c>
      <c r="H341" t="n">
        <v>0</v>
      </c>
      <c r="I341" t="n">
        <v>0</v>
      </c>
      <c r="J341" t="n">
        <v>2</v>
      </c>
      <c r="K341" t="n">
        <v>0</v>
      </c>
      <c r="L341" t="n">
        <v>0</v>
      </c>
      <c r="M341" t="n">
        <v>0</v>
      </c>
      <c r="N341" t="n">
        <v>0</v>
      </c>
      <c r="O341" t="n">
        <v>2</v>
      </c>
      <c r="P341" t="n">
        <v>0</v>
      </c>
      <c r="Q341" t="n">
        <v>2</v>
      </c>
      <c r="R341" s="2" t="inlineStr">
        <is>
          <t>Gropticka
Svart taggsvamp</t>
        </is>
      </c>
      <c r="S341">
        <f>HYPERLINK("https://klasma.github.io/Logging_0480/artfynd/A 37401-2024 artfynd.xlsx", "A 37401-2024")</f>
        <v/>
      </c>
      <c r="T341">
        <f>HYPERLINK("https://klasma.github.io/Logging_0480/kartor/A 37401-2024 karta.png", "A 37401-2024")</f>
        <v/>
      </c>
      <c r="V341">
        <f>HYPERLINK("https://klasma.github.io/Logging_0480/klagomål/A 37401-2024 FSC-klagomål.docx", "A 37401-2024")</f>
        <v/>
      </c>
      <c r="W341">
        <f>HYPERLINK("https://klasma.github.io/Logging_0480/klagomålsmail/A 37401-2024 FSC-klagomål mail.docx", "A 37401-2024")</f>
        <v/>
      </c>
      <c r="X341">
        <f>HYPERLINK("https://klasma.github.io/Logging_0480/tillsyn/A 37401-2024 tillsynsbegäran.docx", "A 37401-2024")</f>
        <v/>
      </c>
      <c r="Y341">
        <f>HYPERLINK("https://klasma.github.io/Logging_0480/tillsynsmail/A 37401-2024 tillsynsbegäran mail.docx", "A 37401-2024")</f>
        <v/>
      </c>
    </row>
    <row r="342" ht="15" customHeight="1">
      <c r="A342" t="inlineStr">
        <is>
          <t>A 38923-2024</t>
        </is>
      </c>
      <c r="B342" s="1" t="n">
        <v>45547</v>
      </c>
      <c r="C342" s="1" t="n">
        <v>45843</v>
      </c>
      <c r="D342" t="inlineStr">
        <is>
          <t>SÖDERMANLANDS LÄN</t>
        </is>
      </c>
      <c r="E342" t="inlineStr">
        <is>
          <t>NYKÖPING</t>
        </is>
      </c>
      <c r="G342" t="n">
        <v>18.9</v>
      </c>
      <c r="H342" t="n">
        <v>0</v>
      </c>
      <c r="I342" t="n">
        <v>1</v>
      </c>
      <c r="J342" t="n">
        <v>1</v>
      </c>
      <c r="K342" t="n">
        <v>0</v>
      </c>
      <c r="L342" t="n">
        <v>0</v>
      </c>
      <c r="M342" t="n">
        <v>0</v>
      </c>
      <c r="N342" t="n">
        <v>0</v>
      </c>
      <c r="O342" t="n">
        <v>1</v>
      </c>
      <c r="P342" t="n">
        <v>0</v>
      </c>
      <c r="Q342" t="n">
        <v>2</v>
      </c>
      <c r="R342" s="2" t="inlineStr">
        <is>
          <t>Tallticka
Blodticka</t>
        </is>
      </c>
      <c r="S342">
        <f>HYPERLINK("https://klasma.github.io/Logging_0480/artfynd/A 38923-2024 artfynd.xlsx", "A 38923-2024")</f>
        <v/>
      </c>
      <c r="T342">
        <f>HYPERLINK("https://klasma.github.io/Logging_0480/kartor/A 38923-2024 karta.png", "A 38923-2024")</f>
        <v/>
      </c>
      <c r="V342">
        <f>HYPERLINK("https://klasma.github.io/Logging_0480/klagomål/A 38923-2024 FSC-klagomål.docx", "A 38923-2024")</f>
        <v/>
      </c>
      <c r="W342">
        <f>HYPERLINK("https://klasma.github.io/Logging_0480/klagomålsmail/A 38923-2024 FSC-klagomål mail.docx", "A 38923-2024")</f>
        <v/>
      </c>
      <c r="X342">
        <f>HYPERLINK("https://klasma.github.io/Logging_0480/tillsyn/A 38923-2024 tillsynsbegäran.docx", "A 38923-2024")</f>
        <v/>
      </c>
      <c r="Y342">
        <f>HYPERLINK("https://klasma.github.io/Logging_0480/tillsynsmail/A 38923-2024 tillsynsbegäran mail.docx", "A 38923-2024")</f>
        <v/>
      </c>
    </row>
    <row r="343" ht="15" customHeight="1">
      <c r="A343" t="inlineStr">
        <is>
          <t>A 39595-2024</t>
        </is>
      </c>
      <c r="B343" s="1" t="n">
        <v>45552</v>
      </c>
      <c r="C343" s="1" t="n">
        <v>45843</v>
      </c>
      <c r="D343" t="inlineStr">
        <is>
          <t>SÖDERMANLANDS LÄN</t>
        </is>
      </c>
      <c r="E343" t="inlineStr">
        <is>
          <t>FLEN</t>
        </is>
      </c>
      <c r="G343" t="n">
        <v>2.4</v>
      </c>
      <c r="H343" t="n">
        <v>1</v>
      </c>
      <c r="I343" t="n">
        <v>0</v>
      </c>
      <c r="J343" t="n">
        <v>1</v>
      </c>
      <c r="K343" t="n">
        <v>1</v>
      </c>
      <c r="L343" t="n">
        <v>0</v>
      </c>
      <c r="M343" t="n">
        <v>0</v>
      </c>
      <c r="N343" t="n">
        <v>0</v>
      </c>
      <c r="O343" t="n">
        <v>2</v>
      </c>
      <c r="P343" t="n">
        <v>1</v>
      </c>
      <c r="Q343" t="n">
        <v>2</v>
      </c>
      <c r="R343" s="2" t="inlineStr">
        <is>
          <t>Knärot
Gullklöver</t>
        </is>
      </c>
      <c r="S343">
        <f>HYPERLINK("https://klasma.github.io/Logging_0482/artfynd/A 39595-2024 artfynd.xlsx", "A 39595-2024")</f>
        <v/>
      </c>
      <c r="T343">
        <f>HYPERLINK("https://klasma.github.io/Logging_0482/kartor/A 39595-2024 karta.png", "A 39595-2024")</f>
        <v/>
      </c>
      <c r="U343">
        <f>HYPERLINK("https://klasma.github.io/Logging_0482/knärot/A 39595-2024 karta knärot.png", "A 39595-2024")</f>
        <v/>
      </c>
      <c r="V343">
        <f>HYPERLINK("https://klasma.github.io/Logging_0482/klagomål/A 39595-2024 FSC-klagomål.docx", "A 39595-2024")</f>
        <v/>
      </c>
      <c r="W343">
        <f>HYPERLINK("https://klasma.github.io/Logging_0482/klagomålsmail/A 39595-2024 FSC-klagomål mail.docx", "A 39595-2024")</f>
        <v/>
      </c>
      <c r="X343">
        <f>HYPERLINK("https://klasma.github.io/Logging_0482/tillsyn/A 39595-2024 tillsynsbegäran.docx", "A 39595-2024")</f>
        <v/>
      </c>
      <c r="Y343">
        <f>HYPERLINK("https://klasma.github.io/Logging_0482/tillsynsmail/A 39595-2024 tillsynsbegäran mail.docx", "A 39595-2024")</f>
        <v/>
      </c>
    </row>
    <row r="344" ht="15" customHeight="1">
      <c r="A344" t="inlineStr">
        <is>
          <t>A 43014-2024</t>
        </is>
      </c>
      <c r="B344" s="1" t="n">
        <v>45566</v>
      </c>
      <c r="C344" s="1" t="n">
        <v>45843</v>
      </c>
      <c r="D344" t="inlineStr">
        <is>
          <t>SÖDERMANLANDS LÄN</t>
        </is>
      </c>
      <c r="E344" t="inlineStr">
        <is>
          <t>ESKILSTUNA</t>
        </is>
      </c>
      <c r="G344" t="n">
        <v>19</v>
      </c>
      <c r="H344" t="n">
        <v>2</v>
      </c>
      <c r="I344" t="n">
        <v>0</v>
      </c>
      <c r="J344" t="n">
        <v>2</v>
      </c>
      <c r="K344" t="n">
        <v>0</v>
      </c>
      <c r="L344" t="n">
        <v>0</v>
      </c>
      <c r="M344" t="n">
        <v>0</v>
      </c>
      <c r="N344" t="n">
        <v>0</v>
      </c>
      <c r="O344" t="n">
        <v>2</v>
      </c>
      <c r="P344" t="n">
        <v>0</v>
      </c>
      <c r="Q344" t="n">
        <v>2</v>
      </c>
      <c r="R344" s="2" t="inlineStr">
        <is>
          <t>Järpe
Kungsörn</t>
        </is>
      </c>
      <c r="S344">
        <f>HYPERLINK("https://klasma.github.io/Logging_0484/artfynd/A 43014-2024 artfynd.xlsx", "A 43014-2024")</f>
        <v/>
      </c>
      <c r="T344">
        <f>HYPERLINK("https://klasma.github.io/Logging_0484/kartor/A 43014-2024 karta.png", "A 43014-2024")</f>
        <v/>
      </c>
      <c r="V344">
        <f>HYPERLINK("https://klasma.github.io/Logging_0484/klagomål/A 43014-2024 FSC-klagomål.docx", "A 43014-2024")</f>
        <v/>
      </c>
      <c r="W344">
        <f>HYPERLINK("https://klasma.github.io/Logging_0484/klagomålsmail/A 43014-2024 FSC-klagomål mail.docx", "A 43014-2024")</f>
        <v/>
      </c>
      <c r="X344">
        <f>HYPERLINK("https://klasma.github.io/Logging_0484/tillsyn/A 43014-2024 tillsynsbegäran.docx", "A 43014-2024")</f>
        <v/>
      </c>
      <c r="Y344">
        <f>HYPERLINK("https://klasma.github.io/Logging_0484/tillsynsmail/A 43014-2024 tillsynsbegäran mail.docx", "A 43014-2024")</f>
        <v/>
      </c>
      <c r="Z344">
        <f>HYPERLINK("https://klasma.github.io/Logging_0484/fåglar/A 43014-2024 prioriterade fågelarter.docx", "A 43014-2024")</f>
        <v/>
      </c>
    </row>
    <row r="345" ht="15" customHeight="1">
      <c r="A345" t="inlineStr">
        <is>
          <t>A 43291-2024</t>
        </is>
      </c>
      <c r="B345" s="1" t="n">
        <v>45568</v>
      </c>
      <c r="C345" s="1" t="n">
        <v>45843</v>
      </c>
      <c r="D345" t="inlineStr">
        <is>
          <t>SÖDERMANLANDS LÄN</t>
        </is>
      </c>
      <c r="E345" t="inlineStr">
        <is>
          <t>GNESTA</t>
        </is>
      </c>
      <c r="F345" t="inlineStr">
        <is>
          <t>Holmen skog AB</t>
        </is>
      </c>
      <c r="G345" t="n">
        <v>1.8</v>
      </c>
      <c r="H345" t="n">
        <v>0</v>
      </c>
      <c r="I345" t="n">
        <v>0</v>
      </c>
      <c r="J345" t="n">
        <v>1</v>
      </c>
      <c r="K345" t="n">
        <v>1</v>
      </c>
      <c r="L345" t="n">
        <v>0</v>
      </c>
      <c r="M345" t="n">
        <v>0</v>
      </c>
      <c r="N345" t="n">
        <v>0</v>
      </c>
      <c r="O345" t="n">
        <v>2</v>
      </c>
      <c r="P345" t="n">
        <v>1</v>
      </c>
      <c r="Q345" t="n">
        <v>2</v>
      </c>
      <c r="R345" s="2" t="inlineStr">
        <is>
          <t>Hållav
Tallticka</t>
        </is>
      </c>
      <c r="S345">
        <f>HYPERLINK("https://klasma.github.io/Logging_0461/artfynd/A 43291-2024 artfynd.xlsx", "A 43291-2024")</f>
        <v/>
      </c>
      <c r="T345">
        <f>HYPERLINK("https://klasma.github.io/Logging_0461/kartor/A 43291-2024 karta.png", "A 43291-2024")</f>
        <v/>
      </c>
      <c r="V345">
        <f>HYPERLINK("https://klasma.github.io/Logging_0461/klagomål/A 43291-2024 FSC-klagomål.docx", "A 43291-2024")</f>
        <v/>
      </c>
      <c r="W345">
        <f>HYPERLINK("https://klasma.github.io/Logging_0461/klagomålsmail/A 43291-2024 FSC-klagomål mail.docx", "A 43291-2024")</f>
        <v/>
      </c>
      <c r="X345">
        <f>HYPERLINK("https://klasma.github.io/Logging_0461/tillsyn/A 43291-2024 tillsynsbegäran.docx", "A 43291-2024")</f>
        <v/>
      </c>
      <c r="Y345">
        <f>HYPERLINK("https://klasma.github.io/Logging_0461/tillsynsmail/A 43291-2024 tillsynsbegäran mail.docx", "A 43291-2024")</f>
        <v/>
      </c>
    </row>
    <row r="346" ht="15" customHeight="1">
      <c r="A346" t="inlineStr">
        <is>
          <t>A 44253-2024</t>
        </is>
      </c>
      <c r="B346" s="1" t="n">
        <v>45573</v>
      </c>
      <c r="C346" s="1" t="n">
        <v>45843</v>
      </c>
      <c r="D346" t="inlineStr">
        <is>
          <t>SÖDERMANLANDS LÄN</t>
        </is>
      </c>
      <c r="E346" t="inlineStr">
        <is>
          <t>TROSA</t>
        </is>
      </c>
      <c r="F346" t="inlineStr">
        <is>
          <t>Holmen skog AB</t>
        </is>
      </c>
      <c r="G346" t="n">
        <v>4.9</v>
      </c>
      <c r="H346" t="n">
        <v>2</v>
      </c>
      <c r="I346" t="n">
        <v>0</v>
      </c>
      <c r="J346" t="n">
        <v>2</v>
      </c>
      <c r="K346" t="n">
        <v>0</v>
      </c>
      <c r="L346" t="n">
        <v>0</v>
      </c>
      <c r="M346" t="n">
        <v>0</v>
      </c>
      <c r="N346" t="n">
        <v>0</v>
      </c>
      <c r="O346" t="n">
        <v>2</v>
      </c>
      <c r="P346" t="n">
        <v>0</v>
      </c>
      <c r="Q346" t="n">
        <v>2</v>
      </c>
      <c r="R346" s="2" t="inlineStr">
        <is>
          <t>Havsörn
Svartvit flugsnappare</t>
        </is>
      </c>
      <c r="S346">
        <f>HYPERLINK("https://klasma.github.io/Logging_0488/artfynd/A 44253-2024 artfynd.xlsx", "A 44253-2024")</f>
        <v/>
      </c>
      <c r="T346">
        <f>HYPERLINK("https://klasma.github.io/Logging_0488/kartor/A 44253-2024 karta.png", "A 44253-2024")</f>
        <v/>
      </c>
      <c r="V346">
        <f>HYPERLINK("https://klasma.github.io/Logging_0488/klagomål/A 44253-2024 FSC-klagomål.docx", "A 44253-2024")</f>
        <v/>
      </c>
      <c r="W346">
        <f>HYPERLINK("https://klasma.github.io/Logging_0488/klagomålsmail/A 44253-2024 FSC-klagomål mail.docx", "A 44253-2024")</f>
        <v/>
      </c>
      <c r="X346">
        <f>HYPERLINK("https://klasma.github.io/Logging_0488/tillsyn/A 44253-2024 tillsynsbegäran.docx", "A 44253-2024")</f>
        <v/>
      </c>
      <c r="Y346">
        <f>HYPERLINK("https://klasma.github.io/Logging_0488/tillsynsmail/A 44253-2024 tillsynsbegäran mail.docx", "A 44253-2024")</f>
        <v/>
      </c>
      <c r="Z346">
        <f>HYPERLINK("https://klasma.github.io/Logging_0488/fåglar/A 44253-2024 prioriterade fågelarter.docx", "A 44253-2024")</f>
        <v/>
      </c>
    </row>
    <row r="347" ht="15" customHeight="1">
      <c r="A347" t="inlineStr">
        <is>
          <t>A 48150-2024</t>
        </is>
      </c>
      <c r="B347" s="1" t="n">
        <v>45589</v>
      </c>
      <c r="C347" s="1" t="n">
        <v>45843</v>
      </c>
      <c r="D347" t="inlineStr">
        <is>
          <t>SÖDERMANLANDS LÄN</t>
        </is>
      </c>
      <c r="E347" t="inlineStr">
        <is>
          <t>NYKÖPING</t>
        </is>
      </c>
      <c r="F347" t="inlineStr">
        <is>
          <t>Holmen skog AB</t>
        </is>
      </c>
      <c r="G347" t="n">
        <v>4</v>
      </c>
      <c r="H347" t="n">
        <v>0</v>
      </c>
      <c r="I347" t="n">
        <v>1</v>
      </c>
      <c r="J347" t="n">
        <v>1</v>
      </c>
      <c r="K347" t="n">
        <v>0</v>
      </c>
      <c r="L347" t="n">
        <v>0</v>
      </c>
      <c r="M347" t="n">
        <v>0</v>
      </c>
      <c r="N347" t="n">
        <v>0</v>
      </c>
      <c r="O347" t="n">
        <v>1</v>
      </c>
      <c r="P347" t="n">
        <v>0</v>
      </c>
      <c r="Q347" t="n">
        <v>2</v>
      </c>
      <c r="R347" s="2" t="inlineStr">
        <is>
          <t>Vedskivlav
Gullgröppa</t>
        </is>
      </c>
      <c r="S347">
        <f>HYPERLINK("https://klasma.github.io/Logging_0480/artfynd/A 48150-2024 artfynd.xlsx", "A 48150-2024")</f>
        <v/>
      </c>
      <c r="T347">
        <f>HYPERLINK("https://klasma.github.io/Logging_0480/kartor/A 48150-2024 karta.png", "A 48150-2024")</f>
        <v/>
      </c>
      <c r="V347">
        <f>HYPERLINK("https://klasma.github.io/Logging_0480/klagomål/A 48150-2024 FSC-klagomål.docx", "A 48150-2024")</f>
        <v/>
      </c>
      <c r="W347">
        <f>HYPERLINK("https://klasma.github.io/Logging_0480/klagomålsmail/A 48150-2024 FSC-klagomål mail.docx", "A 48150-2024")</f>
        <v/>
      </c>
      <c r="X347">
        <f>HYPERLINK("https://klasma.github.io/Logging_0480/tillsyn/A 48150-2024 tillsynsbegäran.docx", "A 48150-2024")</f>
        <v/>
      </c>
      <c r="Y347">
        <f>HYPERLINK("https://klasma.github.io/Logging_0480/tillsynsmail/A 48150-2024 tillsynsbegäran mail.docx", "A 48150-2024")</f>
        <v/>
      </c>
    </row>
    <row r="348" ht="15" customHeight="1">
      <c r="A348" t="inlineStr">
        <is>
          <t>A 47979-2024</t>
        </is>
      </c>
      <c r="B348" s="1" t="n">
        <v>45589</v>
      </c>
      <c r="C348" s="1" t="n">
        <v>45843</v>
      </c>
      <c r="D348" t="inlineStr">
        <is>
          <t>SÖDERMANLANDS LÄN</t>
        </is>
      </c>
      <c r="E348" t="inlineStr">
        <is>
          <t>KATRINEHOLM</t>
        </is>
      </c>
      <c r="G348" t="n">
        <v>4.7</v>
      </c>
      <c r="H348" t="n">
        <v>1</v>
      </c>
      <c r="I348" t="n">
        <v>1</v>
      </c>
      <c r="J348" t="n">
        <v>0</v>
      </c>
      <c r="K348" t="n">
        <v>0</v>
      </c>
      <c r="L348" t="n">
        <v>0</v>
      </c>
      <c r="M348" t="n">
        <v>0</v>
      </c>
      <c r="N348" t="n">
        <v>0</v>
      </c>
      <c r="O348" t="n">
        <v>0</v>
      </c>
      <c r="P348" t="n">
        <v>0</v>
      </c>
      <c r="Q348" t="n">
        <v>2</v>
      </c>
      <c r="R348" s="2" t="inlineStr">
        <is>
          <t>Grönpyrola
Blåsippa</t>
        </is>
      </c>
      <c r="S348">
        <f>HYPERLINK("https://klasma.github.io/Logging_0483/artfynd/A 47979-2024 artfynd.xlsx", "A 47979-2024")</f>
        <v/>
      </c>
      <c r="T348">
        <f>HYPERLINK("https://klasma.github.io/Logging_0483/kartor/A 47979-2024 karta.png", "A 47979-2024")</f>
        <v/>
      </c>
      <c r="V348">
        <f>HYPERLINK("https://klasma.github.io/Logging_0483/klagomål/A 47979-2024 FSC-klagomål.docx", "A 47979-2024")</f>
        <v/>
      </c>
      <c r="W348">
        <f>HYPERLINK("https://klasma.github.io/Logging_0483/klagomålsmail/A 47979-2024 FSC-klagomål mail.docx", "A 47979-2024")</f>
        <v/>
      </c>
      <c r="X348">
        <f>HYPERLINK("https://klasma.github.io/Logging_0483/tillsyn/A 47979-2024 tillsynsbegäran.docx", "A 47979-2024")</f>
        <v/>
      </c>
      <c r="Y348">
        <f>HYPERLINK("https://klasma.github.io/Logging_0483/tillsynsmail/A 47979-2024 tillsynsbegäran mail.docx", "A 47979-2024")</f>
        <v/>
      </c>
    </row>
    <row r="349" ht="15" customHeight="1">
      <c r="A349" t="inlineStr">
        <is>
          <t>A 48791-2024</t>
        </is>
      </c>
      <c r="B349" s="1" t="n">
        <v>45593</v>
      </c>
      <c r="C349" s="1" t="n">
        <v>45843</v>
      </c>
      <c r="D349" t="inlineStr">
        <is>
          <t>SÖDERMANLANDS LÄN</t>
        </is>
      </c>
      <c r="E349" t="inlineStr">
        <is>
          <t>TROSA</t>
        </is>
      </c>
      <c r="G349" t="n">
        <v>20.7</v>
      </c>
      <c r="H349" t="n">
        <v>1</v>
      </c>
      <c r="I349" t="n">
        <v>2</v>
      </c>
      <c r="J349" t="n">
        <v>0</v>
      </c>
      <c r="K349" t="n">
        <v>0</v>
      </c>
      <c r="L349" t="n">
        <v>0</v>
      </c>
      <c r="M349" t="n">
        <v>0</v>
      </c>
      <c r="N349" t="n">
        <v>0</v>
      </c>
      <c r="O349" t="n">
        <v>0</v>
      </c>
      <c r="P349" t="n">
        <v>0</v>
      </c>
      <c r="Q349" t="n">
        <v>2</v>
      </c>
      <c r="R349" s="2" t="inlineStr">
        <is>
          <t>Korallrot
Svavelriska</t>
        </is>
      </c>
      <c r="S349">
        <f>HYPERLINK("https://klasma.github.io/Logging_0488/artfynd/A 48791-2024 artfynd.xlsx", "A 48791-2024")</f>
        <v/>
      </c>
      <c r="T349">
        <f>HYPERLINK("https://klasma.github.io/Logging_0488/kartor/A 48791-2024 karta.png", "A 48791-2024")</f>
        <v/>
      </c>
      <c r="V349">
        <f>HYPERLINK("https://klasma.github.io/Logging_0488/klagomål/A 48791-2024 FSC-klagomål.docx", "A 48791-2024")</f>
        <v/>
      </c>
      <c r="W349">
        <f>HYPERLINK("https://klasma.github.io/Logging_0488/klagomålsmail/A 48791-2024 FSC-klagomål mail.docx", "A 48791-2024")</f>
        <v/>
      </c>
      <c r="X349">
        <f>HYPERLINK("https://klasma.github.io/Logging_0488/tillsyn/A 48791-2024 tillsynsbegäran.docx", "A 48791-2024")</f>
        <v/>
      </c>
      <c r="Y349">
        <f>HYPERLINK("https://klasma.github.io/Logging_0488/tillsynsmail/A 48791-2024 tillsynsbegäran mail.docx", "A 48791-2024")</f>
        <v/>
      </c>
    </row>
    <row r="350" ht="15" customHeight="1">
      <c r="A350" t="inlineStr">
        <is>
          <t>A 49108-2024</t>
        </is>
      </c>
      <c r="B350" s="1" t="n">
        <v>45594</v>
      </c>
      <c r="C350" s="1" t="n">
        <v>45843</v>
      </c>
      <c r="D350" t="inlineStr">
        <is>
          <t>SÖDERMANLANDS LÄN</t>
        </is>
      </c>
      <c r="E350" t="inlineStr">
        <is>
          <t>KATRINEHOLM</t>
        </is>
      </c>
      <c r="G350" t="n">
        <v>3.6</v>
      </c>
      <c r="H350" t="n">
        <v>0</v>
      </c>
      <c r="I350" t="n">
        <v>1</v>
      </c>
      <c r="J350" t="n">
        <v>1</v>
      </c>
      <c r="K350" t="n">
        <v>0</v>
      </c>
      <c r="L350" t="n">
        <v>0</v>
      </c>
      <c r="M350" t="n">
        <v>0</v>
      </c>
      <c r="N350" t="n">
        <v>0</v>
      </c>
      <c r="O350" t="n">
        <v>1</v>
      </c>
      <c r="P350" t="n">
        <v>0</v>
      </c>
      <c r="Q350" t="n">
        <v>2</v>
      </c>
      <c r="R350" s="2" t="inlineStr">
        <is>
          <t>Motaggsvamp
Mindre märgborre</t>
        </is>
      </c>
      <c r="S350">
        <f>HYPERLINK("https://klasma.github.io/Logging_0483/artfynd/A 49108-2024 artfynd.xlsx", "A 49108-2024")</f>
        <v/>
      </c>
      <c r="T350">
        <f>HYPERLINK("https://klasma.github.io/Logging_0483/kartor/A 49108-2024 karta.png", "A 49108-2024")</f>
        <v/>
      </c>
      <c r="V350">
        <f>HYPERLINK("https://klasma.github.io/Logging_0483/klagomål/A 49108-2024 FSC-klagomål.docx", "A 49108-2024")</f>
        <v/>
      </c>
      <c r="W350">
        <f>HYPERLINK("https://klasma.github.io/Logging_0483/klagomålsmail/A 49108-2024 FSC-klagomål mail.docx", "A 49108-2024")</f>
        <v/>
      </c>
      <c r="X350">
        <f>HYPERLINK("https://klasma.github.io/Logging_0483/tillsyn/A 49108-2024 tillsynsbegäran.docx", "A 49108-2024")</f>
        <v/>
      </c>
      <c r="Y350">
        <f>HYPERLINK("https://klasma.github.io/Logging_0483/tillsynsmail/A 49108-2024 tillsynsbegäran mail.docx", "A 49108-2024")</f>
        <v/>
      </c>
    </row>
    <row r="351" ht="15" customHeight="1">
      <c r="A351" t="inlineStr">
        <is>
          <t>A 50343-2024</t>
        </is>
      </c>
      <c r="B351" s="1" t="n">
        <v>45600</v>
      </c>
      <c r="C351" s="1" t="n">
        <v>45843</v>
      </c>
      <c r="D351" t="inlineStr">
        <is>
          <t>SÖDERMANLANDS LÄN</t>
        </is>
      </c>
      <c r="E351" t="inlineStr">
        <is>
          <t>FLEN</t>
        </is>
      </c>
      <c r="F351" t="inlineStr">
        <is>
          <t>Övriga statliga verk och myndigheter</t>
        </is>
      </c>
      <c r="G351" t="n">
        <v>3.6</v>
      </c>
      <c r="H351" t="n">
        <v>1</v>
      </c>
      <c r="I351" t="n">
        <v>0</v>
      </c>
      <c r="J351" t="n">
        <v>1</v>
      </c>
      <c r="K351" t="n">
        <v>0</v>
      </c>
      <c r="L351" t="n">
        <v>0</v>
      </c>
      <c r="M351" t="n">
        <v>0</v>
      </c>
      <c r="N351" t="n">
        <v>0</v>
      </c>
      <c r="O351" t="n">
        <v>1</v>
      </c>
      <c r="P351" t="n">
        <v>0</v>
      </c>
      <c r="Q351" t="n">
        <v>2</v>
      </c>
      <c r="R351" s="2" t="inlineStr">
        <is>
          <t>Tallticka
Blåsippa</t>
        </is>
      </c>
      <c r="S351">
        <f>HYPERLINK("https://klasma.github.io/Logging_0482/artfynd/A 50343-2024 artfynd.xlsx", "A 50343-2024")</f>
        <v/>
      </c>
      <c r="T351">
        <f>HYPERLINK("https://klasma.github.io/Logging_0482/kartor/A 50343-2024 karta.png", "A 50343-2024")</f>
        <v/>
      </c>
      <c r="V351">
        <f>HYPERLINK("https://klasma.github.io/Logging_0482/klagomål/A 50343-2024 FSC-klagomål.docx", "A 50343-2024")</f>
        <v/>
      </c>
      <c r="W351">
        <f>HYPERLINK("https://klasma.github.io/Logging_0482/klagomålsmail/A 50343-2024 FSC-klagomål mail.docx", "A 50343-2024")</f>
        <v/>
      </c>
      <c r="X351">
        <f>HYPERLINK("https://klasma.github.io/Logging_0482/tillsyn/A 50343-2024 tillsynsbegäran.docx", "A 50343-2024")</f>
        <v/>
      </c>
      <c r="Y351">
        <f>HYPERLINK("https://klasma.github.io/Logging_0482/tillsynsmail/A 50343-2024 tillsynsbegäran mail.docx", "A 50343-2024")</f>
        <v/>
      </c>
    </row>
    <row r="352" ht="15" customHeight="1">
      <c r="A352" t="inlineStr">
        <is>
          <t>A 51326-2024</t>
        </is>
      </c>
      <c r="B352" s="1" t="n">
        <v>45603</v>
      </c>
      <c r="C352" s="1" t="n">
        <v>45843</v>
      </c>
      <c r="D352" t="inlineStr">
        <is>
          <t>SÖDERMANLANDS LÄN</t>
        </is>
      </c>
      <c r="E352" t="inlineStr">
        <is>
          <t>ESKILSTUNA</t>
        </is>
      </c>
      <c r="G352" t="n">
        <v>4</v>
      </c>
      <c r="H352" t="n">
        <v>1</v>
      </c>
      <c r="I352" t="n">
        <v>1</v>
      </c>
      <c r="J352" t="n">
        <v>0</v>
      </c>
      <c r="K352" t="n">
        <v>0</v>
      </c>
      <c r="L352" t="n">
        <v>0</v>
      </c>
      <c r="M352" t="n">
        <v>0</v>
      </c>
      <c r="N352" t="n">
        <v>0</v>
      </c>
      <c r="O352" t="n">
        <v>0</v>
      </c>
      <c r="P352" t="n">
        <v>0</v>
      </c>
      <c r="Q352" t="n">
        <v>2</v>
      </c>
      <c r="R352" s="2" t="inlineStr">
        <is>
          <t>Myskbock
Blåsippa</t>
        </is>
      </c>
      <c r="S352">
        <f>HYPERLINK("https://klasma.github.io/Logging_0484/artfynd/A 51326-2024 artfynd.xlsx", "A 51326-2024")</f>
        <v/>
      </c>
      <c r="T352">
        <f>HYPERLINK("https://klasma.github.io/Logging_0484/kartor/A 51326-2024 karta.png", "A 51326-2024")</f>
        <v/>
      </c>
      <c r="V352">
        <f>HYPERLINK("https://klasma.github.io/Logging_0484/klagomål/A 51326-2024 FSC-klagomål.docx", "A 51326-2024")</f>
        <v/>
      </c>
      <c r="W352">
        <f>HYPERLINK("https://klasma.github.io/Logging_0484/klagomålsmail/A 51326-2024 FSC-klagomål mail.docx", "A 51326-2024")</f>
        <v/>
      </c>
      <c r="X352">
        <f>HYPERLINK("https://klasma.github.io/Logging_0484/tillsyn/A 51326-2024 tillsynsbegäran.docx", "A 51326-2024")</f>
        <v/>
      </c>
      <c r="Y352">
        <f>HYPERLINK("https://klasma.github.io/Logging_0484/tillsynsmail/A 51326-2024 tillsynsbegäran mail.docx", "A 51326-2024")</f>
        <v/>
      </c>
    </row>
    <row r="353" ht="15" customHeight="1">
      <c r="A353" t="inlineStr">
        <is>
          <t>A 51610-2024</t>
        </is>
      </c>
      <c r="B353" s="1" t="n">
        <v>45603</v>
      </c>
      <c r="C353" s="1" t="n">
        <v>45843</v>
      </c>
      <c r="D353" t="inlineStr">
        <is>
          <t>SÖDERMANLANDS LÄN</t>
        </is>
      </c>
      <c r="E353" t="inlineStr">
        <is>
          <t>TROSA</t>
        </is>
      </c>
      <c r="G353" t="n">
        <v>4.5</v>
      </c>
      <c r="H353" t="n">
        <v>0</v>
      </c>
      <c r="I353" t="n">
        <v>2</v>
      </c>
      <c r="J353" t="n">
        <v>0</v>
      </c>
      <c r="K353" t="n">
        <v>0</v>
      </c>
      <c r="L353" t="n">
        <v>0</v>
      </c>
      <c r="M353" t="n">
        <v>0</v>
      </c>
      <c r="N353" t="n">
        <v>0</v>
      </c>
      <c r="O353" t="n">
        <v>0</v>
      </c>
      <c r="P353" t="n">
        <v>0</v>
      </c>
      <c r="Q353" t="n">
        <v>2</v>
      </c>
      <c r="R353" s="2" t="inlineStr">
        <is>
          <t>Stenporella
Trädporella</t>
        </is>
      </c>
      <c r="S353">
        <f>HYPERLINK("https://klasma.github.io/Logging_0488/artfynd/A 51610-2024 artfynd.xlsx", "A 51610-2024")</f>
        <v/>
      </c>
      <c r="T353">
        <f>HYPERLINK("https://klasma.github.io/Logging_0488/kartor/A 51610-2024 karta.png", "A 51610-2024")</f>
        <v/>
      </c>
      <c r="V353">
        <f>HYPERLINK("https://klasma.github.io/Logging_0488/klagomål/A 51610-2024 FSC-klagomål.docx", "A 51610-2024")</f>
        <v/>
      </c>
      <c r="W353">
        <f>HYPERLINK("https://klasma.github.io/Logging_0488/klagomålsmail/A 51610-2024 FSC-klagomål mail.docx", "A 51610-2024")</f>
        <v/>
      </c>
      <c r="X353">
        <f>HYPERLINK("https://klasma.github.io/Logging_0488/tillsyn/A 51610-2024 tillsynsbegäran.docx", "A 51610-2024")</f>
        <v/>
      </c>
      <c r="Y353">
        <f>HYPERLINK("https://klasma.github.io/Logging_0488/tillsynsmail/A 51610-2024 tillsynsbegäran mail.docx", "A 51610-2024")</f>
        <v/>
      </c>
    </row>
    <row r="354" ht="15" customHeight="1">
      <c r="A354" t="inlineStr">
        <is>
          <t>A 51481-2024</t>
        </is>
      </c>
      <c r="B354" s="1" t="n">
        <v>45603</v>
      </c>
      <c r="C354" s="1" t="n">
        <v>45843</v>
      </c>
      <c r="D354" t="inlineStr">
        <is>
          <t>SÖDERMANLANDS LÄN</t>
        </is>
      </c>
      <c r="E354" t="inlineStr">
        <is>
          <t>TROSA</t>
        </is>
      </c>
      <c r="G354" t="n">
        <v>12.8</v>
      </c>
      <c r="H354" t="n">
        <v>2</v>
      </c>
      <c r="I354" t="n">
        <v>0</v>
      </c>
      <c r="J354" t="n">
        <v>2</v>
      </c>
      <c r="K354" t="n">
        <v>0</v>
      </c>
      <c r="L354" t="n">
        <v>0</v>
      </c>
      <c r="M354" t="n">
        <v>0</v>
      </c>
      <c r="N354" t="n">
        <v>0</v>
      </c>
      <c r="O354" t="n">
        <v>2</v>
      </c>
      <c r="P354" t="n">
        <v>0</v>
      </c>
      <c r="Q354" t="n">
        <v>2</v>
      </c>
      <c r="R354" s="2" t="inlineStr">
        <is>
          <t>Spillkråka
Talltita</t>
        </is>
      </c>
      <c r="S354">
        <f>HYPERLINK("https://klasma.github.io/Logging_0488/artfynd/A 51481-2024 artfynd.xlsx", "A 51481-2024")</f>
        <v/>
      </c>
      <c r="T354">
        <f>HYPERLINK("https://klasma.github.io/Logging_0488/kartor/A 51481-2024 karta.png", "A 51481-2024")</f>
        <v/>
      </c>
      <c r="V354">
        <f>HYPERLINK("https://klasma.github.io/Logging_0488/klagomål/A 51481-2024 FSC-klagomål.docx", "A 51481-2024")</f>
        <v/>
      </c>
      <c r="W354">
        <f>HYPERLINK("https://klasma.github.io/Logging_0488/klagomålsmail/A 51481-2024 FSC-klagomål mail.docx", "A 51481-2024")</f>
        <v/>
      </c>
      <c r="X354">
        <f>HYPERLINK("https://klasma.github.io/Logging_0488/tillsyn/A 51481-2024 tillsynsbegäran.docx", "A 51481-2024")</f>
        <v/>
      </c>
      <c r="Y354">
        <f>HYPERLINK("https://klasma.github.io/Logging_0488/tillsynsmail/A 51481-2024 tillsynsbegäran mail.docx", "A 51481-2024")</f>
        <v/>
      </c>
      <c r="Z354">
        <f>HYPERLINK("https://klasma.github.io/Logging_0488/fåglar/A 51481-2024 prioriterade fågelarter.docx", "A 51481-2024")</f>
        <v/>
      </c>
    </row>
    <row r="355" ht="15" customHeight="1">
      <c r="A355" t="inlineStr">
        <is>
          <t>A 53471-2024</t>
        </is>
      </c>
      <c r="B355" s="1" t="n">
        <v>45614</v>
      </c>
      <c r="C355" s="1" t="n">
        <v>45843</v>
      </c>
      <c r="D355" t="inlineStr">
        <is>
          <t>SÖDERMANLANDS LÄN</t>
        </is>
      </c>
      <c r="E355" t="inlineStr">
        <is>
          <t>KATRINEHOLM</t>
        </is>
      </c>
      <c r="G355" t="n">
        <v>12.7</v>
      </c>
      <c r="H355" t="n">
        <v>1</v>
      </c>
      <c r="I355" t="n">
        <v>2</v>
      </c>
      <c r="J355" t="n">
        <v>0</v>
      </c>
      <c r="K355" t="n">
        <v>0</v>
      </c>
      <c r="L355" t="n">
        <v>0</v>
      </c>
      <c r="M355" t="n">
        <v>0</v>
      </c>
      <c r="N355" t="n">
        <v>0</v>
      </c>
      <c r="O355" t="n">
        <v>0</v>
      </c>
      <c r="P355" t="n">
        <v>0</v>
      </c>
      <c r="Q355" t="n">
        <v>2</v>
      </c>
      <c r="R355" s="2" t="inlineStr">
        <is>
          <t>Grönpyrola
Plattlummer</t>
        </is>
      </c>
      <c r="S355">
        <f>HYPERLINK("https://klasma.github.io/Logging_0483/artfynd/A 53471-2024 artfynd.xlsx", "A 53471-2024")</f>
        <v/>
      </c>
      <c r="T355">
        <f>HYPERLINK("https://klasma.github.io/Logging_0483/kartor/A 53471-2024 karta.png", "A 53471-2024")</f>
        <v/>
      </c>
      <c r="V355">
        <f>HYPERLINK("https://klasma.github.io/Logging_0483/klagomål/A 53471-2024 FSC-klagomål.docx", "A 53471-2024")</f>
        <v/>
      </c>
      <c r="W355">
        <f>HYPERLINK("https://klasma.github.io/Logging_0483/klagomålsmail/A 53471-2024 FSC-klagomål mail.docx", "A 53471-2024")</f>
        <v/>
      </c>
      <c r="X355">
        <f>HYPERLINK("https://klasma.github.io/Logging_0483/tillsyn/A 53471-2024 tillsynsbegäran.docx", "A 53471-2024")</f>
        <v/>
      </c>
      <c r="Y355">
        <f>HYPERLINK("https://klasma.github.io/Logging_0483/tillsynsmail/A 53471-2024 tillsynsbegäran mail.docx", "A 53471-2024")</f>
        <v/>
      </c>
    </row>
    <row r="356" ht="15" customHeight="1">
      <c r="A356" t="inlineStr">
        <is>
          <t>A 56113-2024</t>
        </is>
      </c>
      <c r="B356" s="1" t="n">
        <v>45624</v>
      </c>
      <c r="C356" s="1" t="n">
        <v>45843</v>
      </c>
      <c r="D356" t="inlineStr">
        <is>
          <t>SÖDERMANLANDS LÄN</t>
        </is>
      </c>
      <c r="E356" t="inlineStr">
        <is>
          <t>NYKÖPING</t>
        </is>
      </c>
      <c r="G356" t="n">
        <v>6</v>
      </c>
      <c r="H356" t="n">
        <v>0</v>
      </c>
      <c r="I356" t="n">
        <v>1</v>
      </c>
      <c r="J356" t="n">
        <v>1</v>
      </c>
      <c r="K356" t="n">
        <v>0</v>
      </c>
      <c r="L356" t="n">
        <v>0</v>
      </c>
      <c r="M356" t="n">
        <v>0</v>
      </c>
      <c r="N356" t="n">
        <v>0</v>
      </c>
      <c r="O356" t="n">
        <v>1</v>
      </c>
      <c r="P356" t="n">
        <v>0</v>
      </c>
      <c r="Q356" t="n">
        <v>2</v>
      </c>
      <c r="R356" s="2" t="inlineStr">
        <is>
          <t>Tallticka
Hasselticka</t>
        </is>
      </c>
      <c r="S356">
        <f>HYPERLINK("https://klasma.github.io/Logging_0480/artfynd/A 56113-2024 artfynd.xlsx", "A 56113-2024")</f>
        <v/>
      </c>
      <c r="T356">
        <f>HYPERLINK("https://klasma.github.io/Logging_0480/kartor/A 56113-2024 karta.png", "A 56113-2024")</f>
        <v/>
      </c>
      <c r="V356">
        <f>HYPERLINK("https://klasma.github.io/Logging_0480/klagomål/A 56113-2024 FSC-klagomål.docx", "A 56113-2024")</f>
        <v/>
      </c>
      <c r="W356">
        <f>HYPERLINK("https://klasma.github.io/Logging_0480/klagomålsmail/A 56113-2024 FSC-klagomål mail.docx", "A 56113-2024")</f>
        <v/>
      </c>
      <c r="X356">
        <f>HYPERLINK("https://klasma.github.io/Logging_0480/tillsyn/A 56113-2024 tillsynsbegäran.docx", "A 56113-2024")</f>
        <v/>
      </c>
      <c r="Y356">
        <f>HYPERLINK("https://klasma.github.io/Logging_0480/tillsynsmail/A 56113-2024 tillsynsbegäran mail.docx", "A 56113-2024")</f>
        <v/>
      </c>
    </row>
    <row r="357" ht="15" customHeight="1">
      <c r="A357" t="inlineStr">
        <is>
          <t>A 57026-2024</t>
        </is>
      </c>
      <c r="B357" s="1" t="n">
        <v>45628</v>
      </c>
      <c r="C357" s="1" t="n">
        <v>45843</v>
      </c>
      <c r="D357" t="inlineStr">
        <is>
          <t>SÖDERMANLANDS LÄN</t>
        </is>
      </c>
      <c r="E357" t="inlineStr">
        <is>
          <t>NYKÖPING</t>
        </is>
      </c>
      <c r="F357" t="inlineStr">
        <is>
          <t>Holmen skog AB</t>
        </is>
      </c>
      <c r="G357" t="n">
        <v>5</v>
      </c>
      <c r="H357" t="n">
        <v>0</v>
      </c>
      <c r="I357" t="n">
        <v>1</v>
      </c>
      <c r="J357" t="n">
        <v>1</v>
      </c>
      <c r="K357" t="n">
        <v>0</v>
      </c>
      <c r="L357" t="n">
        <v>0</v>
      </c>
      <c r="M357" t="n">
        <v>0</v>
      </c>
      <c r="N357" t="n">
        <v>0</v>
      </c>
      <c r="O357" t="n">
        <v>1</v>
      </c>
      <c r="P357" t="n">
        <v>0</v>
      </c>
      <c r="Q357" t="n">
        <v>2</v>
      </c>
      <c r="R357" s="2" t="inlineStr">
        <is>
          <t>Dvärgbägarlav
Kattfotslav</t>
        </is>
      </c>
      <c r="S357">
        <f>HYPERLINK("https://klasma.github.io/Logging_0480/artfynd/A 57026-2024 artfynd.xlsx", "A 57026-2024")</f>
        <v/>
      </c>
      <c r="T357">
        <f>HYPERLINK("https://klasma.github.io/Logging_0480/kartor/A 57026-2024 karta.png", "A 57026-2024")</f>
        <v/>
      </c>
      <c r="V357">
        <f>HYPERLINK("https://klasma.github.io/Logging_0480/klagomål/A 57026-2024 FSC-klagomål.docx", "A 57026-2024")</f>
        <v/>
      </c>
      <c r="W357">
        <f>HYPERLINK("https://klasma.github.io/Logging_0480/klagomålsmail/A 57026-2024 FSC-klagomål mail.docx", "A 57026-2024")</f>
        <v/>
      </c>
      <c r="X357">
        <f>HYPERLINK("https://klasma.github.io/Logging_0480/tillsyn/A 57026-2024 tillsynsbegäran.docx", "A 57026-2024")</f>
        <v/>
      </c>
      <c r="Y357">
        <f>HYPERLINK("https://klasma.github.io/Logging_0480/tillsynsmail/A 57026-2024 tillsynsbegäran mail.docx", "A 57026-2024")</f>
        <v/>
      </c>
    </row>
    <row r="358" ht="15" customHeight="1">
      <c r="A358" t="inlineStr">
        <is>
          <t>A 61074-2024</t>
        </is>
      </c>
      <c r="B358" s="1" t="n">
        <v>45645</v>
      </c>
      <c r="C358" s="1" t="n">
        <v>45843</v>
      </c>
      <c r="D358" t="inlineStr">
        <is>
          <t>SÖDERMANLANDS LÄN</t>
        </is>
      </c>
      <c r="E358" t="inlineStr">
        <is>
          <t>NYKÖPING</t>
        </is>
      </c>
      <c r="G358" t="n">
        <v>7.8</v>
      </c>
      <c r="H358" t="n">
        <v>1</v>
      </c>
      <c r="I358" t="n">
        <v>1</v>
      </c>
      <c r="J358" t="n">
        <v>1</v>
      </c>
      <c r="K358" t="n">
        <v>0</v>
      </c>
      <c r="L358" t="n">
        <v>0</v>
      </c>
      <c r="M358" t="n">
        <v>0</v>
      </c>
      <c r="N358" t="n">
        <v>0</v>
      </c>
      <c r="O358" t="n">
        <v>1</v>
      </c>
      <c r="P358" t="n">
        <v>0</v>
      </c>
      <c r="Q358" t="n">
        <v>2</v>
      </c>
      <c r="R358" s="2" t="inlineStr">
        <is>
          <t>Talltita
Blåmossa</t>
        </is>
      </c>
      <c r="S358">
        <f>HYPERLINK("https://klasma.github.io/Logging_0480/artfynd/A 61074-2024 artfynd.xlsx", "A 61074-2024")</f>
        <v/>
      </c>
      <c r="T358">
        <f>HYPERLINK("https://klasma.github.io/Logging_0480/kartor/A 61074-2024 karta.png", "A 61074-2024")</f>
        <v/>
      </c>
      <c r="V358">
        <f>HYPERLINK("https://klasma.github.io/Logging_0480/klagomål/A 61074-2024 FSC-klagomål.docx", "A 61074-2024")</f>
        <v/>
      </c>
      <c r="W358">
        <f>HYPERLINK("https://klasma.github.io/Logging_0480/klagomålsmail/A 61074-2024 FSC-klagomål mail.docx", "A 61074-2024")</f>
        <v/>
      </c>
      <c r="X358">
        <f>HYPERLINK("https://klasma.github.io/Logging_0480/tillsyn/A 61074-2024 tillsynsbegäran.docx", "A 61074-2024")</f>
        <v/>
      </c>
      <c r="Y358">
        <f>HYPERLINK("https://klasma.github.io/Logging_0480/tillsynsmail/A 61074-2024 tillsynsbegäran mail.docx", "A 61074-2024")</f>
        <v/>
      </c>
      <c r="Z358">
        <f>HYPERLINK("https://klasma.github.io/Logging_0480/fåglar/A 61074-2024 prioriterade fågelarter.docx", "A 61074-2024")</f>
        <v/>
      </c>
    </row>
    <row r="359" ht="15" customHeight="1">
      <c r="A359" t="inlineStr">
        <is>
          <t>A 62009-2024</t>
        </is>
      </c>
      <c r="B359" s="1" t="n">
        <v>45655</v>
      </c>
      <c r="C359" s="1" t="n">
        <v>45843</v>
      </c>
      <c r="D359" t="inlineStr">
        <is>
          <t>SÖDERMANLANDS LÄN</t>
        </is>
      </c>
      <c r="E359" t="inlineStr">
        <is>
          <t>ESKILSTUNA</t>
        </is>
      </c>
      <c r="F359" t="inlineStr">
        <is>
          <t>Holmen skog AB</t>
        </is>
      </c>
      <c r="G359" t="n">
        <v>11.9</v>
      </c>
      <c r="H359" t="n">
        <v>2</v>
      </c>
      <c r="I359" t="n">
        <v>0</v>
      </c>
      <c r="J359" t="n">
        <v>0</v>
      </c>
      <c r="K359" t="n">
        <v>0</v>
      </c>
      <c r="L359" t="n">
        <v>0</v>
      </c>
      <c r="M359" t="n">
        <v>0</v>
      </c>
      <c r="N359" t="n">
        <v>0</v>
      </c>
      <c r="O359" t="n">
        <v>0</v>
      </c>
      <c r="P359" t="n">
        <v>0</v>
      </c>
      <c r="Q359" t="n">
        <v>2</v>
      </c>
      <c r="R359" s="2" t="inlineStr">
        <is>
          <t>Mattlummer
Revlummer</t>
        </is>
      </c>
      <c r="S359">
        <f>HYPERLINK("https://klasma.github.io/Logging_0484/artfynd/A 62009-2024 artfynd.xlsx", "A 62009-2024")</f>
        <v/>
      </c>
      <c r="T359">
        <f>HYPERLINK("https://klasma.github.io/Logging_0484/kartor/A 62009-2024 karta.png", "A 62009-2024")</f>
        <v/>
      </c>
      <c r="V359">
        <f>HYPERLINK("https://klasma.github.io/Logging_0484/klagomål/A 62009-2024 FSC-klagomål.docx", "A 62009-2024")</f>
        <v/>
      </c>
      <c r="W359">
        <f>HYPERLINK("https://klasma.github.io/Logging_0484/klagomålsmail/A 62009-2024 FSC-klagomål mail.docx", "A 62009-2024")</f>
        <v/>
      </c>
      <c r="X359">
        <f>HYPERLINK("https://klasma.github.io/Logging_0484/tillsyn/A 62009-2024 tillsynsbegäran.docx", "A 62009-2024")</f>
        <v/>
      </c>
      <c r="Y359">
        <f>HYPERLINK("https://klasma.github.io/Logging_0484/tillsynsmail/A 62009-2024 tillsynsbegäran mail.docx", "A 62009-2024")</f>
        <v/>
      </c>
    </row>
    <row r="360" ht="15" customHeight="1">
      <c r="A360" t="inlineStr">
        <is>
          <t>A 315-2025</t>
        </is>
      </c>
      <c r="B360" s="1" t="n">
        <v>45660</v>
      </c>
      <c r="C360" s="1" t="n">
        <v>45843</v>
      </c>
      <c r="D360" t="inlineStr">
        <is>
          <t>SÖDERMANLANDS LÄN</t>
        </is>
      </c>
      <c r="E360" t="inlineStr">
        <is>
          <t>ESKILSTUNA</t>
        </is>
      </c>
      <c r="F360" t="inlineStr">
        <is>
          <t>Holmen skog AB</t>
        </is>
      </c>
      <c r="G360" t="n">
        <v>10.4</v>
      </c>
      <c r="H360" t="n">
        <v>1</v>
      </c>
      <c r="I360" t="n">
        <v>1</v>
      </c>
      <c r="J360" t="n">
        <v>0</v>
      </c>
      <c r="K360" t="n">
        <v>0</v>
      </c>
      <c r="L360" t="n">
        <v>0</v>
      </c>
      <c r="M360" t="n">
        <v>0</v>
      </c>
      <c r="N360" t="n">
        <v>0</v>
      </c>
      <c r="O360" t="n">
        <v>0</v>
      </c>
      <c r="P360" t="n">
        <v>0</v>
      </c>
      <c r="Q360" t="n">
        <v>2</v>
      </c>
      <c r="R360" s="2" t="inlineStr">
        <is>
          <t>Grönpyrola
Blåsippa</t>
        </is>
      </c>
      <c r="S360">
        <f>HYPERLINK("https://klasma.github.io/Logging_0484/artfynd/A 315-2025 artfynd.xlsx", "A 315-2025")</f>
        <v/>
      </c>
      <c r="T360">
        <f>HYPERLINK("https://klasma.github.io/Logging_0484/kartor/A 315-2025 karta.png", "A 315-2025")</f>
        <v/>
      </c>
      <c r="V360">
        <f>HYPERLINK("https://klasma.github.io/Logging_0484/klagomål/A 315-2025 FSC-klagomål.docx", "A 315-2025")</f>
        <v/>
      </c>
      <c r="W360">
        <f>HYPERLINK("https://klasma.github.io/Logging_0484/klagomålsmail/A 315-2025 FSC-klagomål mail.docx", "A 315-2025")</f>
        <v/>
      </c>
      <c r="X360">
        <f>HYPERLINK("https://klasma.github.io/Logging_0484/tillsyn/A 315-2025 tillsynsbegäran.docx", "A 315-2025")</f>
        <v/>
      </c>
      <c r="Y360">
        <f>HYPERLINK("https://klasma.github.io/Logging_0484/tillsynsmail/A 315-2025 tillsynsbegäran mail.docx", "A 315-2025")</f>
        <v/>
      </c>
    </row>
    <row r="361" ht="15" customHeight="1">
      <c r="A361" t="inlineStr">
        <is>
          <t>A 1150-2025</t>
        </is>
      </c>
      <c r="B361" s="1" t="n">
        <v>45666</v>
      </c>
      <c r="C361" s="1" t="n">
        <v>45843</v>
      </c>
      <c r="D361" t="inlineStr">
        <is>
          <t>SÖDERMANLANDS LÄN</t>
        </is>
      </c>
      <c r="E361" t="inlineStr">
        <is>
          <t>KATRINEHOLM</t>
        </is>
      </c>
      <c r="G361" t="n">
        <v>8.9</v>
      </c>
      <c r="H361" t="n">
        <v>0</v>
      </c>
      <c r="I361" t="n">
        <v>1</v>
      </c>
      <c r="J361" t="n">
        <v>1</v>
      </c>
      <c r="K361" t="n">
        <v>0</v>
      </c>
      <c r="L361" t="n">
        <v>0</v>
      </c>
      <c r="M361" t="n">
        <v>0</v>
      </c>
      <c r="N361" t="n">
        <v>0</v>
      </c>
      <c r="O361" t="n">
        <v>1</v>
      </c>
      <c r="P361" t="n">
        <v>0</v>
      </c>
      <c r="Q361" t="n">
        <v>2</v>
      </c>
      <c r="R361" s="2" t="inlineStr">
        <is>
          <t>Motaggsvamp
Grovticka</t>
        </is>
      </c>
      <c r="S361">
        <f>HYPERLINK("https://klasma.github.io/Logging_0483/artfynd/A 1150-2025 artfynd.xlsx", "A 1150-2025")</f>
        <v/>
      </c>
      <c r="T361">
        <f>HYPERLINK("https://klasma.github.io/Logging_0483/kartor/A 1150-2025 karta.png", "A 1150-2025")</f>
        <v/>
      </c>
      <c r="V361">
        <f>HYPERLINK("https://klasma.github.io/Logging_0483/klagomål/A 1150-2025 FSC-klagomål.docx", "A 1150-2025")</f>
        <v/>
      </c>
      <c r="W361">
        <f>HYPERLINK("https://klasma.github.io/Logging_0483/klagomålsmail/A 1150-2025 FSC-klagomål mail.docx", "A 1150-2025")</f>
        <v/>
      </c>
      <c r="X361">
        <f>HYPERLINK("https://klasma.github.io/Logging_0483/tillsyn/A 1150-2025 tillsynsbegäran.docx", "A 1150-2025")</f>
        <v/>
      </c>
      <c r="Y361">
        <f>HYPERLINK("https://klasma.github.io/Logging_0483/tillsynsmail/A 1150-2025 tillsynsbegäran mail.docx", "A 1150-2025")</f>
        <v/>
      </c>
    </row>
    <row r="362" ht="15" customHeight="1">
      <c r="A362" t="inlineStr">
        <is>
          <t>A 1377-2025</t>
        </is>
      </c>
      <c r="B362" s="1" t="n">
        <v>45667</v>
      </c>
      <c r="C362" s="1" t="n">
        <v>45843</v>
      </c>
      <c r="D362" t="inlineStr">
        <is>
          <t>SÖDERMANLANDS LÄN</t>
        </is>
      </c>
      <c r="E362" t="inlineStr">
        <is>
          <t>KATRINEHOLM</t>
        </is>
      </c>
      <c r="G362" t="n">
        <v>2.8</v>
      </c>
      <c r="H362" t="n">
        <v>0</v>
      </c>
      <c r="I362" t="n">
        <v>1</v>
      </c>
      <c r="J362" t="n">
        <v>1</v>
      </c>
      <c r="K362" t="n">
        <v>0</v>
      </c>
      <c r="L362" t="n">
        <v>0</v>
      </c>
      <c r="M362" t="n">
        <v>0</v>
      </c>
      <c r="N362" t="n">
        <v>0</v>
      </c>
      <c r="O362" t="n">
        <v>1</v>
      </c>
      <c r="P362" t="n">
        <v>0</v>
      </c>
      <c r="Q362" t="n">
        <v>2</v>
      </c>
      <c r="R362" s="2" t="inlineStr">
        <is>
          <t>Motaggsvamp
Blåmossa</t>
        </is>
      </c>
      <c r="S362">
        <f>HYPERLINK("https://klasma.github.io/Logging_0483/artfynd/A 1377-2025 artfynd.xlsx", "A 1377-2025")</f>
        <v/>
      </c>
      <c r="T362">
        <f>HYPERLINK("https://klasma.github.io/Logging_0483/kartor/A 1377-2025 karta.png", "A 1377-2025")</f>
        <v/>
      </c>
      <c r="U362">
        <f>HYPERLINK("https://klasma.github.io/Logging_0483/knärot/A 1377-2025 karta knärot.png", "A 1377-2025")</f>
        <v/>
      </c>
      <c r="V362">
        <f>HYPERLINK("https://klasma.github.io/Logging_0483/klagomål/A 1377-2025 FSC-klagomål.docx", "A 1377-2025")</f>
        <v/>
      </c>
      <c r="W362">
        <f>HYPERLINK("https://klasma.github.io/Logging_0483/klagomålsmail/A 1377-2025 FSC-klagomål mail.docx", "A 1377-2025")</f>
        <v/>
      </c>
      <c r="X362">
        <f>HYPERLINK("https://klasma.github.io/Logging_0483/tillsyn/A 1377-2025 tillsynsbegäran.docx", "A 1377-2025")</f>
        <v/>
      </c>
      <c r="Y362">
        <f>HYPERLINK("https://klasma.github.io/Logging_0483/tillsynsmail/A 1377-2025 tillsynsbegäran mail.docx", "A 1377-2025")</f>
        <v/>
      </c>
    </row>
    <row r="363" ht="15" customHeight="1">
      <c r="A363" t="inlineStr">
        <is>
          <t>A 1702-2025</t>
        </is>
      </c>
      <c r="B363" s="1" t="n">
        <v>45670</v>
      </c>
      <c r="C363" s="1" t="n">
        <v>45843</v>
      </c>
      <c r="D363" t="inlineStr">
        <is>
          <t>SÖDERMANLANDS LÄN</t>
        </is>
      </c>
      <c r="E363" t="inlineStr">
        <is>
          <t>GNESTA</t>
        </is>
      </c>
      <c r="G363" t="n">
        <v>2.1</v>
      </c>
      <c r="H363" t="n">
        <v>1</v>
      </c>
      <c r="I363" t="n">
        <v>0</v>
      </c>
      <c r="J363" t="n">
        <v>1</v>
      </c>
      <c r="K363" t="n">
        <v>0</v>
      </c>
      <c r="L363" t="n">
        <v>0</v>
      </c>
      <c r="M363" t="n">
        <v>0</v>
      </c>
      <c r="N363" t="n">
        <v>0</v>
      </c>
      <c r="O363" t="n">
        <v>1</v>
      </c>
      <c r="P363" t="n">
        <v>0</v>
      </c>
      <c r="Q363" t="n">
        <v>2</v>
      </c>
      <c r="R363" s="2" t="inlineStr">
        <is>
          <t>Tallticka
Tjäder</t>
        </is>
      </c>
      <c r="S363">
        <f>HYPERLINK("https://klasma.github.io/Logging_0461/artfynd/A 1702-2025 artfynd.xlsx", "A 1702-2025")</f>
        <v/>
      </c>
      <c r="T363">
        <f>HYPERLINK("https://klasma.github.io/Logging_0461/kartor/A 1702-2025 karta.png", "A 1702-2025")</f>
        <v/>
      </c>
      <c r="V363">
        <f>HYPERLINK("https://klasma.github.io/Logging_0461/klagomål/A 1702-2025 FSC-klagomål.docx", "A 1702-2025")</f>
        <v/>
      </c>
      <c r="W363">
        <f>HYPERLINK("https://klasma.github.io/Logging_0461/klagomålsmail/A 1702-2025 FSC-klagomål mail.docx", "A 1702-2025")</f>
        <v/>
      </c>
      <c r="X363">
        <f>HYPERLINK("https://klasma.github.io/Logging_0461/tillsyn/A 1702-2025 tillsynsbegäran.docx", "A 1702-2025")</f>
        <v/>
      </c>
      <c r="Y363">
        <f>HYPERLINK("https://klasma.github.io/Logging_0461/tillsynsmail/A 1702-2025 tillsynsbegäran mail.docx", "A 1702-2025")</f>
        <v/>
      </c>
      <c r="Z363">
        <f>HYPERLINK("https://klasma.github.io/Logging_0461/fåglar/A 1702-2025 prioriterade fågelarter.docx", "A 1702-2025")</f>
        <v/>
      </c>
    </row>
    <row r="364" ht="15" customHeight="1">
      <c r="A364" t="inlineStr">
        <is>
          <t>A 1875-2025</t>
        </is>
      </c>
      <c r="B364" s="1" t="n">
        <v>45671</v>
      </c>
      <c r="C364" s="1" t="n">
        <v>45843</v>
      </c>
      <c r="D364" t="inlineStr">
        <is>
          <t>SÖDERMANLANDS LÄN</t>
        </is>
      </c>
      <c r="E364" t="inlineStr">
        <is>
          <t>FLEN</t>
        </is>
      </c>
      <c r="G364" t="n">
        <v>2.4</v>
      </c>
      <c r="H364" t="n">
        <v>0</v>
      </c>
      <c r="I364" t="n">
        <v>0</v>
      </c>
      <c r="J364" t="n">
        <v>2</v>
      </c>
      <c r="K364" t="n">
        <v>0</v>
      </c>
      <c r="L364" t="n">
        <v>0</v>
      </c>
      <c r="M364" t="n">
        <v>0</v>
      </c>
      <c r="N364" t="n">
        <v>0</v>
      </c>
      <c r="O364" t="n">
        <v>2</v>
      </c>
      <c r="P364" t="n">
        <v>0</v>
      </c>
      <c r="Q364" t="n">
        <v>2</v>
      </c>
      <c r="R364" s="2" t="inlineStr">
        <is>
          <t>Slåtterfibbla
Svinrot</t>
        </is>
      </c>
      <c r="S364">
        <f>HYPERLINK("https://klasma.github.io/Logging_0482/artfynd/A 1875-2025 artfynd.xlsx", "A 1875-2025")</f>
        <v/>
      </c>
      <c r="T364">
        <f>HYPERLINK("https://klasma.github.io/Logging_0482/kartor/A 1875-2025 karta.png", "A 1875-2025")</f>
        <v/>
      </c>
      <c r="V364">
        <f>HYPERLINK("https://klasma.github.io/Logging_0482/klagomål/A 1875-2025 FSC-klagomål.docx", "A 1875-2025")</f>
        <v/>
      </c>
      <c r="W364">
        <f>HYPERLINK("https://klasma.github.io/Logging_0482/klagomålsmail/A 1875-2025 FSC-klagomål mail.docx", "A 1875-2025")</f>
        <v/>
      </c>
      <c r="X364">
        <f>HYPERLINK("https://klasma.github.io/Logging_0482/tillsyn/A 1875-2025 tillsynsbegäran.docx", "A 1875-2025")</f>
        <v/>
      </c>
      <c r="Y364">
        <f>HYPERLINK("https://klasma.github.io/Logging_0482/tillsynsmail/A 1875-2025 tillsynsbegäran mail.docx", "A 1875-2025")</f>
        <v/>
      </c>
    </row>
    <row r="365" ht="15" customHeight="1">
      <c r="A365" t="inlineStr">
        <is>
          <t>A 4536-2025</t>
        </is>
      </c>
      <c r="B365" s="1" t="n">
        <v>45687</v>
      </c>
      <c r="C365" s="1" t="n">
        <v>45843</v>
      </c>
      <c r="D365" t="inlineStr">
        <is>
          <t>SÖDERMANLANDS LÄN</t>
        </is>
      </c>
      <c r="E365" t="inlineStr">
        <is>
          <t>FLEN</t>
        </is>
      </c>
      <c r="F365" t="inlineStr">
        <is>
          <t>Kyrkan</t>
        </is>
      </c>
      <c r="G365" t="n">
        <v>5.3</v>
      </c>
      <c r="H365" t="n">
        <v>1</v>
      </c>
      <c r="I365" t="n">
        <v>1</v>
      </c>
      <c r="J365" t="n">
        <v>1</v>
      </c>
      <c r="K365" t="n">
        <v>0</v>
      </c>
      <c r="L365" t="n">
        <v>0</v>
      </c>
      <c r="M365" t="n">
        <v>0</v>
      </c>
      <c r="N365" t="n">
        <v>0</v>
      </c>
      <c r="O365" t="n">
        <v>1</v>
      </c>
      <c r="P365" t="n">
        <v>0</v>
      </c>
      <c r="Q365" t="n">
        <v>2</v>
      </c>
      <c r="R365" s="2" t="inlineStr">
        <is>
          <t>Spillkråka
Brandticka</t>
        </is>
      </c>
      <c r="S365">
        <f>HYPERLINK("https://klasma.github.io/Logging_0482/artfynd/A 4536-2025 artfynd.xlsx", "A 4536-2025")</f>
        <v/>
      </c>
      <c r="T365">
        <f>HYPERLINK("https://klasma.github.io/Logging_0482/kartor/A 4536-2025 karta.png", "A 4536-2025")</f>
        <v/>
      </c>
      <c r="V365">
        <f>HYPERLINK("https://klasma.github.io/Logging_0482/klagomål/A 4536-2025 FSC-klagomål.docx", "A 4536-2025")</f>
        <v/>
      </c>
      <c r="W365">
        <f>HYPERLINK("https://klasma.github.io/Logging_0482/klagomålsmail/A 4536-2025 FSC-klagomål mail.docx", "A 4536-2025")</f>
        <v/>
      </c>
      <c r="X365">
        <f>HYPERLINK("https://klasma.github.io/Logging_0482/tillsyn/A 4536-2025 tillsynsbegäran.docx", "A 4536-2025")</f>
        <v/>
      </c>
      <c r="Y365">
        <f>HYPERLINK("https://klasma.github.io/Logging_0482/tillsynsmail/A 4536-2025 tillsynsbegäran mail.docx", "A 4536-2025")</f>
        <v/>
      </c>
      <c r="Z365">
        <f>HYPERLINK("https://klasma.github.io/Logging_0482/fåglar/A 4536-2025 prioriterade fågelarter.docx", "A 4536-2025")</f>
        <v/>
      </c>
    </row>
    <row r="366" ht="15" customHeight="1">
      <c r="A366" t="inlineStr">
        <is>
          <t>A 10439-2025</t>
        </is>
      </c>
      <c r="B366" s="1" t="n">
        <v>45720</v>
      </c>
      <c r="C366" s="1" t="n">
        <v>45843</v>
      </c>
      <c r="D366" t="inlineStr">
        <is>
          <t>SÖDERMANLANDS LÄN</t>
        </is>
      </c>
      <c r="E366" t="inlineStr">
        <is>
          <t>GNESTA</t>
        </is>
      </c>
      <c r="F366" t="inlineStr">
        <is>
          <t>Allmännings- och besparingsskogar</t>
        </is>
      </c>
      <c r="G366" t="n">
        <v>2.6</v>
      </c>
      <c r="H366" t="n">
        <v>2</v>
      </c>
      <c r="I366" t="n">
        <v>0</v>
      </c>
      <c r="J366" t="n">
        <v>0</v>
      </c>
      <c r="K366" t="n">
        <v>0</v>
      </c>
      <c r="L366" t="n">
        <v>0</v>
      </c>
      <c r="M366" t="n">
        <v>0</v>
      </c>
      <c r="N366" t="n">
        <v>0</v>
      </c>
      <c r="O366" t="n">
        <v>0</v>
      </c>
      <c r="P366" t="n">
        <v>0</v>
      </c>
      <c r="Q366" t="n">
        <v>2</v>
      </c>
      <c r="R366" s="2" t="inlineStr">
        <is>
          <t>Blåsippa
Revlummer</t>
        </is>
      </c>
      <c r="S366">
        <f>HYPERLINK("https://klasma.github.io/Logging_040461/artfynd/A 10439-2025 artfynd.xlsx", "A 10439-2025")</f>
        <v/>
      </c>
      <c r="T366">
        <f>HYPERLINK("https://klasma.github.io/Logging_040461/kartor/A 10439-2025 karta.png", "A 10439-2025")</f>
        <v/>
      </c>
      <c r="V366">
        <f>HYPERLINK("https://klasma.github.io/Logging_040461/klagomål/A 10439-2025 FSC-klagomål.docx", "A 10439-2025")</f>
        <v/>
      </c>
      <c r="W366">
        <f>HYPERLINK("https://klasma.github.io/Logging_040461/klagomålsmail/A 10439-2025 FSC-klagomål mail.docx", "A 10439-2025")</f>
        <v/>
      </c>
      <c r="X366">
        <f>HYPERLINK("https://klasma.github.io/Logging_040461/tillsyn/A 10439-2025 tillsynsbegäran.docx", "A 10439-2025")</f>
        <v/>
      </c>
      <c r="Y366">
        <f>HYPERLINK("https://klasma.github.io/Logging_040461/tillsynsmail/A 10439-2025 tillsynsbegäran mail.docx", "A 10439-2025")</f>
        <v/>
      </c>
    </row>
    <row r="367" ht="15" customHeight="1">
      <c r="A367" t="inlineStr">
        <is>
          <t>A 21220-2025</t>
        </is>
      </c>
      <c r="B367" s="1" t="n">
        <v>45779</v>
      </c>
      <c r="C367" s="1" t="n">
        <v>45843</v>
      </c>
      <c r="D367" t="inlineStr">
        <is>
          <t>SÖDERMANLANDS LÄN</t>
        </is>
      </c>
      <c r="E367" t="inlineStr">
        <is>
          <t>GNESTA</t>
        </is>
      </c>
      <c r="G367" t="n">
        <v>13.1</v>
      </c>
      <c r="H367" t="n">
        <v>1</v>
      </c>
      <c r="I367" t="n">
        <v>0</v>
      </c>
      <c r="J367" t="n">
        <v>1</v>
      </c>
      <c r="K367" t="n">
        <v>0</v>
      </c>
      <c r="L367" t="n">
        <v>0</v>
      </c>
      <c r="M367" t="n">
        <v>0</v>
      </c>
      <c r="N367" t="n">
        <v>0</v>
      </c>
      <c r="O367" t="n">
        <v>1</v>
      </c>
      <c r="P367" t="n">
        <v>0</v>
      </c>
      <c r="Q367" t="n">
        <v>2</v>
      </c>
      <c r="R367" s="2" t="inlineStr">
        <is>
          <t>Vedskivlav
Mattlummer</t>
        </is>
      </c>
      <c r="S367">
        <f>HYPERLINK("https://klasma.github.io/Logging_040461/artfynd/A 21220-2025 artfynd.xlsx", "A 21220-2025")</f>
        <v/>
      </c>
      <c r="T367">
        <f>HYPERLINK("https://klasma.github.io/Logging_040461/kartor/A 21220-2025 karta.png", "A 21220-2025")</f>
        <v/>
      </c>
      <c r="V367">
        <f>HYPERLINK("https://klasma.github.io/Logging_040461/klagomål/A 21220-2025 FSC-klagomål.docx", "A 21220-2025")</f>
        <v/>
      </c>
      <c r="W367">
        <f>HYPERLINK("https://klasma.github.io/Logging_040461/klagomålsmail/A 21220-2025 FSC-klagomål mail.docx", "A 21220-2025")</f>
        <v/>
      </c>
      <c r="X367">
        <f>HYPERLINK("https://klasma.github.io/Logging_040461/tillsyn/A 21220-2025 tillsynsbegäran.docx", "A 21220-2025")</f>
        <v/>
      </c>
      <c r="Y367">
        <f>HYPERLINK("https://klasma.github.io/Logging_040461/tillsynsmail/A 21220-2025 tillsynsbegäran mail.docx", "A 21220-2025")</f>
        <v/>
      </c>
    </row>
    <row r="368" ht="15" customHeight="1">
      <c r="A368" t="inlineStr">
        <is>
          <t>A 24543-2025</t>
        </is>
      </c>
      <c r="B368" s="1" t="n">
        <v>45798</v>
      </c>
      <c r="C368" s="1" t="n">
        <v>45843</v>
      </c>
      <c r="D368" t="inlineStr">
        <is>
          <t>SÖDERMANLANDS LÄN</t>
        </is>
      </c>
      <c r="E368" t="inlineStr">
        <is>
          <t>ESKILSTUNA</t>
        </is>
      </c>
      <c r="F368" t="inlineStr">
        <is>
          <t>Sveaskog</t>
        </is>
      </c>
      <c r="G368" t="n">
        <v>0.4</v>
      </c>
      <c r="H368" t="n">
        <v>1</v>
      </c>
      <c r="I368" t="n">
        <v>0</v>
      </c>
      <c r="J368" t="n">
        <v>1</v>
      </c>
      <c r="K368" t="n">
        <v>0</v>
      </c>
      <c r="L368" t="n">
        <v>0</v>
      </c>
      <c r="M368" t="n">
        <v>0</v>
      </c>
      <c r="N368" t="n">
        <v>0</v>
      </c>
      <c r="O368" t="n">
        <v>1</v>
      </c>
      <c r="P368" t="n">
        <v>0</v>
      </c>
      <c r="Q368" t="n">
        <v>2</v>
      </c>
      <c r="R368" s="2" t="inlineStr">
        <is>
          <t>Ängsskära
Blåsippa</t>
        </is>
      </c>
      <c r="S368">
        <f>HYPERLINK("https://klasma.github.io/Logging_040484/artfynd/A 24543-2025 artfynd.xlsx", "A 24543-2025")</f>
        <v/>
      </c>
      <c r="T368">
        <f>HYPERLINK("https://klasma.github.io/Logging_040484/kartor/A 24543-2025 karta.png", "A 24543-2025")</f>
        <v/>
      </c>
      <c r="V368">
        <f>HYPERLINK("https://klasma.github.io/Logging_040484/klagomål/A 24543-2025 FSC-klagomål.docx", "A 24543-2025")</f>
        <v/>
      </c>
      <c r="W368">
        <f>HYPERLINK("https://klasma.github.io/Logging_040484/klagomålsmail/A 24543-2025 FSC-klagomål mail.docx", "A 24543-2025")</f>
        <v/>
      </c>
      <c r="X368">
        <f>HYPERLINK("https://klasma.github.io/Logging_040484/tillsyn/A 24543-2025 tillsynsbegäran.docx", "A 24543-2025")</f>
        <v/>
      </c>
      <c r="Y368">
        <f>HYPERLINK("https://klasma.github.io/Logging_040484/tillsynsmail/A 24543-2025 tillsynsbegäran mail.docx", "A 24543-2025")</f>
        <v/>
      </c>
    </row>
    <row r="369" ht="15" customHeight="1">
      <c r="A369" t="inlineStr">
        <is>
          <t>A 24539-2025</t>
        </is>
      </c>
      <c r="B369" s="1" t="n">
        <v>45798</v>
      </c>
      <c r="C369" s="1" t="n">
        <v>45843</v>
      </c>
      <c r="D369" t="inlineStr">
        <is>
          <t>SÖDERMANLANDS LÄN</t>
        </is>
      </c>
      <c r="E369" t="inlineStr">
        <is>
          <t>ESKILSTUNA</t>
        </is>
      </c>
      <c r="F369" t="inlineStr">
        <is>
          <t>Sveaskog</t>
        </is>
      </c>
      <c r="G369" t="n">
        <v>4.8</v>
      </c>
      <c r="H369" t="n">
        <v>0</v>
      </c>
      <c r="I369" t="n">
        <v>1</v>
      </c>
      <c r="J369" t="n">
        <v>1</v>
      </c>
      <c r="K369" t="n">
        <v>0</v>
      </c>
      <c r="L369" t="n">
        <v>0</v>
      </c>
      <c r="M369" t="n">
        <v>0</v>
      </c>
      <c r="N369" t="n">
        <v>0</v>
      </c>
      <c r="O369" t="n">
        <v>1</v>
      </c>
      <c r="P369" t="n">
        <v>0</v>
      </c>
      <c r="Q369" t="n">
        <v>2</v>
      </c>
      <c r="R369" s="2" t="inlineStr">
        <is>
          <t>Ängsskära
Svart trolldruva</t>
        </is>
      </c>
      <c r="S369">
        <f>HYPERLINK("https://klasma.github.io/Logging_040484/artfynd/A 24539-2025 artfynd.xlsx", "A 24539-2025")</f>
        <v/>
      </c>
      <c r="T369">
        <f>HYPERLINK("https://klasma.github.io/Logging_040484/kartor/A 24539-2025 karta.png", "A 24539-2025")</f>
        <v/>
      </c>
      <c r="V369">
        <f>HYPERLINK("https://klasma.github.io/Logging_040484/klagomål/A 24539-2025 FSC-klagomål.docx", "A 24539-2025")</f>
        <v/>
      </c>
      <c r="W369">
        <f>HYPERLINK("https://klasma.github.io/Logging_040484/klagomålsmail/A 24539-2025 FSC-klagomål mail.docx", "A 24539-2025")</f>
        <v/>
      </c>
      <c r="X369">
        <f>HYPERLINK("https://klasma.github.io/Logging_040484/tillsyn/A 24539-2025 tillsynsbegäran.docx", "A 24539-2025")</f>
        <v/>
      </c>
      <c r="Y369">
        <f>HYPERLINK("https://klasma.github.io/Logging_040484/tillsynsmail/A 24539-2025 tillsynsbegäran mail.docx", "A 24539-2025")</f>
        <v/>
      </c>
    </row>
    <row r="370" ht="15" customHeight="1">
      <c r="A370" t="inlineStr">
        <is>
          <t>A 24718-2025</t>
        </is>
      </c>
      <c r="B370" s="1" t="n">
        <v>45799</v>
      </c>
      <c r="C370" s="1" t="n">
        <v>45843</v>
      </c>
      <c r="D370" t="inlineStr">
        <is>
          <t>SÖDERMANLANDS LÄN</t>
        </is>
      </c>
      <c r="E370" t="inlineStr">
        <is>
          <t>KATRINEHOLM</t>
        </is>
      </c>
      <c r="G370" t="n">
        <v>9.6</v>
      </c>
      <c r="H370" t="n">
        <v>0</v>
      </c>
      <c r="I370" t="n">
        <v>1</v>
      </c>
      <c r="J370" t="n">
        <v>1</v>
      </c>
      <c r="K370" t="n">
        <v>0</v>
      </c>
      <c r="L370" t="n">
        <v>0</v>
      </c>
      <c r="M370" t="n">
        <v>0</v>
      </c>
      <c r="N370" t="n">
        <v>0</v>
      </c>
      <c r="O370" t="n">
        <v>1</v>
      </c>
      <c r="P370" t="n">
        <v>0</v>
      </c>
      <c r="Q370" t="n">
        <v>2</v>
      </c>
      <c r="R370" s="2" t="inlineStr">
        <is>
          <t>Motaggsvamp
Blåmossa</t>
        </is>
      </c>
      <c r="S370">
        <f>HYPERLINK("https://klasma.github.io/Logging_040483/artfynd/A 24718-2025 artfynd.xlsx", "A 24718-2025")</f>
        <v/>
      </c>
      <c r="T370">
        <f>HYPERLINK("https://klasma.github.io/Logging_040483/kartor/A 24718-2025 karta.png", "A 24718-2025")</f>
        <v/>
      </c>
      <c r="V370">
        <f>HYPERLINK("https://klasma.github.io/Logging_040483/klagomål/A 24718-2025 FSC-klagomål.docx", "A 24718-2025")</f>
        <v/>
      </c>
      <c r="W370">
        <f>HYPERLINK("https://klasma.github.io/Logging_040483/klagomålsmail/A 24718-2025 FSC-klagomål mail.docx", "A 24718-2025")</f>
        <v/>
      </c>
      <c r="X370">
        <f>HYPERLINK("https://klasma.github.io/Logging_040483/tillsyn/A 24718-2025 tillsynsbegäran.docx", "A 24718-2025")</f>
        <v/>
      </c>
      <c r="Y370">
        <f>HYPERLINK("https://klasma.github.io/Logging_040483/tillsynsmail/A 24718-2025 tillsynsbegäran mail.docx", "A 24718-2025")</f>
        <v/>
      </c>
    </row>
    <row r="371" ht="15" customHeight="1">
      <c r="A371" t="inlineStr">
        <is>
          <t>A 18548-2019</t>
        </is>
      </c>
      <c r="B371" s="1" t="n">
        <v>43558</v>
      </c>
      <c r="C371" s="1" t="n">
        <v>45843</v>
      </c>
      <c r="D371" t="inlineStr">
        <is>
          <t>SÖDERMANLANDS LÄN</t>
        </is>
      </c>
      <c r="E371" t="inlineStr">
        <is>
          <t>FLEN</t>
        </is>
      </c>
      <c r="F371" t="inlineStr">
        <is>
          <t>Övriga statliga verk och myndigheter</t>
        </is>
      </c>
      <c r="G371" t="n">
        <v>2.3</v>
      </c>
      <c r="H371" t="n">
        <v>0</v>
      </c>
      <c r="I371" t="n">
        <v>0</v>
      </c>
      <c r="J371" t="n">
        <v>1</v>
      </c>
      <c r="K371" t="n">
        <v>0</v>
      </c>
      <c r="L371" t="n">
        <v>0</v>
      </c>
      <c r="M371" t="n">
        <v>0</v>
      </c>
      <c r="N371" t="n">
        <v>0</v>
      </c>
      <c r="O371" t="n">
        <v>1</v>
      </c>
      <c r="P371" t="n">
        <v>0</v>
      </c>
      <c r="Q371" t="n">
        <v>1</v>
      </c>
      <c r="R371" s="2" t="inlineStr">
        <is>
          <t>Svedjenäva</t>
        </is>
      </c>
      <c r="S371">
        <f>HYPERLINK("https://klasma.github.io/Logging_0482/artfynd/A 18548-2019 artfynd.xlsx", "A 18548-2019")</f>
        <v/>
      </c>
      <c r="T371">
        <f>HYPERLINK("https://klasma.github.io/Logging_0482/kartor/A 18548-2019 karta.png", "A 18548-2019")</f>
        <v/>
      </c>
      <c r="V371">
        <f>HYPERLINK("https://klasma.github.io/Logging_0482/klagomål/A 18548-2019 FSC-klagomål.docx", "A 18548-2019")</f>
        <v/>
      </c>
      <c r="W371">
        <f>HYPERLINK("https://klasma.github.io/Logging_0482/klagomålsmail/A 18548-2019 FSC-klagomål mail.docx", "A 18548-2019")</f>
        <v/>
      </c>
      <c r="X371">
        <f>HYPERLINK("https://klasma.github.io/Logging_0482/tillsyn/A 18548-2019 tillsynsbegäran.docx", "A 18548-2019")</f>
        <v/>
      </c>
      <c r="Y371">
        <f>HYPERLINK("https://klasma.github.io/Logging_0482/tillsynsmail/A 18548-2019 tillsynsbegäran mail.docx", "A 18548-2019")</f>
        <v/>
      </c>
    </row>
    <row r="372" ht="15" customHeight="1">
      <c r="A372" t="inlineStr">
        <is>
          <t>A 23204-2019</t>
        </is>
      </c>
      <c r="B372" s="1" t="n">
        <v>43592</v>
      </c>
      <c r="C372" s="1" t="n">
        <v>45843</v>
      </c>
      <c r="D372" t="inlineStr">
        <is>
          <t>SÖDERMANLANDS LÄN</t>
        </is>
      </c>
      <c r="E372" t="inlineStr">
        <is>
          <t>ESKILSTUNA</t>
        </is>
      </c>
      <c r="F372" t="inlineStr">
        <is>
          <t>Sveaskog</t>
        </is>
      </c>
      <c r="G372" t="n">
        <v>3.6</v>
      </c>
      <c r="H372" t="n">
        <v>0</v>
      </c>
      <c r="I372" t="n">
        <v>0</v>
      </c>
      <c r="J372" t="n">
        <v>1</v>
      </c>
      <c r="K372" t="n">
        <v>0</v>
      </c>
      <c r="L372" t="n">
        <v>0</v>
      </c>
      <c r="M372" t="n">
        <v>0</v>
      </c>
      <c r="N372" t="n">
        <v>0</v>
      </c>
      <c r="O372" t="n">
        <v>1</v>
      </c>
      <c r="P372" t="n">
        <v>0</v>
      </c>
      <c r="Q372" t="n">
        <v>1</v>
      </c>
      <c r="R372" s="2" t="inlineStr">
        <is>
          <t>Ängsskära</t>
        </is>
      </c>
      <c r="S372">
        <f>HYPERLINK("https://klasma.github.io/Logging_0484/artfynd/A 23204-2019 artfynd.xlsx", "A 23204-2019")</f>
        <v/>
      </c>
      <c r="T372">
        <f>HYPERLINK("https://klasma.github.io/Logging_0484/kartor/A 23204-2019 karta.png", "A 23204-2019")</f>
        <v/>
      </c>
      <c r="V372">
        <f>HYPERLINK("https://klasma.github.io/Logging_0484/klagomål/A 23204-2019 FSC-klagomål.docx", "A 23204-2019")</f>
        <v/>
      </c>
      <c r="W372">
        <f>HYPERLINK("https://klasma.github.io/Logging_0484/klagomålsmail/A 23204-2019 FSC-klagomål mail.docx", "A 23204-2019")</f>
        <v/>
      </c>
      <c r="X372">
        <f>HYPERLINK("https://klasma.github.io/Logging_0484/tillsyn/A 23204-2019 tillsynsbegäran.docx", "A 23204-2019")</f>
        <v/>
      </c>
      <c r="Y372">
        <f>HYPERLINK("https://klasma.github.io/Logging_0484/tillsynsmail/A 23204-2019 tillsynsbegäran mail.docx", "A 23204-2019")</f>
        <v/>
      </c>
    </row>
    <row r="373" ht="15" customHeight="1">
      <c r="A373" t="inlineStr">
        <is>
          <t>A 23556-2019</t>
        </is>
      </c>
      <c r="B373" s="1" t="n">
        <v>43594</v>
      </c>
      <c r="C373" s="1" t="n">
        <v>45843</v>
      </c>
      <c r="D373" t="inlineStr">
        <is>
          <t>SÖDERMANLANDS LÄN</t>
        </is>
      </c>
      <c r="E373" t="inlineStr">
        <is>
          <t>NYKÖPING</t>
        </is>
      </c>
      <c r="F373" t="inlineStr">
        <is>
          <t>Sveaskog</t>
        </is>
      </c>
      <c r="G373" t="n">
        <v>2.8</v>
      </c>
      <c r="H373" t="n">
        <v>1</v>
      </c>
      <c r="I373" t="n">
        <v>0</v>
      </c>
      <c r="J373" t="n">
        <v>1</v>
      </c>
      <c r="K373" t="n">
        <v>0</v>
      </c>
      <c r="L373" t="n">
        <v>0</v>
      </c>
      <c r="M373" t="n">
        <v>0</v>
      </c>
      <c r="N373" t="n">
        <v>0</v>
      </c>
      <c r="O373" t="n">
        <v>1</v>
      </c>
      <c r="P373" t="n">
        <v>0</v>
      </c>
      <c r="Q373" t="n">
        <v>1</v>
      </c>
      <c r="R373" s="2" t="inlineStr">
        <is>
          <t>Talltita</t>
        </is>
      </c>
      <c r="S373">
        <f>HYPERLINK("https://klasma.github.io/Logging_0480/artfynd/A 23556-2019 artfynd.xlsx", "A 23556-2019")</f>
        <v/>
      </c>
      <c r="T373">
        <f>HYPERLINK("https://klasma.github.io/Logging_0480/kartor/A 23556-2019 karta.png", "A 23556-2019")</f>
        <v/>
      </c>
      <c r="V373">
        <f>HYPERLINK("https://klasma.github.io/Logging_0480/klagomål/A 23556-2019 FSC-klagomål.docx", "A 23556-2019")</f>
        <v/>
      </c>
      <c r="W373">
        <f>HYPERLINK("https://klasma.github.io/Logging_0480/klagomålsmail/A 23556-2019 FSC-klagomål mail.docx", "A 23556-2019")</f>
        <v/>
      </c>
      <c r="X373">
        <f>HYPERLINK("https://klasma.github.io/Logging_0480/tillsyn/A 23556-2019 tillsynsbegäran.docx", "A 23556-2019")</f>
        <v/>
      </c>
      <c r="Y373">
        <f>HYPERLINK("https://klasma.github.io/Logging_0480/tillsynsmail/A 23556-2019 tillsynsbegäran mail.docx", "A 23556-2019")</f>
        <v/>
      </c>
      <c r="Z373">
        <f>HYPERLINK("https://klasma.github.io/Logging_0480/fåglar/A 23556-2019 prioriterade fågelarter.docx", "A 23556-2019")</f>
        <v/>
      </c>
    </row>
    <row r="374" ht="15" customHeight="1">
      <c r="A374" t="inlineStr">
        <is>
          <t>A 28647-2019</t>
        </is>
      </c>
      <c r="B374" s="1" t="n">
        <v>43614</v>
      </c>
      <c r="C374" s="1" t="n">
        <v>45843</v>
      </c>
      <c r="D374" t="inlineStr">
        <is>
          <t>SÖDERMANLANDS LÄN</t>
        </is>
      </c>
      <c r="E374" t="inlineStr">
        <is>
          <t>NYKÖPING</t>
        </is>
      </c>
      <c r="G374" t="n">
        <v>20.9</v>
      </c>
      <c r="H374" t="n">
        <v>1</v>
      </c>
      <c r="I374" t="n">
        <v>1</v>
      </c>
      <c r="J374" t="n">
        <v>0</v>
      </c>
      <c r="K374" t="n">
        <v>0</v>
      </c>
      <c r="L374" t="n">
        <v>0</v>
      </c>
      <c r="M374" t="n">
        <v>0</v>
      </c>
      <c r="N374" t="n">
        <v>0</v>
      </c>
      <c r="O374" t="n">
        <v>0</v>
      </c>
      <c r="P374" t="n">
        <v>0</v>
      </c>
      <c r="Q374" t="n">
        <v>1</v>
      </c>
      <c r="R374" s="2" t="inlineStr">
        <is>
          <t>Spindelblomster</t>
        </is>
      </c>
      <c r="S374">
        <f>HYPERLINK("https://klasma.github.io/Logging_0480/artfynd/A 28647-2019 artfynd.xlsx", "A 28647-2019")</f>
        <v/>
      </c>
      <c r="T374">
        <f>HYPERLINK("https://klasma.github.io/Logging_0480/kartor/A 28647-2019 karta.png", "A 28647-2019")</f>
        <v/>
      </c>
      <c r="V374">
        <f>HYPERLINK("https://klasma.github.io/Logging_0480/klagomål/A 28647-2019 FSC-klagomål.docx", "A 28647-2019")</f>
        <v/>
      </c>
      <c r="W374">
        <f>HYPERLINK("https://klasma.github.io/Logging_0480/klagomålsmail/A 28647-2019 FSC-klagomål mail.docx", "A 28647-2019")</f>
        <v/>
      </c>
      <c r="X374">
        <f>HYPERLINK("https://klasma.github.io/Logging_0480/tillsyn/A 28647-2019 tillsynsbegäran.docx", "A 28647-2019")</f>
        <v/>
      </c>
      <c r="Y374">
        <f>HYPERLINK("https://klasma.github.io/Logging_0480/tillsynsmail/A 28647-2019 tillsynsbegäran mail.docx", "A 28647-2019")</f>
        <v/>
      </c>
    </row>
    <row r="375" ht="15" customHeight="1">
      <c r="A375" t="inlineStr">
        <is>
          <t>A 28403-2019</t>
        </is>
      </c>
      <c r="B375" s="1" t="n">
        <v>43626</v>
      </c>
      <c r="C375" s="1" t="n">
        <v>45843</v>
      </c>
      <c r="D375" t="inlineStr">
        <is>
          <t>SÖDERMANLANDS LÄN</t>
        </is>
      </c>
      <c r="E375" t="inlineStr">
        <is>
          <t>NYKÖPING</t>
        </is>
      </c>
      <c r="F375" t="inlineStr">
        <is>
          <t>Sveaskog</t>
        </is>
      </c>
      <c r="G375" t="n">
        <v>2.5</v>
      </c>
      <c r="H375" t="n">
        <v>0</v>
      </c>
      <c r="I375" t="n">
        <v>1</v>
      </c>
      <c r="J375" t="n">
        <v>0</v>
      </c>
      <c r="K375" t="n">
        <v>0</v>
      </c>
      <c r="L375" t="n">
        <v>0</v>
      </c>
      <c r="M375" t="n">
        <v>0</v>
      </c>
      <c r="N375" t="n">
        <v>0</v>
      </c>
      <c r="O375" t="n">
        <v>0</v>
      </c>
      <c r="P375" t="n">
        <v>0</v>
      </c>
      <c r="Q375" t="n">
        <v>1</v>
      </c>
      <c r="R375" s="2" t="inlineStr">
        <is>
          <t>Grönpyrola</t>
        </is>
      </c>
      <c r="S375">
        <f>HYPERLINK("https://klasma.github.io/Logging_0480/artfynd/A 28403-2019 artfynd.xlsx", "A 28403-2019")</f>
        <v/>
      </c>
      <c r="T375">
        <f>HYPERLINK("https://klasma.github.io/Logging_0480/kartor/A 28403-2019 karta.png", "A 28403-2019")</f>
        <v/>
      </c>
      <c r="V375">
        <f>HYPERLINK("https://klasma.github.io/Logging_0480/klagomål/A 28403-2019 FSC-klagomål.docx", "A 28403-2019")</f>
        <v/>
      </c>
      <c r="W375">
        <f>HYPERLINK("https://klasma.github.io/Logging_0480/klagomålsmail/A 28403-2019 FSC-klagomål mail.docx", "A 28403-2019")</f>
        <v/>
      </c>
      <c r="X375">
        <f>HYPERLINK("https://klasma.github.io/Logging_0480/tillsyn/A 28403-2019 tillsynsbegäran.docx", "A 28403-2019")</f>
        <v/>
      </c>
      <c r="Y375">
        <f>HYPERLINK("https://klasma.github.io/Logging_0480/tillsynsmail/A 28403-2019 tillsynsbegäran mail.docx", "A 28403-2019")</f>
        <v/>
      </c>
    </row>
    <row r="376" ht="15" customHeight="1">
      <c r="A376" t="inlineStr">
        <is>
          <t>A 29459-2019</t>
        </is>
      </c>
      <c r="B376" s="1" t="n">
        <v>43629</v>
      </c>
      <c r="C376" s="1" t="n">
        <v>45843</v>
      </c>
      <c r="D376" t="inlineStr">
        <is>
          <t>SÖDERMANLANDS LÄN</t>
        </is>
      </c>
      <c r="E376" t="inlineStr">
        <is>
          <t>ESKILSTUNA</t>
        </is>
      </c>
      <c r="G376" t="n">
        <v>9.199999999999999</v>
      </c>
      <c r="H376" t="n">
        <v>1</v>
      </c>
      <c r="I376" t="n">
        <v>0</v>
      </c>
      <c r="J376" t="n">
        <v>0</v>
      </c>
      <c r="K376" t="n">
        <v>1</v>
      </c>
      <c r="L376" t="n">
        <v>0</v>
      </c>
      <c r="M376" t="n">
        <v>0</v>
      </c>
      <c r="N376" t="n">
        <v>0</v>
      </c>
      <c r="O376" t="n">
        <v>1</v>
      </c>
      <c r="P376" t="n">
        <v>1</v>
      </c>
      <c r="Q376" t="n">
        <v>1</v>
      </c>
      <c r="R376" s="2" t="inlineStr">
        <is>
          <t>Knärot</t>
        </is>
      </c>
      <c r="S376">
        <f>HYPERLINK("https://klasma.github.io/Logging_0484/artfynd/A 29459-2019 artfynd.xlsx", "A 29459-2019")</f>
        <v/>
      </c>
      <c r="T376">
        <f>HYPERLINK("https://klasma.github.io/Logging_0484/kartor/A 29459-2019 karta.png", "A 29459-2019")</f>
        <v/>
      </c>
      <c r="U376">
        <f>HYPERLINK("https://klasma.github.io/Logging_0484/knärot/A 29459-2019 karta knärot.png", "A 29459-2019")</f>
        <v/>
      </c>
      <c r="V376">
        <f>HYPERLINK("https://klasma.github.io/Logging_0484/klagomål/A 29459-2019 FSC-klagomål.docx", "A 29459-2019")</f>
        <v/>
      </c>
      <c r="W376">
        <f>HYPERLINK("https://klasma.github.io/Logging_0484/klagomålsmail/A 29459-2019 FSC-klagomål mail.docx", "A 29459-2019")</f>
        <v/>
      </c>
      <c r="X376">
        <f>HYPERLINK("https://klasma.github.io/Logging_0484/tillsyn/A 29459-2019 tillsynsbegäran.docx", "A 29459-2019")</f>
        <v/>
      </c>
      <c r="Y376">
        <f>HYPERLINK("https://klasma.github.io/Logging_0484/tillsynsmail/A 29459-2019 tillsynsbegäran mail.docx", "A 29459-2019")</f>
        <v/>
      </c>
    </row>
    <row r="377" ht="15" customHeight="1">
      <c r="A377" t="inlineStr">
        <is>
          <t>A 30159-2019</t>
        </is>
      </c>
      <c r="B377" s="1" t="n">
        <v>43634</v>
      </c>
      <c r="C377" s="1" t="n">
        <v>45843</v>
      </c>
      <c r="D377" t="inlineStr">
        <is>
          <t>SÖDERMANLANDS LÄN</t>
        </is>
      </c>
      <c r="E377" t="inlineStr">
        <is>
          <t>NYKÖPING</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HYPERLINK("https://klasma.github.io/Logging_0480/artfynd/A 30159-2019 artfynd.xlsx", "A 30159-2019")</f>
        <v/>
      </c>
      <c r="T377">
        <f>HYPERLINK("https://klasma.github.io/Logging_0480/kartor/A 30159-2019 karta.png", "A 30159-2019")</f>
        <v/>
      </c>
      <c r="V377">
        <f>HYPERLINK("https://klasma.github.io/Logging_0480/klagomål/A 30159-2019 FSC-klagomål.docx", "A 30159-2019")</f>
        <v/>
      </c>
      <c r="W377">
        <f>HYPERLINK("https://klasma.github.io/Logging_0480/klagomålsmail/A 30159-2019 FSC-klagomål mail.docx", "A 30159-2019")</f>
        <v/>
      </c>
      <c r="X377">
        <f>HYPERLINK("https://klasma.github.io/Logging_0480/tillsyn/A 30159-2019 tillsynsbegäran.docx", "A 30159-2019")</f>
        <v/>
      </c>
      <c r="Y377">
        <f>HYPERLINK("https://klasma.github.io/Logging_0480/tillsynsmail/A 30159-2019 tillsynsbegäran mail.docx", "A 30159-2019")</f>
        <v/>
      </c>
    </row>
    <row r="378" ht="15" customHeight="1">
      <c r="A378" t="inlineStr">
        <is>
          <t>A 33322-2019</t>
        </is>
      </c>
      <c r="B378" s="1" t="n">
        <v>43650</v>
      </c>
      <c r="C378" s="1" t="n">
        <v>45843</v>
      </c>
      <c r="D378" t="inlineStr">
        <is>
          <t>SÖDERMANLANDS LÄN</t>
        </is>
      </c>
      <c r="E378" t="inlineStr">
        <is>
          <t>NYKÖPING</t>
        </is>
      </c>
      <c r="G378" t="n">
        <v>6.4</v>
      </c>
      <c r="H378" t="n">
        <v>1</v>
      </c>
      <c r="I378" t="n">
        <v>0</v>
      </c>
      <c r="J378" t="n">
        <v>0</v>
      </c>
      <c r="K378" t="n">
        <v>0</v>
      </c>
      <c r="L378" t="n">
        <v>0</v>
      </c>
      <c r="M378" t="n">
        <v>0</v>
      </c>
      <c r="N378" t="n">
        <v>0</v>
      </c>
      <c r="O378" t="n">
        <v>0</v>
      </c>
      <c r="P378" t="n">
        <v>0</v>
      </c>
      <c r="Q378" t="n">
        <v>1</v>
      </c>
      <c r="R378" s="2" t="inlineStr">
        <is>
          <t>Kopparödla</t>
        </is>
      </c>
      <c r="S378">
        <f>HYPERLINK("https://klasma.github.io/Logging_0480/artfynd/A 33322-2019 artfynd.xlsx", "A 33322-2019")</f>
        <v/>
      </c>
      <c r="T378">
        <f>HYPERLINK("https://klasma.github.io/Logging_0480/kartor/A 33322-2019 karta.png", "A 33322-2019")</f>
        <v/>
      </c>
      <c r="V378">
        <f>HYPERLINK("https://klasma.github.io/Logging_0480/klagomål/A 33322-2019 FSC-klagomål.docx", "A 33322-2019")</f>
        <v/>
      </c>
      <c r="W378">
        <f>HYPERLINK("https://klasma.github.io/Logging_0480/klagomålsmail/A 33322-2019 FSC-klagomål mail.docx", "A 33322-2019")</f>
        <v/>
      </c>
      <c r="X378">
        <f>HYPERLINK("https://klasma.github.io/Logging_0480/tillsyn/A 33322-2019 tillsynsbegäran.docx", "A 33322-2019")</f>
        <v/>
      </c>
      <c r="Y378">
        <f>HYPERLINK("https://klasma.github.io/Logging_0480/tillsynsmail/A 33322-2019 tillsynsbegäran mail.docx", "A 33322-2019")</f>
        <v/>
      </c>
    </row>
    <row r="379" ht="15" customHeight="1">
      <c r="A379" t="inlineStr">
        <is>
          <t>A 35997-2019</t>
        </is>
      </c>
      <c r="B379" s="1" t="n">
        <v>43656</v>
      </c>
      <c r="C379" s="1" t="n">
        <v>45843</v>
      </c>
      <c r="D379" t="inlineStr">
        <is>
          <t>SÖDERMANLANDS LÄN</t>
        </is>
      </c>
      <c r="E379" t="inlineStr">
        <is>
          <t>VINGÅKER</t>
        </is>
      </c>
      <c r="G379" t="n">
        <v>4.9</v>
      </c>
      <c r="H379" t="n">
        <v>1</v>
      </c>
      <c r="I379" t="n">
        <v>0</v>
      </c>
      <c r="J379" t="n">
        <v>0</v>
      </c>
      <c r="K379" t="n">
        <v>0</v>
      </c>
      <c r="L379" t="n">
        <v>0</v>
      </c>
      <c r="M379" t="n">
        <v>0</v>
      </c>
      <c r="N379" t="n">
        <v>0</v>
      </c>
      <c r="O379" t="n">
        <v>0</v>
      </c>
      <c r="P379" t="n">
        <v>0</v>
      </c>
      <c r="Q379" t="n">
        <v>1</v>
      </c>
      <c r="R379" s="2" t="inlineStr">
        <is>
          <t>Blåsippa</t>
        </is>
      </c>
      <c r="S379">
        <f>HYPERLINK("https://klasma.github.io/Logging_0428/artfynd/A 35997-2019 artfynd.xlsx", "A 35997-2019")</f>
        <v/>
      </c>
      <c r="T379">
        <f>HYPERLINK("https://klasma.github.io/Logging_0428/kartor/A 35997-2019 karta.png", "A 35997-2019")</f>
        <v/>
      </c>
      <c r="V379">
        <f>HYPERLINK("https://klasma.github.io/Logging_0428/klagomål/A 35997-2019 FSC-klagomål.docx", "A 35997-2019")</f>
        <v/>
      </c>
      <c r="W379">
        <f>HYPERLINK("https://klasma.github.io/Logging_0428/klagomålsmail/A 35997-2019 FSC-klagomål mail.docx", "A 35997-2019")</f>
        <v/>
      </c>
      <c r="X379">
        <f>HYPERLINK("https://klasma.github.io/Logging_0428/tillsyn/A 35997-2019 tillsynsbegäran.docx", "A 35997-2019")</f>
        <v/>
      </c>
      <c r="Y379">
        <f>HYPERLINK("https://klasma.github.io/Logging_0428/tillsynsmail/A 35997-2019 tillsynsbegäran mail.docx", "A 35997-2019")</f>
        <v/>
      </c>
    </row>
    <row r="380" ht="15" customHeight="1">
      <c r="A380" t="inlineStr">
        <is>
          <t>A 35143-2019</t>
        </is>
      </c>
      <c r="B380" s="1" t="n">
        <v>43661</v>
      </c>
      <c r="C380" s="1" t="n">
        <v>45843</v>
      </c>
      <c r="D380" t="inlineStr">
        <is>
          <t>SÖDERMANLANDS LÄN</t>
        </is>
      </c>
      <c r="E380" t="inlineStr">
        <is>
          <t>NYKÖPING</t>
        </is>
      </c>
      <c r="F380" t="inlineStr">
        <is>
          <t>Övriga Aktiebolag</t>
        </is>
      </c>
      <c r="G380" t="n">
        <v>0.8</v>
      </c>
      <c r="H380" t="n">
        <v>1</v>
      </c>
      <c r="I380" t="n">
        <v>0</v>
      </c>
      <c r="J380" t="n">
        <v>1</v>
      </c>
      <c r="K380" t="n">
        <v>0</v>
      </c>
      <c r="L380" t="n">
        <v>0</v>
      </c>
      <c r="M380" t="n">
        <v>0</v>
      </c>
      <c r="N380" t="n">
        <v>0</v>
      </c>
      <c r="O380" t="n">
        <v>1</v>
      </c>
      <c r="P380" t="n">
        <v>0</v>
      </c>
      <c r="Q380" t="n">
        <v>1</v>
      </c>
      <c r="R380" s="2" t="inlineStr">
        <is>
          <t>Talltita</t>
        </is>
      </c>
      <c r="S380">
        <f>HYPERLINK("https://klasma.github.io/Logging_0480/artfynd/A 35143-2019 artfynd.xlsx", "A 35143-2019")</f>
        <v/>
      </c>
      <c r="T380">
        <f>HYPERLINK("https://klasma.github.io/Logging_0480/kartor/A 35143-2019 karta.png", "A 35143-2019")</f>
        <v/>
      </c>
      <c r="V380">
        <f>HYPERLINK("https://klasma.github.io/Logging_0480/klagomål/A 35143-2019 FSC-klagomål.docx", "A 35143-2019")</f>
        <v/>
      </c>
      <c r="W380">
        <f>HYPERLINK("https://klasma.github.io/Logging_0480/klagomålsmail/A 35143-2019 FSC-klagomål mail.docx", "A 35143-2019")</f>
        <v/>
      </c>
      <c r="X380">
        <f>HYPERLINK("https://klasma.github.io/Logging_0480/tillsyn/A 35143-2019 tillsynsbegäran.docx", "A 35143-2019")</f>
        <v/>
      </c>
      <c r="Y380">
        <f>HYPERLINK("https://klasma.github.io/Logging_0480/tillsynsmail/A 35143-2019 tillsynsbegäran mail.docx", "A 35143-2019")</f>
        <v/>
      </c>
      <c r="Z380">
        <f>HYPERLINK("https://klasma.github.io/Logging_0480/fåglar/A 35143-2019 prioriterade fågelarter.docx", "A 35143-2019")</f>
        <v/>
      </c>
    </row>
    <row r="381" ht="15" customHeight="1">
      <c r="A381" t="inlineStr">
        <is>
          <t>A 39446-2019</t>
        </is>
      </c>
      <c r="B381" s="1" t="n">
        <v>43691</v>
      </c>
      <c r="C381" s="1" t="n">
        <v>45843</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Mörk dunört</t>
        </is>
      </c>
      <c r="S381">
        <f>HYPERLINK("https://klasma.github.io/Logging_0482/artfynd/A 39446-2019 artfynd.xlsx", "A 39446-2019")</f>
        <v/>
      </c>
      <c r="T381">
        <f>HYPERLINK("https://klasma.github.io/Logging_0482/kartor/A 39446-2019 karta.png", "A 39446-2019")</f>
        <v/>
      </c>
      <c r="V381">
        <f>HYPERLINK("https://klasma.github.io/Logging_0482/klagomål/A 39446-2019 FSC-klagomål.docx", "A 39446-2019")</f>
        <v/>
      </c>
      <c r="W381">
        <f>HYPERLINK("https://klasma.github.io/Logging_0482/klagomålsmail/A 39446-2019 FSC-klagomål mail.docx", "A 39446-2019")</f>
        <v/>
      </c>
      <c r="X381">
        <f>HYPERLINK("https://klasma.github.io/Logging_0482/tillsyn/A 39446-2019 tillsynsbegäran.docx", "A 39446-2019")</f>
        <v/>
      </c>
      <c r="Y381">
        <f>HYPERLINK("https://klasma.github.io/Logging_0482/tillsynsmail/A 39446-2019 tillsynsbegäran mail.docx", "A 39446-2019")</f>
        <v/>
      </c>
    </row>
    <row r="382" ht="15" customHeight="1">
      <c r="A382" t="inlineStr">
        <is>
          <t>A 39788-2019</t>
        </is>
      </c>
      <c r="B382" s="1" t="n">
        <v>43692</v>
      </c>
      <c r="C382" s="1" t="n">
        <v>45843</v>
      </c>
      <c r="D382" t="inlineStr">
        <is>
          <t>SÖDERMANLANDS LÄN</t>
        </is>
      </c>
      <c r="E382" t="inlineStr">
        <is>
          <t>VINGÅKER</t>
        </is>
      </c>
      <c r="F382" t="inlineStr">
        <is>
          <t>Kyrkan</t>
        </is>
      </c>
      <c r="G382" t="n">
        <v>3.2</v>
      </c>
      <c r="H382" t="n">
        <v>0</v>
      </c>
      <c r="I382" t="n">
        <v>1</v>
      </c>
      <c r="J382" t="n">
        <v>0</v>
      </c>
      <c r="K382" t="n">
        <v>0</v>
      </c>
      <c r="L382" t="n">
        <v>0</v>
      </c>
      <c r="M382" t="n">
        <v>0</v>
      </c>
      <c r="N382" t="n">
        <v>0</v>
      </c>
      <c r="O382" t="n">
        <v>0</v>
      </c>
      <c r="P382" t="n">
        <v>0</v>
      </c>
      <c r="Q382" t="n">
        <v>1</v>
      </c>
      <c r="R382" s="2" t="inlineStr">
        <is>
          <t>Zontaggsvamp</t>
        </is>
      </c>
      <c r="S382">
        <f>HYPERLINK("https://klasma.github.io/Logging_0428/artfynd/A 39788-2019 artfynd.xlsx", "A 39788-2019")</f>
        <v/>
      </c>
      <c r="T382">
        <f>HYPERLINK("https://klasma.github.io/Logging_0428/kartor/A 39788-2019 karta.png", "A 39788-2019")</f>
        <v/>
      </c>
      <c r="V382">
        <f>HYPERLINK("https://klasma.github.io/Logging_0428/klagomål/A 39788-2019 FSC-klagomål.docx", "A 39788-2019")</f>
        <v/>
      </c>
      <c r="W382">
        <f>HYPERLINK("https://klasma.github.io/Logging_0428/klagomålsmail/A 39788-2019 FSC-klagomål mail.docx", "A 39788-2019")</f>
        <v/>
      </c>
      <c r="X382">
        <f>HYPERLINK("https://klasma.github.io/Logging_0428/tillsyn/A 39788-2019 tillsynsbegäran.docx", "A 39788-2019")</f>
        <v/>
      </c>
      <c r="Y382">
        <f>HYPERLINK("https://klasma.github.io/Logging_0428/tillsynsmail/A 39788-2019 tillsynsbegäran mail.docx", "A 39788-2019")</f>
        <v/>
      </c>
    </row>
    <row r="383" ht="15" customHeight="1">
      <c r="A383" t="inlineStr">
        <is>
          <t>A 40824-2019</t>
        </is>
      </c>
      <c r="B383" s="1" t="n">
        <v>43697</v>
      </c>
      <c r="C383" s="1" t="n">
        <v>45843</v>
      </c>
      <c r="D383" t="inlineStr">
        <is>
          <t>SÖDERMANLANDS LÄN</t>
        </is>
      </c>
      <c r="E383" t="inlineStr">
        <is>
          <t>KATRINEHOLM</t>
        </is>
      </c>
      <c r="G383" t="n">
        <v>0.6</v>
      </c>
      <c r="H383" t="n">
        <v>0</v>
      </c>
      <c r="I383" t="n">
        <v>0</v>
      </c>
      <c r="J383" t="n">
        <v>1</v>
      </c>
      <c r="K383" t="n">
        <v>0</v>
      </c>
      <c r="L383" t="n">
        <v>0</v>
      </c>
      <c r="M383" t="n">
        <v>0</v>
      </c>
      <c r="N383" t="n">
        <v>0</v>
      </c>
      <c r="O383" t="n">
        <v>1</v>
      </c>
      <c r="P383" t="n">
        <v>0</v>
      </c>
      <c r="Q383" t="n">
        <v>1</v>
      </c>
      <c r="R383" s="2" t="inlineStr">
        <is>
          <t>Igelkott</t>
        </is>
      </c>
      <c r="S383">
        <f>HYPERLINK("https://klasma.github.io/Logging_0483/artfynd/A 40824-2019 artfynd.xlsx", "A 40824-2019")</f>
        <v/>
      </c>
      <c r="T383">
        <f>HYPERLINK("https://klasma.github.io/Logging_0483/kartor/A 40824-2019 karta.png", "A 40824-2019")</f>
        <v/>
      </c>
      <c r="V383">
        <f>HYPERLINK("https://klasma.github.io/Logging_0483/klagomål/A 40824-2019 FSC-klagomål.docx", "A 40824-2019")</f>
        <v/>
      </c>
      <c r="W383">
        <f>HYPERLINK("https://klasma.github.io/Logging_0483/klagomålsmail/A 40824-2019 FSC-klagomål mail.docx", "A 40824-2019")</f>
        <v/>
      </c>
      <c r="X383">
        <f>HYPERLINK("https://klasma.github.io/Logging_0483/tillsyn/A 40824-2019 tillsynsbegäran.docx", "A 40824-2019")</f>
        <v/>
      </c>
      <c r="Y383">
        <f>HYPERLINK("https://klasma.github.io/Logging_0483/tillsynsmail/A 40824-2019 tillsynsbegäran mail.docx", "A 40824-2019")</f>
        <v/>
      </c>
    </row>
    <row r="384" ht="15" customHeight="1">
      <c r="A384" t="inlineStr">
        <is>
          <t>A 43329-2019</t>
        </is>
      </c>
      <c r="B384" s="1" t="n">
        <v>43703</v>
      </c>
      <c r="C384" s="1" t="n">
        <v>45843</v>
      </c>
      <c r="D384" t="inlineStr">
        <is>
          <t>SÖDERMANLANDS LÄN</t>
        </is>
      </c>
      <c r="E384" t="inlineStr">
        <is>
          <t>FLEN</t>
        </is>
      </c>
      <c r="G384" t="n">
        <v>8.5</v>
      </c>
      <c r="H384" t="n">
        <v>1</v>
      </c>
      <c r="I384" t="n">
        <v>0</v>
      </c>
      <c r="J384" t="n">
        <v>0</v>
      </c>
      <c r="K384" t="n">
        <v>1</v>
      </c>
      <c r="L384" t="n">
        <v>0</v>
      </c>
      <c r="M384" t="n">
        <v>0</v>
      </c>
      <c r="N384" t="n">
        <v>0</v>
      </c>
      <c r="O384" t="n">
        <v>1</v>
      </c>
      <c r="P384" t="n">
        <v>1</v>
      </c>
      <c r="Q384" t="n">
        <v>1</v>
      </c>
      <c r="R384" s="2" t="inlineStr">
        <is>
          <t>Knärot</t>
        </is>
      </c>
      <c r="S384">
        <f>HYPERLINK("https://klasma.github.io/Logging_0482/artfynd/A 43329-2019 artfynd.xlsx", "A 43329-2019")</f>
        <v/>
      </c>
      <c r="T384">
        <f>HYPERLINK("https://klasma.github.io/Logging_0482/kartor/A 43329-2019 karta.png", "A 43329-2019")</f>
        <v/>
      </c>
      <c r="U384">
        <f>HYPERLINK("https://klasma.github.io/Logging_0482/knärot/A 43329-2019 karta knärot.png", "A 43329-2019")</f>
        <v/>
      </c>
      <c r="V384">
        <f>HYPERLINK("https://klasma.github.io/Logging_0482/klagomål/A 43329-2019 FSC-klagomål.docx", "A 43329-2019")</f>
        <v/>
      </c>
      <c r="W384">
        <f>HYPERLINK("https://klasma.github.io/Logging_0482/klagomålsmail/A 43329-2019 FSC-klagomål mail.docx", "A 43329-2019")</f>
        <v/>
      </c>
      <c r="X384">
        <f>HYPERLINK("https://klasma.github.io/Logging_0482/tillsyn/A 43329-2019 tillsynsbegäran.docx", "A 43329-2019")</f>
        <v/>
      </c>
      <c r="Y384">
        <f>HYPERLINK("https://klasma.github.io/Logging_0482/tillsynsmail/A 43329-2019 tillsynsbegäran mail.docx", "A 43329-2019")</f>
        <v/>
      </c>
    </row>
    <row r="385" ht="15" customHeight="1">
      <c r="A385" t="inlineStr">
        <is>
          <t>A 43369-2019</t>
        </is>
      </c>
      <c r="B385" s="1" t="n">
        <v>43703</v>
      </c>
      <c r="C385" s="1" t="n">
        <v>45843</v>
      </c>
      <c r="D385" t="inlineStr">
        <is>
          <t>SÖDERMANLANDS LÄN</t>
        </is>
      </c>
      <c r="E385" t="inlineStr">
        <is>
          <t>FLEN</t>
        </is>
      </c>
      <c r="G385" t="n">
        <v>4.1</v>
      </c>
      <c r="H385" t="n">
        <v>0</v>
      </c>
      <c r="I385" t="n">
        <v>0</v>
      </c>
      <c r="J385" t="n">
        <v>1</v>
      </c>
      <c r="K385" t="n">
        <v>0</v>
      </c>
      <c r="L385" t="n">
        <v>0</v>
      </c>
      <c r="M385" t="n">
        <v>0</v>
      </c>
      <c r="N385" t="n">
        <v>0</v>
      </c>
      <c r="O385" t="n">
        <v>1</v>
      </c>
      <c r="P385" t="n">
        <v>0</v>
      </c>
      <c r="Q385" t="n">
        <v>1</v>
      </c>
      <c r="R385" s="2" t="inlineStr">
        <is>
          <t>Fyrflikig jordstjärna</t>
        </is>
      </c>
      <c r="S385">
        <f>HYPERLINK("https://klasma.github.io/Logging_0482/artfynd/A 43369-2019 artfynd.xlsx", "A 43369-2019")</f>
        <v/>
      </c>
      <c r="T385">
        <f>HYPERLINK("https://klasma.github.io/Logging_0482/kartor/A 43369-2019 karta.png", "A 43369-2019")</f>
        <v/>
      </c>
      <c r="V385">
        <f>HYPERLINK("https://klasma.github.io/Logging_0482/klagomål/A 43369-2019 FSC-klagomål.docx", "A 43369-2019")</f>
        <v/>
      </c>
      <c r="W385">
        <f>HYPERLINK("https://klasma.github.io/Logging_0482/klagomålsmail/A 43369-2019 FSC-klagomål mail.docx", "A 43369-2019")</f>
        <v/>
      </c>
      <c r="X385">
        <f>HYPERLINK("https://klasma.github.io/Logging_0482/tillsyn/A 43369-2019 tillsynsbegäran.docx", "A 43369-2019")</f>
        <v/>
      </c>
      <c r="Y385">
        <f>HYPERLINK("https://klasma.github.io/Logging_0482/tillsynsmail/A 43369-2019 tillsynsbegäran mail.docx", "A 43369-2019")</f>
        <v/>
      </c>
    </row>
    <row r="386" ht="15" customHeight="1">
      <c r="A386" t="inlineStr">
        <is>
          <t>A 43063-2019</t>
        </is>
      </c>
      <c r="B386" s="1" t="n">
        <v>43705</v>
      </c>
      <c r="C386" s="1" t="n">
        <v>45843</v>
      </c>
      <c r="D386" t="inlineStr">
        <is>
          <t>SÖDERMANLANDS LÄN</t>
        </is>
      </c>
      <c r="E386" t="inlineStr">
        <is>
          <t>NYKÖPING</t>
        </is>
      </c>
      <c r="G386" t="n">
        <v>5.7</v>
      </c>
      <c r="H386" t="n">
        <v>0</v>
      </c>
      <c r="I386" t="n">
        <v>1</v>
      </c>
      <c r="J386" t="n">
        <v>0</v>
      </c>
      <c r="K386" t="n">
        <v>0</v>
      </c>
      <c r="L386" t="n">
        <v>0</v>
      </c>
      <c r="M386" t="n">
        <v>0</v>
      </c>
      <c r="N386" t="n">
        <v>0</v>
      </c>
      <c r="O386" t="n">
        <v>0</v>
      </c>
      <c r="P386" t="n">
        <v>0</v>
      </c>
      <c r="Q386" t="n">
        <v>1</v>
      </c>
      <c r="R386" s="2" t="inlineStr">
        <is>
          <t>Blåmossa</t>
        </is>
      </c>
      <c r="S386">
        <f>HYPERLINK("https://klasma.github.io/Logging_0480/artfynd/A 43063-2019 artfynd.xlsx", "A 43063-2019")</f>
        <v/>
      </c>
      <c r="T386">
        <f>HYPERLINK("https://klasma.github.io/Logging_0480/kartor/A 43063-2019 karta.png", "A 43063-2019")</f>
        <v/>
      </c>
      <c r="V386">
        <f>HYPERLINK("https://klasma.github.io/Logging_0480/klagomål/A 43063-2019 FSC-klagomål.docx", "A 43063-2019")</f>
        <v/>
      </c>
      <c r="W386">
        <f>HYPERLINK("https://klasma.github.io/Logging_0480/klagomålsmail/A 43063-2019 FSC-klagomål mail.docx", "A 43063-2019")</f>
        <v/>
      </c>
      <c r="X386">
        <f>HYPERLINK("https://klasma.github.io/Logging_0480/tillsyn/A 43063-2019 tillsynsbegäran.docx", "A 43063-2019")</f>
        <v/>
      </c>
      <c r="Y386">
        <f>HYPERLINK("https://klasma.github.io/Logging_0480/tillsynsmail/A 43063-2019 tillsynsbegäran mail.docx", "A 43063-2019")</f>
        <v/>
      </c>
    </row>
    <row r="387" ht="15" customHeight="1">
      <c r="A387" t="inlineStr">
        <is>
          <t>A 45577-2019</t>
        </is>
      </c>
      <c r="B387" s="1" t="n">
        <v>43716</v>
      </c>
      <c r="C387" s="1" t="n">
        <v>45843</v>
      </c>
      <c r="D387" t="inlineStr">
        <is>
          <t>SÖDERMANLANDS LÄN</t>
        </is>
      </c>
      <c r="E387" t="inlineStr">
        <is>
          <t>GNESTA</t>
        </is>
      </c>
      <c r="G387" t="n">
        <v>1.4</v>
      </c>
      <c r="H387" t="n">
        <v>0</v>
      </c>
      <c r="I387" t="n">
        <v>0</v>
      </c>
      <c r="J387" t="n">
        <v>1</v>
      </c>
      <c r="K387" t="n">
        <v>0</v>
      </c>
      <c r="L387" t="n">
        <v>0</v>
      </c>
      <c r="M387" t="n">
        <v>0</v>
      </c>
      <c r="N387" t="n">
        <v>0</v>
      </c>
      <c r="O387" t="n">
        <v>1</v>
      </c>
      <c r="P387" t="n">
        <v>0</v>
      </c>
      <c r="Q387" t="n">
        <v>1</v>
      </c>
      <c r="R387" s="2" t="inlineStr">
        <is>
          <t>Svedjenäva</t>
        </is>
      </c>
      <c r="S387">
        <f>HYPERLINK("https://klasma.github.io/Logging_0461/artfynd/A 45577-2019 artfynd.xlsx", "A 45577-2019")</f>
        <v/>
      </c>
      <c r="T387">
        <f>HYPERLINK("https://klasma.github.io/Logging_0461/kartor/A 45577-2019 karta.png", "A 45577-2019")</f>
        <v/>
      </c>
      <c r="V387">
        <f>HYPERLINK("https://klasma.github.io/Logging_0461/klagomål/A 45577-2019 FSC-klagomål.docx", "A 45577-2019")</f>
        <v/>
      </c>
      <c r="W387">
        <f>HYPERLINK("https://klasma.github.io/Logging_0461/klagomålsmail/A 45577-2019 FSC-klagomål mail.docx", "A 45577-2019")</f>
        <v/>
      </c>
      <c r="X387">
        <f>HYPERLINK("https://klasma.github.io/Logging_0461/tillsyn/A 45577-2019 tillsynsbegäran.docx", "A 45577-2019")</f>
        <v/>
      </c>
      <c r="Y387">
        <f>HYPERLINK("https://klasma.github.io/Logging_0461/tillsynsmail/A 45577-2019 tillsynsbegäran mail.docx", "A 45577-2019")</f>
        <v/>
      </c>
    </row>
    <row r="388" ht="15" customHeight="1">
      <c r="A388" t="inlineStr">
        <is>
          <t>A 47128-2019</t>
        </is>
      </c>
      <c r="B388" s="1" t="n">
        <v>43721</v>
      </c>
      <c r="C388" s="1" t="n">
        <v>45843</v>
      </c>
      <c r="D388" t="inlineStr">
        <is>
          <t>SÖDERMANLANDS LÄN</t>
        </is>
      </c>
      <c r="E388" t="inlineStr">
        <is>
          <t>NYKÖPING</t>
        </is>
      </c>
      <c r="G388" t="n">
        <v>3</v>
      </c>
      <c r="H388" t="n">
        <v>0</v>
      </c>
      <c r="I388" t="n">
        <v>0</v>
      </c>
      <c r="J388" t="n">
        <v>1</v>
      </c>
      <c r="K388" t="n">
        <v>0</v>
      </c>
      <c r="L388" t="n">
        <v>0</v>
      </c>
      <c r="M388" t="n">
        <v>0</v>
      </c>
      <c r="N388" t="n">
        <v>0</v>
      </c>
      <c r="O388" t="n">
        <v>1</v>
      </c>
      <c r="P388" t="n">
        <v>0</v>
      </c>
      <c r="Q388" t="n">
        <v>1</v>
      </c>
      <c r="R388" s="2" t="inlineStr">
        <is>
          <t>Gullklöver</t>
        </is>
      </c>
      <c r="S388">
        <f>HYPERLINK("https://klasma.github.io/Logging_0480/artfynd/A 47128-2019 artfynd.xlsx", "A 47128-2019")</f>
        <v/>
      </c>
      <c r="T388">
        <f>HYPERLINK("https://klasma.github.io/Logging_0480/kartor/A 47128-2019 karta.png", "A 47128-2019")</f>
        <v/>
      </c>
      <c r="V388">
        <f>HYPERLINK("https://klasma.github.io/Logging_0480/klagomål/A 47128-2019 FSC-klagomål.docx", "A 47128-2019")</f>
        <v/>
      </c>
      <c r="W388">
        <f>HYPERLINK("https://klasma.github.io/Logging_0480/klagomålsmail/A 47128-2019 FSC-klagomål mail.docx", "A 47128-2019")</f>
        <v/>
      </c>
      <c r="X388">
        <f>HYPERLINK("https://klasma.github.io/Logging_0480/tillsyn/A 47128-2019 tillsynsbegäran.docx", "A 47128-2019")</f>
        <v/>
      </c>
      <c r="Y388">
        <f>HYPERLINK("https://klasma.github.io/Logging_0480/tillsynsmail/A 47128-2019 tillsynsbegäran mail.docx", "A 47128-2019")</f>
        <v/>
      </c>
    </row>
    <row r="389" ht="15" customHeight="1">
      <c r="A389" t="inlineStr">
        <is>
          <t>A 50952-2019</t>
        </is>
      </c>
      <c r="B389" s="1" t="n">
        <v>43738</v>
      </c>
      <c r="C389" s="1" t="n">
        <v>45843</v>
      </c>
      <c r="D389" t="inlineStr">
        <is>
          <t>SÖDERMANLANDS LÄN</t>
        </is>
      </c>
      <c r="E389" t="inlineStr">
        <is>
          <t>ESKILSTUNA</t>
        </is>
      </c>
      <c r="G389" t="n">
        <v>3.5</v>
      </c>
      <c r="H389" t="n">
        <v>0</v>
      </c>
      <c r="I389" t="n">
        <v>0</v>
      </c>
      <c r="J389" t="n">
        <v>1</v>
      </c>
      <c r="K389" t="n">
        <v>0</v>
      </c>
      <c r="L389" t="n">
        <v>0</v>
      </c>
      <c r="M389" t="n">
        <v>0</v>
      </c>
      <c r="N389" t="n">
        <v>0</v>
      </c>
      <c r="O389" t="n">
        <v>1</v>
      </c>
      <c r="P389" t="n">
        <v>0</v>
      </c>
      <c r="Q389" t="n">
        <v>1</v>
      </c>
      <c r="R389" s="2" t="inlineStr">
        <is>
          <t>Skogsklocka</t>
        </is>
      </c>
      <c r="S389">
        <f>HYPERLINK("https://klasma.github.io/Logging_0484/artfynd/A 50952-2019 artfynd.xlsx", "A 50952-2019")</f>
        <v/>
      </c>
      <c r="T389">
        <f>HYPERLINK("https://klasma.github.io/Logging_0484/kartor/A 50952-2019 karta.png", "A 50952-2019")</f>
        <v/>
      </c>
      <c r="V389">
        <f>HYPERLINK("https://klasma.github.io/Logging_0484/klagomål/A 50952-2019 FSC-klagomål.docx", "A 50952-2019")</f>
        <v/>
      </c>
      <c r="W389">
        <f>HYPERLINK("https://klasma.github.io/Logging_0484/klagomålsmail/A 50952-2019 FSC-klagomål mail.docx", "A 50952-2019")</f>
        <v/>
      </c>
      <c r="X389">
        <f>HYPERLINK("https://klasma.github.io/Logging_0484/tillsyn/A 50952-2019 tillsynsbegäran.docx", "A 50952-2019")</f>
        <v/>
      </c>
      <c r="Y389">
        <f>HYPERLINK("https://klasma.github.io/Logging_0484/tillsynsmail/A 50952-2019 tillsynsbegäran mail.docx", "A 50952-2019")</f>
        <v/>
      </c>
    </row>
    <row r="390" ht="15" customHeight="1">
      <c r="A390" t="inlineStr">
        <is>
          <t>A 51437-2019</t>
        </is>
      </c>
      <c r="B390" s="1" t="n">
        <v>43740</v>
      </c>
      <c r="C390" s="1" t="n">
        <v>45843</v>
      </c>
      <c r="D390" t="inlineStr">
        <is>
          <t>SÖDERMANLANDS LÄN</t>
        </is>
      </c>
      <c r="E390" t="inlineStr">
        <is>
          <t>GNESTA</t>
        </is>
      </c>
      <c r="F390" t="inlineStr">
        <is>
          <t>Holmen skog AB</t>
        </is>
      </c>
      <c r="G390" t="n">
        <v>5.2</v>
      </c>
      <c r="H390" t="n">
        <v>1</v>
      </c>
      <c r="I390" t="n">
        <v>0</v>
      </c>
      <c r="J390" t="n">
        <v>0</v>
      </c>
      <c r="K390" t="n">
        <v>0</v>
      </c>
      <c r="L390" t="n">
        <v>0</v>
      </c>
      <c r="M390" t="n">
        <v>0</v>
      </c>
      <c r="N390" t="n">
        <v>0</v>
      </c>
      <c r="O390" t="n">
        <v>0</v>
      </c>
      <c r="P390" t="n">
        <v>0</v>
      </c>
      <c r="Q390" t="n">
        <v>1</v>
      </c>
      <c r="R390" s="2" t="inlineStr">
        <is>
          <t>Blåsippa</t>
        </is>
      </c>
      <c r="S390">
        <f>HYPERLINK("https://klasma.github.io/Logging_0461/artfynd/A 51437-2019 artfynd.xlsx", "A 51437-2019")</f>
        <v/>
      </c>
      <c r="T390">
        <f>HYPERLINK("https://klasma.github.io/Logging_0461/kartor/A 51437-2019 karta.png", "A 51437-2019")</f>
        <v/>
      </c>
      <c r="V390">
        <f>HYPERLINK("https://klasma.github.io/Logging_0461/klagomål/A 51437-2019 FSC-klagomål.docx", "A 51437-2019")</f>
        <v/>
      </c>
      <c r="W390">
        <f>HYPERLINK("https://klasma.github.io/Logging_0461/klagomålsmail/A 51437-2019 FSC-klagomål mail.docx", "A 51437-2019")</f>
        <v/>
      </c>
      <c r="X390">
        <f>HYPERLINK("https://klasma.github.io/Logging_0461/tillsyn/A 51437-2019 tillsynsbegäran.docx", "A 51437-2019")</f>
        <v/>
      </c>
      <c r="Y390">
        <f>HYPERLINK("https://klasma.github.io/Logging_0461/tillsynsmail/A 51437-2019 tillsynsbegäran mail.docx", "A 51437-2019")</f>
        <v/>
      </c>
    </row>
    <row r="391" ht="15" customHeight="1">
      <c r="A391" t="inlineStr">
        <is>
          <t>A 51651-2019</t>
        </is>
      </c>
      <c r="B391" s="1" t="n">
        <v>43740</v>
      </c>
      <c r="C391" s="1" t="n">
        <v>45843</v>
      </c>
      <c r="D391" t="inlineStr">
        <is>
          <t>SÖDERMANLANDS LÄN</t>
        </is>
      </c>
      <c r="E391" t="inlineStr">
        <is>
          <t>ESKILSTUNA</t>
        </is>
      </c>
      <c r="G391" t="n">
        <v>6.5</v>
      </c>
      <c r="H391" t="n">
        <v>1</v>
      </c>
      <c r="I391" t="n">
        <v>0</v>
      </c>
      <c r="J391" t="n">
        <v>0</v>
      </c>
      <c r="K391" t="n">
        <v>0</v>
      </c>
      <c r="L391" t="n">
        <v>0</v>
      </c>
      <c r="M391" t="n">
        <v>0</v>
      </c>
      <c r="N391" t="n">
        <v>0</v>
      </c>
      <c r="O391" t="n">
        <v>0</v>
      </c>
      <c r="P391" t="n">
        <v>0</v>
      </c>
      <c r="Q391" t="n">
        <v>1</v>
      </c>
      <c r="R391" s="2" t="inlineStr">
        <is>
          <t>Revlummer</t>
        </is>
      </c>
      <c r="S391">
        <f>HYPERLINK("https://klasma.github.io/Logging_0484/artfynd/A 51651-2019 artfynd.xlsx", "A 51651-2019")</f>
        <v/>
      </c>
      <c r="T391">
        <f>HYPERLINK("https://klasma.github.io/Logging_0484/kartor/A 51651-2019 karta.png", "A 51651-2019")</f>
        <v/>
      </c>
      <c r="V391">
        <f>HYPERLINK("https://klasma.github.io/Logging_0484/klagomål/A 51651-2019 FSC-klagomål.docx", "A 51651-2019")</f>
        <v/>
      </c>
      <c r="W391">
        <f>HYPERLINK("https://klasma.github.io/Logging_0484/klagomålsmail/A 51651-2019 FSC-klagomål mail.docx", "A 51651-2019")</f>
        <v/>
      </c>
      <c r="X391">
        <f>HYPERLINK("https://klasma.github.io/Logging_0484/tillsyn/A 51651-2019 tillsynsbegäran.docx", "A 51651-2019")</f>
        <v/>
      </c>
      <c r="Y391">
        <f>HYPERLINK("https://klasma.github.io/Logging_0484/tillsynsmail/A 51651-2019 tillsynsbegäran mail.docx", "A 51651-2019")</f>
        <v/>
      </c>
    </row>
    <row r="392" ht="15" customHeight="1">
      <c r="A392" t="inlineStr">
        <is>
          <t>A 51874-2019</t>
        </is>
      </c>
      <c r="B392" s="1" t="n">
        <v>43741</v>
      </c>
      <c r="C392" s="1" t="n">
        <v>45843</v>
      </c>
      <c r="D392" t="inlineStr">
        <is>
          <t>SÖDERMANLANDS LÄN</t>
        </is>
      </c>
      <c r="E392" t="inlineStr">
        <is>
          <t>KATRINEHOLM</t>
        </is>
      </c>
      <c r="G392" t="n">
        <v>19.9</v>
      </c>
      <c r="H392" t="n">
        <v>0</v>
      </c>
      <c r="I392" t="n">
        <v>0</v>
      </c>
      <c r="J392" t="n">
        <v>1</v>
      </c>
      <c r="K392" t="n">
        <v>0</v>
      </c>
      <c r="L392" t="n">
        <v>0</v>
      </c>
      <c r="M392" t="n">
        <v>0</v>
      </c>
      <c r="N392" t="n">
        <v>0</v>
      </c>
      <c r="O392" t="n">
        <v>1</v>
      </c>
      <c r="P392" t="n">
        <v>0</v>
      </c>
      <c r="Q392" t="n">
        <v>1</v>
      </c>
      <c r="R392" s="2" t="inlineStr">
        <is>
          <t>Svedjenäva</t>
        </is>
      </c>
      <c r="S392">
        <f>HYPERLINK("https://klasma.github.io/Logging_0483/artfynd/A 51874-2019 artfynd.xlsx", "A 51874-2019")</f>
        <v/>
      </c>
      <c r="T392">
        <f>HYPERLINK("https://klasma.github.io/Logging_0483/kartor/A 51874-2019 karta.png", "A 51874-2019")</f>
        <v/>
      </c>
      <c r="V392">
        <f>HYPERLINK("https://klasma.github.io/Logging_0483/klagomål/A 51874-2019 FSC-klagomål.docx", "A 51874-2019")</f>
        <v/>
      </c>
      <c r="W392">
        <f>HYPERLINK("https://klasma.github.io/Logging_0483/klagomålsmail/A 51874-2019 FSC-klagomål mail.docx", "A 51874-2019")</f>
        <v/>
      </c>
      <c r="X392">
        <f>HYPERLINK("https://klasma.github.io/Logging_0483/tillsyn/A 51874-2019 tillsynsbegäran.docx", "A 51874-2019")</f>
        <v/>
      </c>
      <c r="Y392">
        <f>HYPERLINK("https://klasma.github.io/Logging_0483/tillsynsmail/A 51874-2019 tillsynsbegäran mail.docx", "A 51874-2019")</f>
        <v/>
      </c>
    </row>
    <row r="393" ht="15" customHeight="1">
      <c r="A393" t="inlineStr">
        <is>
          <t>A 52557-2019</t>
        </is>
      </c>
      <c r="B393" s="1" t="n">
        <v>43745</v>
      </c>
      <c r="C393" s="1" t="n">
        <v>45843</v>
      </c>
      <c r="D393" t="inlineStr">
        <is>
          <t>SÖDERMANLANDS LÄN</t>
        </is>
      </c>
      <c r="E393" t="inlineStr">
        <is>
          <t>KATRINEHOLM</t>
        </is>
      </c>
      <c r="G393" t="n">
        <v>12.3</v>
      </c>
      <c r="H393" t="n">
        <v>1</v>
      </c>
      <c r="I393" t="n">
        <v>0</v>
      </c>
      <c r="J393" t="n">
        <v>0</v>
      </c>
      <c r="K393" t="n">
        <v>0</v>
      </c>
      <c r="L393" t="n">
        <v>0</v>
      </c>
      <c r="M393" t="n">
        <v>0</v>
      </c>
      <c r="N393" t="n">
        <v>0</v>
      </c>
      <c r="O393" t="n">
        <v>0</v>
      </c>
      <c r="P393" t="n">
        <v>0</v>
      </c>
      <c r="Q393" t="n">
        <v>1</v>
      </c>
      <c r="R393" s="2" t="inlineStr">
        <is>
          <t>Äkta lopplummer</t>
        </is>
      </c>
      <c r="S393">
        <f>HYPERLINK("https://klasma.github.io/Logging_0483/artfynd/A 52557-2019 artfynd.xlsx", "A 52557-2019")</f>
        <v/>
      </c>
      <c r="T393">
        <f>HYPERLINK("https://klasma.github.io/Logging_0483/kartor/A 52557-2019 karta.png", "A 52557-2019")</f>
        <v/>
      </c>
      <c r="V393">
        <f>HYPERLINK("https://klasma.github.io/Logging_0483/klagomål/A 52557-2019 FSC-klagomål.docx", "A 52557-2019")</f>
        <v/>
      </c>
      <c r="W393">
        <f>HYPERLINK("https://klasma.github.io/Logging_0483/klagomålsmail/A 52557-2019 FSC-klagomål mail.docx", "A 52557-2019")</f>
        <v/>
      </c>
      <c r="X393">
        <f>HYPERLINK("https://klasma.github.io/Logging_0483/tillsyn/A 52557-2019 tillsynsbegäran.docx", "A 52557-2019")</f>
        <v/>
      </c>
      <c r="Y393">
        <f>HYPERLINK("https://klasma.github.io/Logging_0483/tillsynsmail/A 52557-2019 tillsynsbegäran mail.docx", "A 52557-2019")</f>
        <v/>
      </c>
    </row>
    <row r="394" ht="15" customHeight="1">
      <c r="A394" t="inlineStr">
        <is>
          <t>A 54163-2019</t>
        </is>
      </c>
      <c r="B394" s="1" t="n">
        <v>43745</v>
      </c>
      <c r="C394" s="1" t="n">
        <v>45843</v>
      </c>
      <c r="D394" t="inlineStr">
        <is>
          <t>SÖDERMANLANDS LÄN</t>
        </is>
      </c>
      <c r="E394" t="inlineStr">
        <is>
          <t>NYKÖPING</t>
        </is>
      </c>
      <c r="G394" t="n">
        <v>1.9</v>
      </c>
      <c r="H394" t="n">
        <v>1</v>
      </c>
      <c r="I394" t="n">
        <v>0</v>
      </c>
      <c r="J394" t="n">
        <v>1</v>
      </c>
      <c r="K394" t="n">
        <v>0</v>
      </c>
      <c r="L394" t="n">
        <v>0</v>
      </c>
      <c r="M394" t="n">
        <v>0</v>
      </c>
      <c r="N394" t="n">
        <v>0</v>
      </c>
      <c r="O394" t="n">
        <v>1</v>
      </c>
      <c r="P394" t="n">
        <v>0</v>
      </c>
      <c r="Q394" t="n">
        <v>1</v>
      </c>
      <c r="R394" s="2" t="inlineStr">
        <is>
          <t>Havsörn</t>
        </is>
      </c>
      <c r="S394">
        <f>HYPERLINK("https://klasma.github.io/Logging_0480/artfynd/A 54163-2019 artfynd.xlsx", "A 54163-2019")</f>
        <v/>
      </c>
      <c r="T394">
        <f>HYPERLINK("https://klasma.github.io/Logging_0480/kartor/A 54163-2019 karta.png", "A 54163-2019")</f>
        <v/>
      </c>
      <c r="V394">
        <f>HYPERLINK("https://klasma.github.io/Logging_0480/klagomål/A 54163-2019 FSC-klagomål.docx", "A 54163-2019")</f>
        <v/>
      </c>
      <c r="W394">
        <f>HYPERLINK("https://klasma.github.io/Logging_0480/klagomålsmail/A 54163-2019 FSC-klagomål mail.docx", "A 54163-2019")</f>
        <v/>
      </c>
      <c r="X394">
        <f>HYPERLINK("https://klasma.github.io/Logging_0480/tillsyn/A 54163-2019 tillsynsbegäran.docx", "A 54163-2019")</f>
        <v/>
      </c>
      <c r="Y394">
        <f>HYPERLINK("https://klasma.github.io/Logging_0480/tillsynsmail/A 54163-2019 tillsynsbegäran mail.docx", "A 54163-2019")</f>
        <v/>
      </c>
      <c r="Z394">
        <f>HYPERLINK("https://klasma.github.io/Logging_0480/fåglar/A 54163-2019 prioriterade fågelarter.docx", "A 54163-2019")</f>
        <v/>
      </c>
    </row>
    <row r="395" ht="15" customHeight="1">
      <c r="A395" t="inlineStr">
        <is>
          <t>A 54326-2019</t>
        </is>
      </c>
      <c r="B395" s="1" t="n">
        <v>43745</v>
      </c>
      <c r="C395" s="1" t="n">
        <v>45843</v>
      </c>
      <c r="D395" t="inlineStr">
        <is>
          <t>SÖDERMANLANDS LÄN</t>
        </is>
      </c>
      <c r="E395" t="inlineStr">
        <is>
          <t>ESKILSTUNA</t>
        </is>
      </c>
      <c r="G395" t="n">
        <v>1.4</v>
      </c>
      <c r="H395" t="n">
        <v>0</v>
      </c>
      <c r="I395" t="n">
        <v>0</v>
      </c>
      <c r="J395" t="n">
        <v>0</v>
      </c>
      <c r="K395" t="n">
        <v>0</v>
      </c>
      <c r="L395" t="n">
        <v>0</v>
      </c>
      <c r="M395" t="n">
        <v>1</v>
      </c>
      <c r="N395" t="n">
        <v>0</v>
      </c>
      <c r="O395" t="n">
        <v>1</v>
      </c>
      <c r="P395" t="n">
        <v>1</v>
      </c>
      <c r="Q395" t="n">
        <v>1</v>
      </c>
      <c r="R395" s="2" t="inlineStr">
        <is>
          <t>Skogsalm</t>
        </is>
      </c>
      <c r="S395">
        <f>HYPERLINK("https://klasma.github.io/Logging_0484/artfynd/A 54326-2019 artfynd.xlsx", "A 54326-2019")</f>
        <v/>
      </c>
      <c r="T395">
        <f>HYPERLINK("https://klasma.github.io/Logging_0484/kartor/A 54326-2019 karta.png", "A 54326-2019")</f>
        <v/>
      </c>
      <c r="V395">
        <f>HYPERLINK("https://klasma.github.io/Logging_0484/klagomål/A 54326-2019 FSC-klagomål.docx", "A 54326-2019")</f>
        <v/>
      </c>
      <c r="W395">
        <f>HYPERLINK("https://klasma.github.io/Logging_0484/klagomålsmail/A 54326-2019 FSC-klagomål mail.docx", "A 54326-2019")</f>
        <v/>
      </c>
      <c r="X395">
        <f>HYPERLINK("https://klasma.github.io/Logging_0484/tillsyn/A 54326-2019 tillsynsbegäran.docx", "A 54326-2019")</f>
        <v/>
      </c>
      <c r="Y395">
        <f>HYPERLINK("https://klasma.github.io/Logging_0484/tillsynsmail/A 54326-2019 tillsynsbegäran mail.docx", "A 54326-2019")</f>
        <v/>
      </c>
    </row>
    <row r="396" ht="15" customHeight="1">
      <c r="A396" t="inlineStr">
        <is>
          <t>A 54418-2019</t>
        </is>
      </c>
      <c r="B396" s="1" t="n">
        <v>43747</v>
      </c>
      <c r="C396" s="1" t="n">
        <v>45843</v>
      </c>
      <c r="D396" t="inlineStr">
        <is>
          <t>SÖDERMANLANDS LÄN</t>
        </is>
      </c>
      <c r="E396" t="inlineStr">
        <is>
          <t>FLEN</t>
        </is>
      </c>
      <c r="G396" t="n">
        <v>5.6</v>
      </c>
      <c r="H396" t="n">
        <v>0</v>
      </c>
      <c r="I396" t="n">
        <v>0</v>
      </c>
      <c r="J396" t="n">
        <v>1</v>
      </c>
      <c r="K396" t="n">
        <v>0</v>
      </c>
      <c r="L396" t="n">
        <v>0</v>
      </c>
      <c r="M396" t="n">
        <v>0</v>
      </c>
      <c r="N396" t="n">
        <v>0</v>
      </c>
      <c r="O396" t="n">
        <v>1</v>
      </c>
      <c r="P396" t="n">
        <v>0</v>
      </c>
      <c r="Q396" t="n">
        <v>1</v>
      </c>
      <c r="R396" s="2" t="inlineStr">
        <is>
          <t>Svedjenäva</t>
        </is>
      </c>
      <c r="S396">
        <f>HYPERLINK("https://klasma.github.io/Logging_0482/artfynd/A 54418-2019 artfynd.xlsx", "A 54418-2019")</f>
        <v/>
      </c>
      <c r="T396">
        <f>HYPERLINK("https://klasma.github.io/Logging_0482/kartor/A 54418-2019 karta.png", "A 54418-2019")</f>
        <v/>
      </c>
      <c r="V396">
        <f>HYPERLINK("https://klasma.github.io/Logging_0482/klagomål/A 54418-2019 FSC-klagomål.docx", "A 54418-2019")</f>
        <v/>
      </c>
      <c r="W396">
        <f>HYPERLINK("https://klasma.github.io/Logging_0482/klagomålsmail/A 54418-2019 FSC-klagomål mail.docx", "A 54418-2019")</f>
        <v/>
      </c>
      <c r="X396">
        <f>HYPERLINK("https://klasma.github.io/Logging_0482/tillsyn/A 54418-2019 tillsynsbegäran.docx", "A 54418-2019")</f>
        <v/>
      </c>
      <c r="Y396">
        <f>HYPERLINK("https://klasma.github.io/Logging_0482/tillsynsmail/A 54418-2019 tillsynsbegäran mail.docx", "A 54418-2019")</f>
        <v/>
      </c>
    </row>
    <row r="397" ht="15" customHeight="1">
      <c r="A397" t="inlineStr">
        <is>
          <t>A 54248-2019</t>
        </is>
      </c>
      <c r="B397" s="1" t="n">
        <v>43753</v>
      </c>
      <c r="C397" s="1" t="n">
        <v>45843</v>
      </c>
      <c r="D397" t="inlineStr">
        <is>
          <t>SÖDERMANLANDS LÄN</t>
        </is>
      </c>
      <c r="E397" t="inlineStr">
        <is>
          <t>KATRINEHOLM</t>
        </is>
      </c>
      <c r="G397" t="n">
        <v>9.800000000000001</v>
      </c>
      <c r="H397" t="n">
        <v>1</v>
      </c>
      <c r="I397" t="n">
        <v>0</v>
      </c>
      <c r="J397" t="n">
        <v>0</v>
      </c>
      <c r="K397" t="n">
        <v>0</v>
      </c>
      <c r="L397" t="n">
        <v>0</v>
      </c>
      <c r="M397" t="n">
        <v>0</v>
      </c>
      <c r="N397" t="n">
        <v>0</v>
      </c>
      <c r="O397" t="n">
        <v>0</v>
      </c>
      <c r="P397" t="n">
        <v>0</v>
      </c>
      <c r="Q397" t="n">
        <v>1</v>
      </c>
      <c r="R397" s="2" t="inlineStr">
        <is>
          <t>Trana</t>
        </is>
      </c>
      <c r="S397">
        <f>HYPERLINK("https://klasma.github.io/Logging_0483/artfynd/A 54248-2019 artfynd.xlsx", "A 54248-2019")</f>
        <v/>
      </c>
      <c r="T397">
        <f>HYPERLINK("https://klasma.github.io/Logging_0483/kartor/A 54248-2019 karta.png", "A 54248-2019")</f>
        <v/>
      </c>
      <c r="V397">
        <f>HYPERLINK("https://klasma.github.io/Logging_0483/klagomål/A 54248-2019 FSC-klagomål.docx", "A 54248-2019")</f>
        <v/>
      </c>
      <c r="W397">
        <f>HYPERLINK("https://klasma.github.io/Logging_0483/klagomålsmail/A 54248-2019 FSC-klagomål mail.docx", "A 54248-2019")</f>
        <v/>
      </c>
      <c r="X397">
        <f>HYPERLINK("https://klasma.github.io/Logging_0483/tillsyn/A 54248-2019 tillsynsbegäran.docx", "A 54248-2019")</f>
        <v/>
      </c>
      <c r="Y397">
        <f>HYPERLINK("https://klasma.github.io/Logging_0483/tillsynsmail/A 54248-2019 tillsynsbegäran mail.docx", "A 54248-2019")</f>
        <v/>
      </c>
      <c r="Z397">
        <f>HYPERLINK("https://klasma.github.io/Logging_0483/fåglar/A 54248-2019 prioriterade fågelarter.docx", "A 54248-2019")</f>
        <v/>
      </c>
    </row>
    <row r="398" ht="15" customHeight="1">
      <c r="A398" t="inlineStr">
        <is>
          <t>A 55376-2019</t>
        </is>
      </c>
      <c r="B398" s="1" t="n">
        <v>43754</v>
      </c>
      <c r="C398" s="1" t="n">
        <v>45843</v>
      </c>
      <c r="D398" t="inlineStr">
        <is>
          <t>SÖDERMANLANDS LÄN</t>
        </is>
      </c>
      <c r="E398" t="inlineStr">
        <is>
          <t>FLEN</t>
        </is>
      </c>
      <c r="G398" t="n">
        <v>6.5</v>
      </c>
      <c r="H398" t="n">
        <v>0</v>
      </c>
      <c r="I398" t="n">
        <v>0</v>
      </c>
      <c r="J398" t="n">
        <v>1</v>
      </c>
      <c r="K398" t="n">
        <v>0</v>
      </c>
      <c r="L398" t="n">
        <v>0</v>
      </c>
      <c r="M398" t="n">
        <v>0</v>
      </c>
      <c r="N398" t="n">
        <v>0</v>
      </c>
      <c r="O398" t="n">
        <v>1</v>
      </c>
      <c r="P398" t="n">
        <v>0</v>
      </c>
      <c r="Q398" t="n">
        <v>1</v>
      </c>
      <c r="R398" s="2" t="inlineStr">
        <is>
          <t>Skogshare</t>
        </is>
      </c>
      <c r="S398">
        <f>HYPERLINK("https://klasma.github.io/Logging_0482/artfynd/A 55376-2019 artfynd.xlsx", "A 55376-2019")</f>
        <v/>
      </c>
      <c r="T398">
        <f>HYPERLINK("https://klasma.github.io/Logging_0482/kartor/A 55376-2019 karta.png", "A 55376-2019")</f>
        <v/>
      </c>
      <c r="V398">
        <f>HYPERLINK("https://klasma.github.io/Logging_0482/klagomål/A 55376-2019 FSC-klagomål.docx", "A 55376-2019")</f>
        <v/>
      </c>
      <c r="W398">
        <f>HYPERLINK("https://klasma.github.io/Logging_0482/klagomålsmail/A 55376-2019 FSC-klagomål mail.docx", "A 55376-2019")</f>
        <v/>
      </c>
      <c r="X398">
        <f>HYPERLINK("https://klasma.github.io/Logging_0482/tillsyn/A 55376-2019 tillsynsbegäran.docx", "A 55376-2019")</f>
        <v/>
      </c>
      <c r="Y398">
        <f>HYPERLINK("https://klasma.github.io/Logging_0482/tillsynsmail/A 55376-2019 tillsynsbegäran mail.docx", "A 55376-2019")</f>
        <v/>
      </c>
    </row>
    <row r="399" ht="15" customHeight="1">
      <c r="A399" t="inlineStr">
        <is>
          <t>A 65370-2019</t>
        </is>
      </c>
      <c r="B399" s="1" t="n">
        <v>43797</v>
      </c>
      <c r="C399" s="1" t="n">
        <v>45843</v>
      </c>
      <c r="D399" t="inlineStr">
        <is>
          <t>SÖDERMANLANDS LÄN</t>
        </is>
      </c>
      <c r="E399" t="inlineStr">
        <is>
          <t>TROSA</t>
        </is>
      </c>
      <c r="G399" t="n">
        <v>52</v>
      </c>
      <c r="H399" t="n">
        <v>1</v>
      </c>
      <c r="I399" t="n">
        <v>0</v>
      </c>
      <c r="J399" t="n">
        <v>0</v>
      </c>
      <c r="K399" t="n">
        <v>0</v>
      </c>
      <c r="L399" t="n">
        <v>0</v>
      </c>
      <c r="M399" t="n">
        <v>0</v>
      </c>
      <c r="N399" t="n">
        <v>0</v>
      </c>
      <c r="O399" t="n">
        <v>0</v>
      </c>
      <c r="P399" t="n">
        <v>0</v>
      </c>
      <c r="Q399" t="n">
        <v>1</v>
      </c>
      <c r="R399" s="2" t="inlineStr">
        <is>
          <t>Tjäder</t>
        </is>
      </c>
      <c r="S399">
        <f>HYPERLINK("https://klasma.github.io/Logging_0488/artfynd/A 65370-2019 artfynd.xlsx", "A 65370-2019")</f>
        <v/>
      </c>
      <c r="T399">
        <f>HYPERLINK("https://klasma.github.io/Logging_0488/kartor/A 65370-2019 karta.png", "A 65370-2019")</f>
        <v/>
      </c>
      <c r="V399">
        <f>HYPERLINK("https://klasma.github.io/Logging_0488/klagomål/A 65370-2019 FSC-klagomål.docx", "A 65370-2019")</f>
        <v/>
      </c>
      <c r="W399">
        <f>HYPERLINK("https://klasma.github.io/Logging_0488/klagomålsmail/A 65370-2019 FSC-klagomål mail.docx", "A 65370-2019")</f>
        <v/>
      </c>
      <c r="X399">
        <f>HYPERLINK("https://klasma.github.io/Logging_0488/tillsyn/A 65370-2019 tillsynsbegäran.docx", "A 65370-2019")</f>
        <v/>
      </c>
      <c r="Y399">
        <f>HYPERLINK("https://klasma.github.io/Logging_0488/tillsynsmail/A 65370-2019 tillsynsbegäran mail.docx", "A 65370-2019")</f>
        <v/>
      </c>
      <c r="Z399">
        <f>HYPERLINK("https://klasma.github.io/Logging_0488/fåglar/A 65370-2019 prioriterade fågelarter.docx", "A 65370-2019")</f>
        <v/>
      </c>
    </row>
    <row r="400" ht="15" customHeight="1">
      <c r="A400" t="inlineStr">
        <is>
          <t>A 872-2020</t>
        </is>
      </c>
      <c r="B400" s="1" t="n">
        <v>43818</v>
      </c>
      <c r="C400" s="1" t="n">
        <v>45843</v>
      </c>
      <c r="D400" t="inlineStr">
        <is>
          <t>SÖDERMANLANDS LÄN</t>
        </is>
      </c>
      <c r="E400" t="inlineStr">
        <is>
          <t>NYKÖPING</t>
        </is>
      </c>
      <c r="G400" t="n">
        <v>4.5</v>
      </c>
      <c r="H400" t="n">
        <v>1</v>
      </c>
      <c r="I400" t="n">
        <v>0</v>
      </c>
      <c r="J400" t="n">
        <v>0</v>
      </c>
      <c r="K400" t="n">
        <v>0</v>
      </c>
      <c r="L400" t="n">
        <v>1</v>
      </c>
      <c r="M400" t="n">
        <v>0</v>
      </c>
      <c r="N400" t="n">
        <v>0</v>
      </c>
      <c r="O400" t="n">
        <v>1</v>
      </c>
      <c r="P400" t="n">
        <v>1</v>
      </c>
      <c r="Q400" t="n">
        <v>1</v>
      </c>
      <c r="R400" s="2" t="inlineStr">
        <is>
          <t>Brun glada</t>
        </is>
      </c>
      <c r="S400">
        <f>HYPERLINK("https://klasma.github.io/Logging_0480/artfynd/A 872-2020 artfynd.xlsx", "A 872-2020")</f>
        <v/>
      </c>
      <c r="T400">
        <f>HYPERLINK("https://klasma.github.io/Logging_0480/kartor/A 872-2020 karta.png", "A 872-2020")</f>
        <v/>
      </c>
      <c r="V400">
        <f>HYPERLINK("https://klasma.github.io/Logging_0480/klagomål/A 872-2020 FSC-klagomål.docx", "A 872-2020")</f>
        <v/>
      </c>
      <c r="W400">
        <f>HYPERLINK("https://klasma.github.io/Logging_0480/klagomålsmail/A 872-2020 FSC-klagomål mail.docx", "A 872-2020")</f>
        <v/>
      </c>
      <c r="X400">
        <f>HYPERLINK("https://klasma.github.io/Logging_0480/tillsyn/A 872-2020 tillsynsbegäran.docx", "A 872-2020")</f>
        <v/>
      </c>
      <c r="Y400">
        <f>HYPERLINK("https://klasma.github.io/Logging_0480/tillsynsmail/A 872-2020 tillsynsbegäran mail.docx", "A 872-2020")</f>
        <v/>
      </c>
      <c r="Z400">
        <f>HYPERLINK("https://klasma.github.io/Logging_0480/fåglar/A 872-2020 prioriterade fågelarter.docx", "A 872-2020")</f>
        <v/>
      </c>
    </row>
    <row r="401" ht="15" customHeight="1">
      <c r="A401" t="inlineStr">
        <is>
          <t>A 1380-2020</t>
        </is>
      </c>
      <c r="B401" s="1" t="n">
        <v>43843</v>
      </c>
      <c r="C401" s="1" t="n">
        <v>45843</v>
      </c>
      <c r="D401" t="inlineStr">
        <is>
          <t>SÖDERMANLANDS LÄN</t>
        </is>
      </c>
      <c r="E401" t="inlineStr">
        <is>
          <t>NYKÖPING</t>
        </is>
      </c>
      <c r="G401" t="n">
        <v>1.7</v>
      </c>
      <c r="H401" t="n">
        <v>1</v>
      </c>
      <c r="I401" t="n">
        <v>0</v>
      </c>
      <c r="J401" t="n">
        <v>0</v>
      </c>
      <c r="K401" t="n">
        <v>0</v>
      </c>
      <c r="L401" t="n">
        <v>0</v>
      </c>
      <c r="M401" t="n">
        <v>0</v>
      </c>
      <c r="N401" t="n">
        <v>0</v>
      </c>
      <c r="O401" t="n">
        <v>0</v>
      </c>
      <c r="P401" t="n">
        <v>0</v>
      </c>
      <c r="Q401" t="n">
        <v>1</v>
      </c>
      <c r="R401" s="2" t="inlineStr">
        <is>
          <t>Blåsippa</t>
        </is>
      </c>
      <c r="S401">
        <f>HYPERLINK("https://klasma.github.io/Logging_0480/artfynd/A 1380-2020 artfynd.xlsx", "A 1380-2020")</f>
        <v/>
      </c>
      <c r="T401">
        <f>HYPERLINK("https://klasma.github.io/Logging_0480/kartor/A 1380-2020 karta.png", "A 1380-2020")</f>
        <v/>
      </c>
      <c r="V401">
        <f>HYPERLINK("https://klasma.github.io/Logging_0480/klagomål/A 1380-2020 FSC-klagomål.docx", "A 1380-2020")</f>
        <v/>
      </c>
      <c r="W401">
        <f>HYPERLINK("https://klasma.github.io/Logging_0480/klagomålsmail/A 1380-2020 FSC-klagomål mail.docx", "A 1380-2020")</f>
        <v/>
      </c>
      <c r="X401">
        <f>HYPERLINK("https://klasma.github.io/Logging_0480/tillsyn/A 1380-2020 tillsynsbegäran.docx", "A 1380-2020")</f>
        <v/>
      </c>
      <c r="Y401">
        <f>HYPERLINK("https://klasma.github.io/Logging_0480/tillsynsmail/A 1380-2020 tillsynsbegäran mail.docx", "A 1380-2020")</f>
        <v/>
      </c>
    </row>
    <row r="402" ht="15" customHeight="1">
      <c r="A402" t="inlineStr">
        <is>
          <t>A 4244-2020</t>
        </is>
      </c>
      <c r="B402" s="1" t="n">
        <v>43857</v>
      </c>
      <c r="C402" s="1" t="n">
        <v>45843</v>
      </c>
      <c r="D402" t="inlineStr">
        <is>
          <t>SÖDERMANLANDS LÄN</t>
        </is>
      </c>
      <c r="E402" t="inlineStr">
        <is>
          <t>NYKÖPING</t>
        </is>
      </c>
      <c r="F402" t="inlineStr">
        <is>
          <t>Kommuner</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HYPERLINK("https://klasma.github.io/Logging_0480/artfynd/A 4244-2020 artfynd.xlsx", "A 4244-2020")</f>
        <v/>
      </c>
      <c r="T402">
        <f>HYPERLINK("https://klasma.github.io/Logging_0480/kartor/A 4244-2020 karta.png", "A 4244-2020")</f>
        <v/>
      </c>
      <c r="U402">
        <f>HYPERLINK("https://klasma.github.io/Logging_0480/knärot/A 4244-2020 karta knärot.png", "A 4244-2020")</f>
        <v/>
      </c>
      <c r="V402">
        <f>HYPERLINK("https://klasma.github.io/Logging_0480/klagomål/A 4244-2020 FSC-klagomål.docx", "A 4244-2020")</f>
        <v/>
      </c>
      <c r="W402">
        <f>HYPERLINK("https://klasma.github.io/Logging_0480/klagomålsmail/A 4244-2020 FSC-klagomål mail.docx", "A 4244-2020")</f>
        <v/>
      </c>
      <c r="X402">
        <f>HYPERLINK("https://klasma.github.io/Logging_0480/tillsyn/A 4244-2020 tillsynsbegäran.docx", "A 4244-2020")</f>
        <v/>
      </c>
      <c r="Y402">
        <f>HYPERLINK("https://klasma.github.io/Logging_0480/tillsynsmail/A 4244-2020 tillsynsbegäran mail.docx", "A 4244-2020")</f>
        <v/>
      </c>
    </row>
    <row r="403" ht="15" customHeight="1">
      <c r="A403" t="inlineStr">
        <is>
          <t>A 4372-2020</t>
        </is>
      </c>
      <c r="B403" s="1" t="n">
        <v>43858</v>
      </c>
      <c r="C403" s="1" t="n">
        <v>45843</v>
      </c>
      <c r="D403" t="inlineStr">
        <is>
          <t>SÖDERMANLANDS LÄN</t>
        </is>
      </c>
      <c r="E403" t="inlineStr">
        <is>
          <t>FLEN</t>
        </is>
      </c>
      <c r="G403" t="n">
        <v>3.4</v>
      </c>
      <c r="H403" t="n">
        <v>0</v>
      </c>
      <c r="I403" t="n">
        <v>0</v>
      </c>
      <c r="J403" t="n">
        <v>1</v>
      </c>
      <c r="K403" t="n">
        <v>0</v>
      </c>
      <c r="L403" t="n">
        <v>0</v>
      </c>
      <c r="M403" t="n">
        <v>0</v>
      </c>
      <c r="N403" t="n">
        <v>0</v>
      </c>
      <c r="O403" t="n">
        <v>1</v>
      </c>
      <c r="P403" t="n">
        <v>0</v>
      </c>
      <c r="Q403" t="n">
        <v>1</v>
      </c>
      <c r="R403" s="2" t="inlineStr">
        <is>
          <t>Svedjenäva</t>
        </is>
      </c>
      <c r="S403">
        <f>HYPERLINK("https://klasma.github.io/Logging_0482/artfynd/A 4372-2020 artfynd.xlsx", "A 4372-2020")</f>
        <v/>
      </c>
      <c r="T403">
        <f>HYPERLINK("https://klasma.github.io/Logging_0482/kartor/A 4372-2020 karta.png", "A 4372-2020")</f>
        <v/>
      </c>
      <c r="V403">
        <f>HYPERLINK("https://klasma.github.io/Logging_0482/klagomål/A 4372-2020 FSC-klagomål.docx", "A 4372-2020")</f>
        <v/>
      </c>
      <c r="W403">
        <f>HYPERLINK("https://klasma.github.io/Logging_0482/klagomålsmail/A 4372-2020 FSC-klagomål mail.docx", "A 4372-2020")</f>
        <v/>
      </c>
      <c r="X403">
        <f>HYPERLINK("https://klasma.github.io/Logging_0482/tillsyn/A 4372-2020 tillsynsbegäran.docx", "A 4372-2020")</f>
        <v/>
      </c>
      <c r="Y403">
        <f>HYPERLINK("https://klasma.github.io/Logging_0482/tillsynsmail/A 4372-2020 tillsynsbegäran mail.docx", "A 4372-2020")</f>
        <v/>
      </c>
    </row>
    <row r="404" ht="15" customHeight="1">
      <c r="A404" t="inlineStr">
        <is>
          <t>A 5210-2020</t>
        </is>
      </c>
      <c r="B404" s="1" t="n">
        <v>43860</v>
      </c>
      <c r="C404" s="1" t="n">
        <v>45843</v>
      </c>
      <c r="D404" t="inlineStr">
        <is>
          <t>SÖDERMANLANDS LÄN</t>
        </is>
      </c>
      <c r="E404" t="inlineStr">
        <is>
          <t>FLEN</t>
        </is>
      </c>
      <c r="G404" t="n">
        <v>3.1</v>
      </c>
      <c r="H404" t="n">
        <v>0</v>
      </c>
      <c r="I404" t="n">
        <v>0</v>
      </c>
      <c r="J404" t="n">
        <v>1</v>
      </c>
      <c r="K404" t="n">
        <v>0</v>
      </c>
      <c r="L404" t="n">
        <v>0</v>
      </c>
      <c r="M404" t="n">
        <v>0</v>
      </c>
      <c r="N404" t="n">
        <v>0</v>
      </c>
      <c r="O404" t="n">
        <v>1</v>
      </c>
      <c r="P404" t="n">
        <v>0</v>
      </c>
      <c r="Q404" t="n">
        <v>1</v>
      </c>
      <c r="R404" s="2" t="inlineStr">
        <is>
          <t>Gullklöver</t>
        </is>
      </c>
      <c r="S404">
        <f>HYPERLINK("https://klasma.github.io/Logging_0482/artfynd/A 5210-2020 artfynd.xlsx", "A 5210-2020")</f>
        <v/>
      </c>
      <c r="T404">
        <f>HYPERLINK("https://klasma.github.io/Logging_0482/kartor/A 5210-2020 karta.png", "A 5210-2020")</f>
        <v/>
      </c>
      <c r="V404">
        <f>HYPERLINK("https://klasma.github.io/Logging_0482/klagomål/A 5210-2020 FSC-klagomål.docx", "A 5210-2020")</f>
        <v/>
      </c>
      <c r="W404">
        <f>HYPERLINK("https://klasma.github.io/Logging_0482/klagomålsmail/A 5210-2020 FSC-klagomål mail.docx", "A 5210-2020")</f>
        <v/>
      </c>
      <c r="X404">
        <f>HYPERLINK("https://klasma.github.io/Logging_0482/tillsyn/A 5210-2020 tillsynsbegäran.docx", "A 5210-2020")</f>
        <v/>
      </c>
      <c r="Y404">
        <f>HYPERLINK("https://klasma.github.io/Logging_0482/tillsynsmail/A 5210-2020 tillsynsbegäran mail.docx", "A 5210-2020")</f>
        <v/>
      </c>
    </row>
    <row r="405" ht="15" customHeight="1">
      <c r="A405" t="inlineStr">
        <is>
          <t>A 7702-2020</t>
        </is>
      </c>
      <c r="B405" s="1" t="n">
        <v>43872</v>
      </c>
      <c r="C405" s="1" t="n">
        <v>45843</v>
      </c>
      <c r="D405" t="inlineStr">
        <is>
          <t>SÖDERMANLANDS LÄN</t>
        </is>
      </c>
      <c r="E405" t="inlineStr">
        <is>
          <t>NYKÖPING</t>
        </is>
      </c>
      <c r="F405" t="inlineStr">
        <is>
          <t>Kommuner</t>
        </is>
      </c>
      <c r="G405" t="n">
        <v>5.2</v>
      </c>
      <c r="H405" t="n">
        <v>0</v>
      </c>
      <c r="I405" t="n">
        <v>0</v>
      </c>
      <c r="J405" t="n">
        <v>1</v>
      </c>
      <c r="K405" t="n">
        <v>0</v>
      </c>
      <c r="L405" t="n">
        <v>0</v>
      </c>
      <c r="M405" t="n">
        <v>0</v>
      </c>
      <c r="N405" t="n">
        <v>0</v>
      </c>
      <c r="O405" t="n">
        <v>1</v>
      </c>
      <c r="P405" t="n">
        <v>0</v>
      </c>
      <c r="Q405" t="n">
        <v>1</v>
      </c>
      <c r="R405" s="2" t="inlineStr">
        <is>
          <t>Granticka</t>
        </is>
      </c>
      <c r="S405">
        <f>HYPERLINK("https://klasma.github.io/Logging_0480/artfynd/A 7702-2020 artfynd.xlsx", "A 7702-2020")</f>
        <v/>
      </c>
      <c r="T405">
        <f>HYPERLINK("https://klasma.github.io/Logging_0480/kartor/A 7702-2020 karta.png", "A 7702-2020")</f>
        <v/>
      </c>
      <c r="V405">
        <f>HYPERLINK("https://klasma.github.io/Logging_0480/klagomål/A 7702-2020 FSC-klagomål.docx", "A 7702-2020")</f>
        <v/>
      </c>
      <c r="W405">
        <f>HYPERLINK("https://klasma.github.io/Logging_0480/klagomålsmail/A 7702-2020 FSC-klagomål mail.docx", "A 7702-2020")</f>
        <v/>
      </c>
      <c r="X405">
        <f>HYPERLINK("https://klasma.github.io/Logging_0480/tillsyn/A 7702-2020 tillsynsbegäran.docx", "A 7702-2020")</f>
        <v/>
      </c>
      <c r="Y405">
        <f>HYPERLINK("https://klasma.github.io/Logging_0480/tillsynsmail/A 7702-2020 tillsynsbegäran mail.docx", "A 7702-2020")</f>
        <v/>
      </c>
    </row>
    <row r="406" ht="15" customHeight="1">
      <c r="A406" t="inlineStr">
        <is>
          <t>A 13747-2020</t>
        </is>
      </c>
      <c r="B406" s="1" t="n">
        <v>43896</v>
      </c>
      <c r="C406" s="1" t="n">
        <v>45843</v>
      </c>
      <c r="D406" t="inlineStr">
        <is>
          <t>SÖDERMANLANDS LÄN</t>
        </is>
      </c>
      <c r="E406" t="inlineStr">
        <is>
          <t>GNESTA</t>
        </is>
      </c>
      <c r="G406" t="n">
        <v>6.6</v>
      </c>
      <c r="H406" t="n">
        <v>1</v>
      </c>
      <c r="I406" t="n">
        <v>0</v>
      </c>
      <c r="J406" t="n">
        <v>0</v>
      </c>
      <c r="K406" t="n">
        <v>0</v>
      </c>
      <c r="L406" t="n">
        <v>0</v>
      </c>
      <c r="M406" t="n">
        <v>0</v>
      </c>
      <c r="N406" t="n">
        <v>0</v>
      </c>
      <c r="O406" t="n">
        <v>0</v>
      </c>
      <c r="P406" t="n">
        <v>0</v>
      </c>
      <c r="Q406" t="n">
        <v>1</v>
      </c>
      <c r="R406" s="2" t="inlineStr">
        <is>
          <t>Blåsippa</t>
        </is>
      </c>
      <c r="S406">
        <f>HYPERLINK("https://klasma.github.io/Logging_0461/artfynd/A 13747-2020 artfynd.xlsx", "A 13747-2020")</f>
        <v/>
      </c>
      <c r="T406">
        <f>HYPERLINK("https://klasma.github.io/Logging_0461/kartor/A 13747-2020 karta.png", "A 13747-2020")</f>
        <v/>
      </c>
      <c r="V406">
        <f>HYPERLINK("https://klasma.github.io/Logging_0461/klagomål/A 13747-2020 FSC-klagomål.docx", "A 13747-2020")</f>
        <v/>
      </c>
      <c r="W406">
        <f>HYPERLINK("https://klasma.github.io/Logging_0461/klagomålsmail/A 13747-2020 FSC-klagomål mail.docx", "A 13747-2020")</f>
        <v/>
      </c>
      <c r="X406">
        <f>HYPERLINK("https://klasma.github.io/Logging_0461/tillsyn/A 13747-2020 tillsynsbegäran.docx", "A 13747-2020")</f>
        <v/>
      </c>
      <c r="Y406">
        <f>HYPERLINK("https://klasma.github.io/Logging_0461/tillsynsmail/A 13747-2020 tillsynsbegäran mail.docx", "A 13747-2020")</f>
        <v/>
      </c>
    </row>
    <row r="407" ht="15" customHeight="1">
      <c r="A407" t="inlineStr">
        <is>
          <t>A 13756-2020</t>
        </is>
      </c>
      <c r="B407" s="1" t="n">
        <v>43903</v>
      </c>
      <c r="C407" s="1" t="n">
        <v>45843</v>
      </c>
      <c r="D407" t="inlineStr">
        <is>
          <t>SÖDERMANLANDS LÄN</t>
        </is>
      </c>
      <c r="E407" t="inlineStr">
        <is>
          <t>NYKÖPING</t>
        </is>
      </c>
      <c r="F407" t="inlineStr">
        <is>
          <t>Kommuner</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HYPERLINK("https://klasma.github.io/Logging_0480/artfynd/A 13756-2020 artfynd.xlsx", "A 13756-2020")</f>
        <v/>
      </c>
      <c r="T407">
        <f>HYPERLINK("https://klasma.github.io/Logging_0480/kartor/A 13756-2020 karta.png", "A 13756-2020")</f>
        <v/>
      </c>
      <c r="V407">
        <f>HYPERLINK("https://klasma.github.io/Logging_0480/klagomål/A 13756-2020 FSC-klagomål.docx", "A 13756-2020")</f>
        <v/>
      </c>
      <c r="W407">
        <f>HYPERLINK("https://klasma.github.io/Logging_0480/klagomålsmail/A 13756-2020 FSC-klagomål mail.docx", "A 13756-2020")</f>
        <v/>
      </c>
      <c r="X407">
        <f>HYPERLINK("https://klasma.github.io/Logging_0480/tillsyn/A 13756-2020 tillsynsbegäran.docx", "A 13756-2020")</f>
        <v/>
      </c>
      <c r="Y407">
        <f>HYPERLINK("https://klasma.github.io/Logging_0480/tillsynsmail/A 13756-2020 tillsynsbegäran mail.docx", "A 13756-2020")</f>
        <v/>
      </c>
    </row>
    <row r="408" ht="15" customHeight="1">
      <c r="A408" t="inlineStr">
        <is>
          <t>A 14229-2020</t>
        </is>
      </c>
      <c r="B408" s="1" t="n">
        <v>43907</v>
      </c>
      <c r="C408" s="1" t="n">
        <v>45843</v>
      </c>
      <c r="D408" t="inlineStr">
        <is>
          <t>SÖDERMANLANDS LÄN</t>
        </is>
      </c>
      <c r="E408" t="inlineStr">
        <is>
          <t>FLEN</t>
        </is>
      </c>
      <c r="G408" t="n">
        <v>0.7</v>
      </c>
      <c r="H408" t="n">
        <v>0</v>
      </c>
      <c r="I408" t="n">
        <v>1</v>
      </c>
      <c r="J408" t="n">
        <v>0</v>
      </c>
      <c r="K408" t="n">
        <v>0</v>
      </c>
      <c r="L408" t="n">
        <v>0</v>
      </c>
      <c r="M408" t="n">
        <v>0</v>
      </c>
      <c r="N408" t="n">
        <v>0</v>
      </c>
      <c r="O408" t="n">
        <v>0</v>
      </c>
      <c r="P408" t="n">
        <v>0</v>
      </c>
      <c r="Q408" t="n">
        <v>1</v>
      </c>
      <c r="R408" s="2" t="inlineStr">
        <is>
          <t>Grönpyrola</t>
        </is>
      </c>
      <c r="S408">
        <f>HYPERLINK("https://klasma.github.io/Logging_0482/artfynd/A 14229-2020 artfynd.xlsx", "A 14229-2020")</f>
        <v/>
      </c>
      <c r="T408">
        <f>HYPERLINK("https://klasma.github.io/Logging_0482/kartor/A 14229-2020 karta.png", "A 14229-2020")</f>
        <v/>
      </c>
      <c r="V408">
        <f>HYPERLINK("https://klasma.github.io/Logging_0482/klagomål/A 14229-2020 FSC-klagomål.docx", "A 14229-2020")</f>
        <v/>
      </c>
      <c r="W408">
        <f>HYPERLINK("https://klasma.github.io/Logging_0482/klagomålsmail/A 14229-2020 FSC-klagomål mail.docx", "A 14229-2020")</f>
        <v/>
      </c>
      <c r="X408">
        <f>HYPERLINK("https://klasma.github.io/Logging_0482/tillsyn/A 14229-2020 tillsynsbegäran.docx", "A 14229-2020")</f>
        <v/>
      </c>
      <c r="Y408">
        <f>HYPERLINK("https://klasma.github.io/Logging_0482/tillsynsmail/A 14229-2020 tillsynsbegäran mail.docx", "A 14229-2020")</f>
        <v/>
      </c>
    </row>
    <row r="409" ht="15" customHeight="1">
      <c r="A409" t="inlineStr">
        <is>
          <t>A 16877-2020</t>
        </is>
      </c>
      <c r="B409" s="1" t="n">
        <v>43921</v>
      </c>
      <c r="C409" s="1" t="n">
        <v>45843</v>
      </c>
      <c r="D409" t="inlineStr">
        <is>
          <t>SÖDERMANLANDS LÄN</t>
        </is>
      </c>
      <c r="E409" t="inlineStr">
        <is>
          <t>ESKILSTUNA</t>
        </is>
      </c>
      <c r="F409" t="inlineStr">
        <is>
          <t>Kyrkan</t>
        </is>
      </c>
      <c r="G409" t="n">
        <v>4.1</v>
      </c>
      <c r="H409" t="n">
        <v>1</v>
      </c>
      <c r="I409" t="n">
        <v>0</v>
      </c>
      <c r="J409" t="n">
        <v>0</v>
      </c>
      <c r="K409" t="n">
        <v>0</v>
      </c>
      <c r="L409" t="n">
        <v>0</v>
      </c>
      <c r="M409" t="n">
        <v>0</v>
      </c>
      <c r="N409" t="n">
        <v>0</v>
      </c>
      <c r="O409" t="n">
        <v>0</v>
      </c>
      <c r="P409" t="n">
        <v>0</v>
      </c>
      <c r="Q409" t="n">
        <v>1</v>
      </c>
      <c r="R409" s="2" t="inlineStr">
        <is>
          <t>Blåsippa</t>
        </is>
      </c>
      <c r="S409">
        <f>HYPERLINK("https://klasma.github.io/Logging_0484/artfynd/A 16877-2020 artfynd.xlsx", "A 16877-2020")</f>
        <v/>
      </c>
      <c r="T409">
        <f>HYPERLINK("https://klasma.github.io/Logging_0484/kartor/A 16877-2020 karta.png", "A 16877-2020")</f>
        <v/>
      </c>
      <c r="V409">
        <f>HYPERLINK("https://klasma.github.io/Logging_0484/klagomål/A 16877-2020 FSC-klagomål.docx", "A 16877-2020")</f>
        <v/>
      </c>
      <c r="W409">
        <f>HYPERLINK("https://klasma.github.io/Logging_0484/klagomålsmail/A 16877-2020 FSC-klagomål mail.docx", "A 16877-2020")</f>
        <v/>
      </c>
      <c r="X409">
        <f>HYPERLINK("https://klasma.github.io/Logging_0484/tillsyn/A 16877-2020 tillsynsbegäran.docx", "A 16877-2020")</f>
        <v/>
      </c>
      <c r="Y409">
        <f>HYPERLINK("https://klasma.github.io/Logging_0484/tillsynsmail/A 16877-2020 tillsynsbegäran mail.docx", "A 16877-2020")</f>
        <v/>
      </c>
    </row>
    <row r="410" ht="15" customHeight="1">
      <c r="A410" t="inlineStr">
        <is>
          <t>A 18283-2020</t>
        </is>
      </c>
      <c r="B410" s="1" t="n">
        <v>43928</v>
      </c>
      <c r="C410" s="1" t="n">
        <v>45843</v>
      </c>
      <c r="D410" t="inlineStr">
        <is>
          <t>SÖDERMANLANDS LÄN</t>
        </is>
      </c>
      <c r="E410" t="inlineStr">
        <is>
          <t>KATRINEHOLM</t>
        </is>
      </c>
      <c r="F410" t="inlineStr">
        <is>
          <t>Kommuner</t>
        </is>
      </c>
      <c r="G410" t="n">
        <v>8.1</v>
      </c>
      <c r="H410" t="n">
        <v>1</v>
      </c>
      <c r="I410" t="n">
        <v>0</v>
      </c>
      <c r="J410" t="n">
        <v>0</v>
      </c>
      <c r="K410" t="n">
        <v>1</v>
      </c>
      <c r="L410" t="n">
        <v>0</v>
      </c>
      <c r="M410" t="n">
        <v>0</v>
      </c>
      <c r="N410" t="n">
        <v>0</v>
      </c>
      <c r="O410" t="n">
        <v>1</v>
      </c>
      <c r="P410" t="n">
        <v>1</v>
      </c>
      <c r="Q410" t="n">
        <v>1</v>
      </c>
      <c r="R410" s="2" t="inlineStr">
        <is>
          <t>Knärot</t>
        </is>
      </c>
      <c r="S410">
        <f>HYPERLINK("https://klasma.github.io/Logging_0483/artfynd/A 18283-2020 artfynd.xlsx", "A 18283-2020")</f>
        <v/>
      </c>
      <c r="T410">
        <f>HYPERLINK("https://klasma.github.io/Logging_0483/kartor/A 18283-2020 karta.png", "A 18283-2020")</f>
        <v/>
      </c>
      <c r="U410">
        <f>HYPERLINK("https://klasma.github.io/Logging_0483/knärot/A 18283-2020 karta knärot.png", "A 18283-2020")</f>
        <v/>
      </c>
      <c r="V410">
        <f>HYPERLINK("https://klasma.github.io/Logging_0483/klagomål/A 18283-2020 FSC-klagomål.docx", "A 18283-2020")</f>
        <v/>
      </c>
      <c r="W410">
        <f>HYPERLINK("https://klasma.github.io/Logging_0483/klagomålsmail/A 18283-2020 FSC-klagomål mail.docx", "A 18283-2020")</f>
        <v/>
      </c>
      <c r="X410">
        <f>HYPERLINK("https://klasma.github.io/Logging_0483/tillsyn/A 18283-2020 tillsynsbegäran.docx", "A 18283-2020")</f>
        <v/>
      </c>
      <c r="Y410">
        <f>HYPERLINK("https://klasma.github.io/Logging_0483/tillsynsmail/A 18283-2020 tillsynsbegäran mail.docx", "A 18283-2020")</f>
        <v/>
      </c>
    </row>
    <row r="411" ht="15" customHeight="1">
      <c r="A411" t="inlineStr">
        <is>
          <t>A 19647-2020</t>
        </is>
      </c>
      <c r="B411" s="1" t="n">
        <v>43937</v>
      </c>
      <c r="C411" s="1" t="n">
        <v>45843</v>
      </c>
      <c r="D411" t="inlineStr">
        <is>
          <t>SÖDERMANLANDS LÄN</t>
        </is>
      </c>
      <c r="E411" t="inlineStr">
        <is>
          <t>NYKÖPING</t>
        </is>
      </c>
      <c r="F411" t="inlineStr">
        <is>
          <t>Kommuner</t>
        </is>
      </c>
      <c r="G411" t="n">
        <v>5.7</v>
      </c>
      <c r="H411" t="n">
        <v>0</v>
      </c>
      <c r="I411" t="n">
        <v>0</v>
      </c>
      <c r="J411" t="n">
        <v>0</v>
      </c>
      <c r="K411" t="n">
        <v>0</v>
      </c>
      <c r="L411" t="n">
        <v>1</v>
      </c>
      <c r="M411" t="n">
        <v>0</v>
      </c>
      <c r="N411" t="n">
        <v>0</v>
      </c>
      <c r="O411" t="n">
        <v>1</v>
      </c>
      <c r="P411" t="n">
        <v>1</v>
      </c>
      <c r="Q411" t="n">
        <v>1</v>
      </c>
      <c r="R411" s="2" t="inlineStr">
        <is>
          <t>Raggtaggsvamp</t>
        </is>
      </c>
      <c r="S411">
        <f>HYPERLINK("https://klasma.github.io/Logging_0480/artfynd/A 19647-2020 artfynd.xlsx", "A 19647-2020")</f>
        <v/>
      </c>
      <c r="T411">
        <f>HYPERLINK("https://klasma.github.io/Logging_0480/kartor/A 19647-2020 karta.png", "A 19647-2020")</f>
        <v/>
      </c>
      <c r="V411">
        <f>HYPERLINK("https://klasma.github.io/Logging_0480/klagomål/A 19647-2020 FSC-klagomål.docx", "A 19647-2020")</f>
        <v/>
      </c>
      <c r="W411">
        <f>HYPERLINK("https://klasma.github.io/Logging_0480/klagomålsmail/A 19647-2020 FSC-klagomål mail.docx", "A 19647-2020")</f>
        <v/>
      </c>
      <c r="X411">
        <f>HYPERLINK("https://klasma.github.io/Logging_0480/tillsyn/A 19647-2020 tillsynsbegäran.docx", "A 19647-2020")</f>
        <v/>
      </c>
      <c r="Y411">
        <f>HYPERLINK("https://klasma.github.io/Logging_0480/tillsynsmail/A 19647-2020 tillsynsbegäran mail.docx", "A 19647-2020")</f>
        <v/>
      </c>
    </row>
    <row r="412" ht="15" customHeight="1">
      <c r="A412" t="inlineStr">
        <is>
          <t>A 20017-2020</t>
        </is>
      </c>
      <c r="B412" s="1" t="n">
        <v>43942</v>
      </c>
      <c r="C412" s="1" t="n">
        <v>45843</v>
      </c>
      <c r="D412" t="inlineStr">
        <is>
          <t>SÖDERMANLANDS LÄN</t>
        </is>
      </c>
      <c r="E412" t="inlineStr">
        <is>
          <t>NYKÖPING</t>
        </is>
      </c>
      <c r="G412" t="n">
        <v>2</v>
      </c>
      <c r="H412" t="n">
        <v>1</v>
      </c>
      <c r="I412" t="n">
        <v>0</v>
      </c>
      <c r="J412" t="n">
        <v>0</v>
      </c>
      <c r="K412" t="n">
        <v>0</v>
      </c>
      <c r="L412" t="n">
        <v>0</v>
      </c>
      <c r="M412" t="n">
        <v>0</v>
      </c>
      <c r="N412" t="n">
        <v>0</v>
      </c>
      <c r="O412" t="n">
        <v>0</v>
      </c>
      <c r="P412" t="n">
        <v>0</v>
      </c>
      <c r="Q412" t="n">
        <v>1</v>
      </c>
      <c r="R412" s="2" t="inlineStr">
        <is>
          <t>Revlummer</t>
        </is>
      </c>
      <c r="S412">
        <f>HYPERLINK("https://klasma.github.io/Logging_0480/artfynd/A 20017-2020 artfynd.xlsx", "A 20017-2020")</f>
        <v/>
      </c>
      <c r="T412">
        <f>HYPERLINK("https://klasma.github.io/Logging_0480/kartor/A 20017-2020 karta.png", "A 20017-2020")</f>
        <v/>
      </c>
      <c r="V412">
        <f>HYPERLINK("https://klasma.github.io/Logging_0480/klagomål/A 20017-2020 FSC-klagomål.docx", "A 20017-2020")</f>
        <v/>
      </c>
      <c r="W412">
        <f>HYPERLINK("https://klasma.github.io/Logging_0480/klagomålsmail/A 20017-2020 FSC-klagomål mail.docx", "A 20017-2020")</f>
        <v/>
      </c>
      <c r="X412">
        <f>HYPERLINK("https://klasma.github.io/Logging_0480/tillsyn/A 20017-2020 tillsynsbegäran.docx", "A 20017-2020")</f>
        <v/>
      </c>
      <c r="Y412">
        <f>HYPERLINK("https://klasma.github.io/Logging_0480/tillsynsmail/A 20017-2020 tillsynsbegäran mail.docx", "A 20017-2020")</f>
        <v/>
      </c>
    </row>
    <row r="413" ht="15" customHeight="1">
      <c r="A413" t="inlineStr">
        <is>
          <t>A 20001-2020</t>
        </is>
      </c>
      <c r="B413" s="1" t="n">
        <v>43943</v>
      </c>
      <c r="C413" s="1" t="n">
        <v>45843</v>
      </c>
      <c r="D413" t="inlineStr">
        <is>
          <t>SÖDERMANLANDS LÄN</t>
        </is>
      </c>
      <c r="E413" t="inlineStr">
        <is>
          <t>FLEN</t>
        </is>
      </c>
      <c r="G413" t="n">
        <v>4.9</v>
      </c>
      <c r="H413" t="n">
        <v>1</v>
      </c>
      <c r="I413" t="n">
        <v>0</v>
      </c>
      <c r="J413" t="n">
        <v>0</v>
      </c>
      <c r="K413" t="n">
        <v>1</v>
      </c>
      <c r="L413" t="n">
        <v>0</v>
      </c>
      <c r="M413" t="n">
        <v>0</v>
      </c>
      <c r="N413" t="n">
        <v>0</v>
      </c>
      <c r="O413" t="n">
        <v>1</v>
      </c>
      <c r="P413" t="n">
        <v>1</v>
      </c>
      <c r="Q413" t="n">
        <v>1</v>
      </c>
      <c r="R413" s="2" t="inlineStr">
        <is>
          <t>Bombmurkla</t>
        </is>
      </c>
      <c r="S413">
        <f>HYPERLINK("https://klasma.github.io/Logging_0482/artfynd/A 20001-2020 artfynd.xlsx", "A 20001-2020")</f>
        <v/>
      </c>
      <c r="T413">
        <f>HYPERLINK("https://klasma.github.io/Logging_0482/kartor/A 20001-2020 karta.png", "A 20001-2020")</f>
        <v/>
      </c>
      <c r="V413">
        <f>HYPERLINK("https://klasma.github.io/Logging_0482/klagomål/A 20001-2020 FSC-klagomål.docx", "A 20001-2020")</f>
        <v/>
      </c>
      <c r="W413">
        <f>HYPERLINK("https://klasma.github.io/Logging_0482/klagomålsmail/A 20001-2020 FSC-klagomål mail.docx", "A 20001-2020")</f>
        <v/>
      </c>
      <c r="X413">
        <f>HYPERLINK("https://klasma.github.io/Logging_0482/tillsyn/A 20001-2020 tillsynsbegäran.docx", "A 20001-2020")</f>
        <v/>
      </c>
      <c r="Y413">
        <f>HYPERLINK("https://klasma.github.io/Logging_0482/tillsynsmail/A 20001-2020 tillsynsbegäran mail.docx", "A 20001-2020")</f>
        <v/>
      </c>
    </row>
    <row r="414" ht="15" customHeight="1">
      <c r="A414" t="inlineStr">
        <is>
          <t>A 20041-2020</t>
        </is>
      </c>
      <c r="B414" s="1" t="n">
        <v>43943</v>
      </c>
      <c r="C414" s="1" t="n">
        <v>45843</v>
      </c>
      <c r="D414" t="inlineStr">
        <is>
          <t>SÖDERMANLANDS LÄN</t>
        </is>
      </c>
      <c r="E414" t="inlineStr">
        <is>
          <t>STRÄNGNÄS</t>
        </is>
      </c>
      <c r="G414" t="n">
        <v>8.300000000000001</v>
      </c>
      <c r="H414" t="n">
        <v>1</v>
      </c>
      <c r="I414" t="n">
        <v>0</v>
      </c>
      <c r="J414" t="n">
        <v>1</v>
      </c>
      <c r="K414" t="n">
        <v>0</v>
      </c>
      <c r="L414" t="n">
        <v>0</v>
      </c>
      <c r="M414" t="n">
        <v>0</v>
      </c>
      <c r="N414" t="n">
        <v>0</v>
      </c>
      <c r="O414" t="n">
        <v>1</v>
      </c>
      <c r="P414" t="n">
        <v>0</v>
      </c>
      <c r="Q414" t="n">
        <v>1</v>
      </c>
      <c r="R414" s="2" t="inlineStr">
        <is>
          <t>Järpe</t>
        </is>
      </c>
      <c r="S414">
        <f>HYPERLINK("https://klasma.github.io/Logging_0486/artfynd/A 20041-2020 artfynd.xlsx", "A 20041-2020")</f>
        <v/>
      </c>
      <c r="T414">
        <f>HYPERLINK("https://klasma.github.io/Logging_0486/kartor/A 20041-2020 karta.png", "A 20041-2020")</f>
        <v/>
      </c>
      <c r="V414">
        <f>HYPERLINK("https://klasma.github.io/Logging_0486/klagomål/A 20041-2020 FSC-klagomål.docx", "A 20041-2020")</f>
        <v/>
      </c>
      <c r="W414">
        <f>HYPERLINK("https://klasma.github.io/Logging_0486/klagomålsmail/A 20041-2020 FSC-klagomål mail.docx", "A 20041-2020")</f>
        <v/>
      </c>
      <c r="X414">
        <f>HYPERLINK("https://klasma.github.io/Logging_0486/tillsyn/A 20041-2020 tillsynsbegäran.docx", "A 20041-2020")</f>
        <v/>
      </c>
      <c r="Y414">
        <f>HYPERLINK("https://klasma.github.io/Logging_0486/tillsynsmail/A 20041-2020 tillsynsbegäran mail.docx", "A 20041-2020")</f>
        <v/>
      </c>
      <c r="Z414">
        <f>HYPERLINK("https://klasma.github.io/Logging_0486/fåglar/A 20041-2020 prioriterade fågelarter.docx", "A 20041-2020")</f>
        <v/>
      </c>
    </row>
    <row r="415" ht="15" customHeight="1">
      <c r="A415" t="inlineStr">
        <is>
          <t>A 21704-2020</t>
        </is>
      </c>
      <c r="B415" s="1" t="n">
        <v>43957</v>
      </c>
      <c r="C415" s="1" t="n">
        <v>45843</v>
      </c>
      <c r="D415" t="inlineStr">
        <is>
          <t>SÖDERMANLANDS LÄN</t>
        </is>
      </c>
      <c r="E415" t="inlineStr">
        <is>
          <t>FLEN</t>
        </is>
      </c>
      <c r="G415" t="n">
        <v>2.6</v>
      </c>
      <c r="H415" t="n">
        <v>1</v>
      </c>
      <c r="I415" t="n">
        <v>0</v>
      </c>
      <c r="J415" t="n">
        <v>1</v>
      </c>
      <c r="K415" t="n">
        <v>0</v>
      </c>
      <c r="L415" t="n">
        <v>0</v>
      </c>
      <c r="M415" t="n">
        <v>0</v>
      </c>
      <c r="N415" t="n">
        <v>0</v>
      </c>
      <c r="O415" t="n">
        <v>1</v>
      </c>
      <c r="P415" t="n">
        <v>0</v>
      </c>
      <c r="Q415" t="n">
        <v>1</v>
      </c>
      <c r="R415" s="2" t="inlineStr">
        <is>
          <t>Spillkråka</t>
        </is>
      </c>
      <c r="S415">
        <f>HYPERLINK("https://klasma.github.io/Logging_0482/artfynd/A 21704-2020 artfynd.xlsx", "A 21704-2020")</f>
        <v/>
      </c>
      <c r="T415">
        <f>HYPERLINK("https://klasma.github.io/Logging_0482/kartor/A 21704-2020 karta.png", "A 21704-2020")</f>
        <v/>
      </c>
      <c r="V415">
        <f>HYPERLINK("https://klasma.github.io/Logging_0482/klagomål/A 21704-2020 FSC-klagomål.docx", "A 21704-2020")</f>
        <v/>
      </c>
      <c r="W415">
        <f>HYPERLINK("https://klasma.github.io/Logging_0482/klagomålsmail/A 21704-2020 FSC-klagomål mail.docx", "A 21704-2020")</f>
        <v/>
      </c>
      <c r="X415">
        <f>HYPERLINK("https://klasma.github.io/Logging_0482/tillsyn/A 21704-2020 tillsynsbegäran.docx", "A 21704-2020")</f>
        <v/>
      </c>
      <c r="Y415">
        <f>HYPERLINK("https://klasma.github.io/Logging_0482/tillsynsmail/A 21704-2020 tillsynsbegäran mail.docx", "A 21704-2020")</f>
        <v/>
      </c>
      <c r="Z415">
        <f>HYPERLINK("https://klasma.github.io/Logging_0482/fåglar/A 21704-2020 prioriterade fågelarter.docx", "A 21704-2020")</f>
        <v/>
      </c>
    </row>
    <row r="416" ht="15" customHeight="1">
      <c r="A416" t="inlineStr">
        <is>
          <t>A 21808-2020</t>
        </is>
      </c>
      <c r="B416" s="1" t="n">
        <v>43958</v>
      </c>
      <c r="C416" s="1" t="n">
        <v>45843</v>
      </c>
      <c r="D416" t="inlineStr">
        <is>
          <t>SÖDERMANLANDS LÄN</t>
        </is>
      </c>
      <c r="E416" t="inlineStr">
        <is>
          <t>KATRINEHOLM</t>
        </is>
      </c>
      <c r="G416" t="n">
        <v>3.5</v>
      </c>
      <c r="H416" t="n">
        <v>0</v>
      </c>
      <c r="I416" t="n">
        <v>1</v>
      </c>
      <c r="J416" t="n">
        <v>0</v>
      </c>
      <c r="K416" t="n">
        <v>0</v>
      </c>
      <c r="L416" t="n">
        <v>0</v>
      </c>
      <c r="M416" t="n">
        <v>0</v>
      </c>
      <c r="N416" t="n">
        <v>0</v>
      </c>
      <c r="O416" t="n">
        <v>0</v>
      </c>
      <c r="P416" t="n">
        <v>0</v>
      </c>
      <c r="Q416" t="n">
        <v>1</v>
      </c>
      <c r="R416" s="2" t="inlineStr">
        <is>
          <t>Blomkålssvamp</t>
        </is>
      </c>
      <c r="S416">
        <f>HYPERLINK("https://klasma.github.io/Logging_0483/artfynd/A 21808-2020 artfynd.xlsx", "A 21808-2020")</f>
        <v/>
      </c>
      <c r="T416">
        <f>HYPERLINK("https://klasma.github.io/Logging_0483/kartor/A 21808-2020 karta.png", "A 21808-2020")</f>
        <v/>
      </c>
      <c r="V416">
        <f>HYPERLINK("https://klasma.github.io/Logging_0483/klagomål/A 21808-2020 FSC-klagomål.docx", "A 21808-2020")</f>
        <v/>
      </c>
      <c r="W416">
        <f>HYPERLINK("https://klasma.github.io/Logging_0483/klagomålsmail/A 21808-2020 FSC-klagomål mail.docx", "A 21808-2020")</f>
        <v/>
      </c>
      <c r="X416">
        <f>HYPERLINK("https://klasma.github.io/Logging_0483/tillsyn/A 21808-2020 tillsynsbegäran.docx", "A 21808-2020")</f>
        <v/>
      </c>
      <c r="Y416">
        <f>HYPERLINK("https://klasma.github.io/Logging_0483/tillsynsmail/A 21808-2020 tillsynsbegäran mail.docx", "A 21808-2020")</f>
        <v/>
      </c>
    </row>
    <row r="417" ht="15" customHeight="1">
      <c r="A417" t="inlineStr">
        <is>
          <t>A 23201-2020</t>
        </is>
      </c>
      <c r="B417" s="1" t="n">
        <v>43964</v>
      </c>
      <c r="C417" s="1" t="n">
        <v>45843</v>
      </c>
      <c r="D417" t="inlineStr">
        <is>
          <t>SÖDERMANLANDS LÄN</t>
        </is>
      </c>
      <c r="E417" t="inlineStr">
        <is>
          <t>ESKILSTUNA</t>
        </is>
      </c>
      <c r="G417" t="n">
        <v>2.7</v>
      </c>
      <c r="H417" t="n">
        <v>0</v>
      </c>
      <c r="I417" t="n">
        <v>0</v>
      </c>
      <c r="J417" t="n">
        <v>1</v>
      </c>
      <c r="K417" t="n">
        <v>0</v>
      </c>
      <c r="L417" t="n">
        <v>0</v>
      </c>
      <c r="M417" t="n">
        <v>0</v>
      </c>
      <c r="N417" t="n">
        <v>0</v>
      </c>
      <c r="O417" t="n">
        <v>1</v>
      </c>
      <c r="P417" t="n">
        <v>0</v>
      </c>
      <c r="Q417" t="n">
        <v>1</v>
      </c>
      <c r="R417" s="2" t="inlineStr">
        <is>
          <t>Krusfrö</t>
        </is>
      </c>
      <c r="S417">
        <f>HYPERLINK("https://klasma.github.io/Logging_0484/artfynd/A 23201-2020 artfynd.xlsx", "A 23201-2020")</f>
        <v/>
      </c>
      <c r="T417">
        <f>HYPERLINK("https://klasma.github.io/Logging_0484/kartor/A 23201-2020 karta.png", "A 23201-2020")</f>
        <v/>
      </c>
      <c r="V417">
        <f>HYPERLINK("https://klasma.github.io/Logging_0484/klagomål/A 23201-2020 FSC-klagomål.docx", "A 23201-2020")</f>
        <v/>
      </c>
      <c r="W417">
        <f>HYPERLINK("https://klasma.github.io/Logging_0484/klagomålsmail/A 23201-2020 FSC-klagomål mail.docx", "A 23201-2020")</f>
        <v/>
      </c>
      <c r="X417">
        <f>HYPERLINK("https://klasma.github.io/Logging_0484/tillsyn/A 23201-2020 tillsynsbegäran.docx", "A 23201-2020")</f>
        <v/>
      </c>
      <c r="Y417">
        <f>HYPERLINK("https://klasma.github.io/Logging_0484/tillsynsmail/A 23201-2020 tillsynsbegäran mail.docx", "A 23201-2020")</f>
        <v/>
      </c>
    </row>
    <row r="418" ht="15" customHeight="1">
      <c r="A418" t="inlineStr">
        <is>
          <t>A 23468-2020</t>
        </is>
      </c>
      <c r="B418" s="1" t="n">
        <v>43966</v>
      </c>
      <c r="C418" s="1" t="n">
        <v>45843</v>
      </c>
      <c r="D418" t="inlineStr">
        <is>
          <t>SÖDERMANLANDS LÄN</t>
        </is>
      </c>
      <c r="E418" t="inlineStr">
        <is>
          <t>ESKILSTUNA</t>
        </is>
      </c>
      <c r="G418" t="n">
        <v>6.2</v>
      </c>
      <c r="H418" t="n">
        <v>1</v>
      </c>
      <c r="I418" t="n">
        <v>0</v>
      </c>
      <c r="J418" t="n">
        <v>1</v>
      </c>
      <c r="K418" t="n">
        <v>0</v>
      </c>
      <c r="L418" t="n">
        <v>0</v>
      </c>
      <c r="M418" t="n">
        <v>0</v>
      </c>
      <c r="N418" t="n">
        <v>0</v>
      </c>
      <c r="O418" t="n">
        <v>1</v>
      </c>
      <c r="P418" t="n">
        <v>0</v>
      </c>
      <c r="Q418" t="n">
        <v>1</v>
      </c>
      <c r="R418" s="2" t="inlineStr">
        <is>
          <t>Talltita</t>
        </is>
      </c>
      <c r="S418">
        <f>HYPERLINK("https://klasma.github.io/Logging_0484/artfynd/A 23468-2020 artfynd.xlsx", "A 23468-2020")</f>
        <v/>
      </c>
      <c r="T418">
        <f>HYPERLINK("https://klasma.github.io/Logging_0484/kartor/A 23468-2020 karta.png", "A 23468-2020")</f>
        <v/>
      </c>
      <c r="V418">
        <f>HYPERLINK("https://klasma.github.io/Logging_0484/klagomål/A 23468-2020 FSC-klagomål.docx", "A 23468-2020")</f>
        <v/>
      </c>
      <c r="W418">
        <f>HYPERLINK("https://klasma.github.io/Logging_0484/klagomålsmail/A 23468-2020 FSC-klagomål mail.docx", "A 23468-2020")</f>
        <v/>
      </c>
      <c r="X418">
        <f>HYPERLINK("https://klasma.github.io/Logging_0484/tillsyn/A 23468-2020 tillsynsbegäran.docx", "A 23468-2020")</f>
        <v/>
      </c>
      <c r="Y418">
        <f>HYPERLINK("https://klasma.github.io/Logging_0484/tillsynsmail/A 23468-2020 tillsynsbegäran mail.docx", "A 23468-2020")</f>
        <v/>
      </c>
      <c r="Z418">
        <f>HYPERLINK("https://klasma.github.io/Logging_0484/fåglar/A 23468-2020 prioriterade fågelarter.docx", "A 23468-2020")</f>
        <v/>
      </c>
    </row>
    <row r="419" ht="15" customHeight="1">
      <c r="A419" t="inlineStr">
        <is>
          <t>A 23515-2020</t>
        </is>
      </c>
      <c r="B419" s="1" t="n">
        <v>43966</v>
      </c>
      <c r="C419" s="1" t="n">
        <v>45843</v>
      </c>
      <c r="D419" t="inlineStr">
        <is>
          <t>SÖDERMANLANDS LÄN</t>
        </is>
      </c>
      <c r="E419" t="inlineStr">
        <is>
          <t>STRÄNGNÄS</t>
        </is>
      </c>
      <c r="G419" t="n">
        <v>2.2</v>
      </c>
      <c r="H419" t="n">
        <v>0</v>
      </c>
      <c r="I419" t="n">
        <v>0</v>
      </c>
      <c r="J419" t="n">
        <v>1</v>
      </c>
      <c r="K419" t="n">
        <v>0</v>
      </c>
      <c r="L419" t="n">
        <v>0</v>
      </c>
      <c r="M419" t="n">
        <v>0</v>
      </c>
      <c r="N419" t="n">
        <v>0</v>
      </c>
      <c r="O419" t="n">
        <v>1</v>
      </c>
      <c r="P419" t="n">
        <v>0</v>
      </c>
      <c r="Q419" t="n">
        <v>1</v>
      </c>
      <c r="R419" s="2" t="inlineStr">
        <is>
          <t>Gullklöver</t>
        </is>
      </c>
      <c r="S419">
        <f>HYPERLINK("https://klasma.github.io/Logging_0486/artfynd/A 23515-2020 artfynd.xlsx", "A 23515-2020")</f>
        <v/>
      </c>
      <c r="T419">
        <f>HYPERLINK("https://klasma.github.io/Logging_0486/kartor/A 23515-2020 karta.png", "A 23515-2020")</f>
        <v/>
      </c>
      <c r="V419">
        <f>HYPERLINK("https://klasma.github.io/Logging_0486/klagomål/A 23515-2020 FSC-klagomål.docx", "A 23515-2020")</f>
        <v/>
      </c>
      <c r="W419">
        <f>HYPERLINK("https://klasma.github.io/Logging_0486/klagomålsmail/A 23515-2020 FSC-klagomål mail.docx", "A 23515-2020")</f>
        <v/>
      </c>
      <c r="X419">
        <f>HYPERLINK("https://klasma.github.io/Logging_0486/tillsyn/A 23515-2020 tillsynsbegäran.docx", "A 23515-2020")</f>
        <v/>
      </c>
      <c r="Y419">
        <f>HYPERLINK("https://klasma.github.io/Logging_0486/tillsynsmail/A 23515-2020 tillsynsbegäran mail.docx", "A 23515-2020")</f>
        <v/>
      </c>
    </row>
    <row r="420" ht="15" customHeight="1">
      <c r="A420" t="inlineStr">
        <is>
          <t>A 25802-2020</t>
        </is>
      </c>
      <c r="B420" s="1" t="n">
        <v>43983</v>
      </c>
      <c r="C420" s="1" t="n">
        <v>45843</v>
      </c>
      <c r="D420" t="inlineStr">
        <is>
          <t>SÖDERMANLANDS LÄN</t>
        </is>
      </c>
      <c r="E420" t="inlineStr">
        <is>
          <t>NYKÖPING</t>
        </is>
      </c>
      <c r="F420" t="inlineStr">
        <is>
          <t>Kommuner</t>
        </is>
      </c>
      <c r="G420" t="n">
        <v>3.4</v>
      </c>
      <c r="H420" t="n">
        <v>0</v>
      </c>
      <c r="I420" t="n">
        <v>1</v>
      </c>
      <c r="J420" t="n">
        <v>0</v>
      </c>
      <c r="K420" t="n">
        <v>0</v>
      </c>
      <c r="L420" t="n">
        <v>0</v>
      </c>
      <c r="M420" t="n">
        <v>0</v>
      </c>
      <c r="N420" t="n">
        <v>0</v>
      </c>
      <c r="O420" t="n">
        <v>0</v>
      </c>
      <c r="P420" t="n">
        <v>0</v>
      </c>
      <c r="Q420" t="n">
        <v>1</v>
      </c>
      <c r="R420" s="2" t="inlineStr">
        <is>
          <t>Skarp dropptaggsvamp</t>
        </is>
      </c>
      <c r="S420">
        <f>HYPERLINK("https://klasma.github.io/Logging_0480/artfynd/A 25802-2020 artfynd.xlsx", "A 25802-2020")</f>
        <v/>
      </c>
      <c r="T420">
        <f>HYPERLINK("https://klasma.github.io/Logging_0480/kartor/A 25802-2020 karta.png", "A 25802-2020")</f>
        <v/>
      </c>
      <c r="V420">
        <f>HYPERLINK("https://klasma.github.io/Logging_0480/klagomål/A 25802-2020 FSC-klagomål.docx", "A 25802-2020")</f>
        <v/>
      </c>
      <c r="W420">
        <f>HYPERLINK("https://klasma.github.io/Logging_0480/klagomålsmail/A 25802-2020 FSC-klagomål mail.docx", "A 25802-2020")</f>
        <v/>
      </c>
      <c r="X420">
        <f>HYPERLINK("https://klasma.github.io/Logging_0480/tillsyn/A 25802-2020 tillsynsbegäran.docx", "A 25802-2020")</f>
        <v/>
      </c>
      <c r="Y420">
        <f>HYPERLINK("https://klasma.github.io/Logging_0480/tillsynsmail/A 25802-2020 tillsynsbegäran mail.docx", "A 25802-2020")</f>
        <v/>
      </c>
    </row>
    <row r="421" ht="15" customHeight="1">
      <c r="A421" t="inlineStr">
        <is>
          <t>A 28149-2020</t>
        </is>
      </c>
      <c r="B421" s="1" t="n">
        <v>43997</v>
      </c>
      <c r="C421" s="1" t="n">
        <v>45843</v>
      </c>
      <c r="D421" t="inlineStr">
        <is>
          <t>SÖDERMANLANDS LÄN</t>
        </is>
      </c>
      <c r="E421" t="inlineStr">
        <is>
          <t>TROSA</t>
        </is>
      </c>
      <c r="G421" t="n">
        <v>1</v>
      </c>
      <c r="H421" t="n">
        <v>0</v>
      </c>
      <c r="I421" t="n">
        <v>1</v>
      </c>
      <c r="J421" t="n">
        <v>0</v>
      </c>
      <c r="K421" t="n">
        <v>0</v>
      </c>
      <c r="L421" t="n">
        <v>0</v>
      </c>
      <c r="M421" t="n">
        <v>0</v>
      </c>
      <c r="N421" t="n">
        <v>0</v>
      </c>
      <c r="O421" t="n">
        <v>0</v>
      </c>
      <c r="P421" t="n">
        <v>0</v>
      </c>
      <c r="Q421" t="n">
        <v>1</v>
      </c>
      <c r="R421" s="2" t="inlineStr">
        <is>
          <t>Trubbfjädermossa</t>
        </is>
      </c>
      <c r="S421">
        <f>HYPERLINK("https://klasma.github.io/Logging_0488/artfynd/A 28149-2020 artfynd.xlsx", "A 28149-2020")</f>
        <v/>
      </c>
      <c r="T421">
        <f>HYPERLINK("https://klasma.github.io/Logging_0488/kartor/A 28149-2020 karta.png", "A 28149-2020")</f>
        <v/>
      </c>
      <c r="V421">
        <f>HYPERLINK("https://klasma.github.io/Logging_0488/klagomål/A 28149-2020 FSC-klagomål.docx", "A 28149-2020")</f>
        <v/>
      </c>
      <c r="W421">
        <f>HYPERLINK("https://klasma.github.io/Logging_0488/klagomålsmail/A 28149-2020 FSC-klagomål mail.docx", "A 28149-2020")</f>
        <v/>
      </c>
      <c r="X421">
        <f>HYPERLINK("https://klasma.github.io/Logging_0488/tillsyn/A 28149-2020 tillsynsbegäran.docx", "A 28149-2020")</f>
        <v/>
      </c>
      <c r="Y421">
        <f>HYPERLINK("https://klasma.github.io/Logging_0488/tillsynsmail/A 28149-2020 tillsynsbegäran mail.docx", "A 28149-2020")</f>
        <v/>
      </c>
    </row>
    <row r="422" ht="15" customHeight="1">
      <c r="A422" t="inlineStr">
        <is>
          <t>A 29400-2020</t>
        </is>
      </c>
      <c r="B422" s="1" t="n">
        <v>44004</v>
      </c>
      <c r="C422" s="1" t="n">
        <v>45843</v>
      </c>
      <c r="D422" t="inlineStr">
        <is>
          <t>SÖDERMANLANDS LÄN</t>
        </is>
      </c>
      <c r="E422" t="inlineStr">
        <is>
          <t>NYKÖPING</t>
        </is>
      </c>
      <c r="G422" t="n">
        <v>7.7</v>
      </c>
      <c r="H422" t="n">
        <v>1</v>
      </c>
      <c r="I422" t="n">
        <v>0</v>
      </c>
      <c r="J422" t="n">
        <v>0</v>
      </c>
      <c r="K422" t="n">
        <v>0</v>
      </c>
      <c r="L422" t="n">
        <v>0</v>
      </c>
      <c r="M422" t="n">
        <v>0</v>
      </c>
      <c r="N422" t="n">
        <v>0</v>
      </c>
      <c r="O422" t="n">
        <v>0</v>
      </c>
      <c r="P422" t="n">
        <v>0</v>
      </c>
      <c r="Q422" t="n">
        <v>1</v>
      </c>
      <c r="R422" s="2" t="inlineStr">
        <is>
          <t>Revlummer</t>
        </is>
      </c>
      <c r="S422">
        <f>HYPERLINK("https://klasma.github.io/Logging_0480/artfynd/A 29400-2020 artfynd.xlsx", "A 29400-2020")</f>
        <v/>
      </c>
      <c r="T422">
        <f>HYPERLINK("https://klasma.github.io/Logging_0480/kartor/A 29400-2020 karta.png", "A 29400-2020")</f>
        <v/>
      </c>
      <c r="V422">
        <f>HYPERLINK("https://klasma.github.io/Logging_0480/klagomål/A 29400-2020 FSC-klagomål.docx", "A 29400-2020")</f>
        <v/>
      </c>
      <c r="W422">
        <f>HYPERLINK("https://klasma.github.io/Logging_0480/klagomålsmail/A 29400-2020 FSC-klagomål mail.docx", "A 29400-2020")</f>
        <v/>
      </c>
      <c r="X422">
        <f>HYPERLINK("https://klasma.github.io/Logging_0480/tillsyn/A 29400-2020 tillsynsbegäran.docx", "A 29400-2020")</f>
        <v/>
      </c>
      <c r="Y422">
        <f>HYPERLINK("https://klasma.github.io/Logging_0480/tillsynsmail/A 29400-2020 tillsynsbegäran mail.docx", "A 29400-2020")</f>
        <v/>
      </c>
    </row>
    <row r="423" ht="15" customHeight="1">
      <c r="A423" t="inlineStr">
        <is>
          <t>A 29320-2020</t>
        </is>
      </c>
      <c r="B423" s="1" t="n">
        <v>44004</v>
      </c>
      <c r="C423" s="1" t="n">
        <v>45843</v>
      </c>
      <c r="D423" t="inlineStr">
        <is>
          <t>SÖDERMANLANDS LÄN</t>
        </is>
      </c>
      <c r="E423" t="inlineStr">
        <is>
          <t>NYKÖPING</t>
        </is>
      </c>
      <c r="G423" t="n">
        <v>15.2</v>
      </c>
      <c r="H423" t="n">
        <v>1</v>
      </c>
      <c r="I423" t="n">
        <v>0</v>
      </c>
      <c r="J423" t="n">
        <v>1</v>
      </c>
      <c r="K423" t="n">
        <v>0</v>
      </c>
      <c r="L423" t="n">
        <v>0</v>
      </c>
      <c r="M423" t="n">
        <v>0</v>
      </c>
      <c r="N423" t="n">
        <v>0</v>
      </c>
      <c r="O423" t="n">
        <v>1</v>
      </c>
      <c r="P423" t="n">
        <v>0</v>
      </c>
      <c r="Q423" t="n">
        <v>1</v>
      </c>
      <c r="R423" s="2" t="inlineStr">
        <is>
          <t>Buskskvätta</t>
        </is>
      </c>
      <c r="S423">
        <f>HYPERLINK("https://klasma.github.io/Logging_0480/artfynd/A 29320-2020 artfynd.xlsx", "A 29320-2020")</f>
        <v/>
      </c>
      <c r="T423">
        <f>HYPERLINK("https://klasma.github.io/Logging_0480/kartor/A 29320-2020 karta.png", "A 29320-2020")</f>
        <v/>
      </c>
      <c r="V423">
        <f>HYPERLINK("https://klasma.github.io/Logging_0480/klagomål/A 29320-2020 FSC-klagomål.docx", "A 29320-2020")</f>
        <v/>
      </c>
      <c r="W423">
        <f>HYPERLINK("https://klasma.github.io/Logging_0480/klagomålsmail/A 29320-2020 FSC-klagomål mail.docx", "A 29320-2020")</f>
        <v/>
      </c>
      <c r="X423">
        <f>HYPERLINK("https://klasma.github.io/Logging_0480/tillsyn/A 29320-2020 tillsynsbegäran.docx", "A 29320-2020")</f>
        <v/>
      </c>
      <c r="Y423">
        <f>HYPERLINK("https://klasma.github.io/Logging_0480/tillsynsmail/A 29320-2020 tillsynsbegäran mail.docx", "A 29320-2020")</f>
        <v/>
      </c>
      <c r="Z423">
        <f>HYPERLINK("https://klasma.github.io/Logging_0480/fåglar/A 29320-2020 prioriterade fågelarter.docx", "A 29320-2020")</f>
        <v/>
      </c>
    </row>
    <row r="424" ht="15" customHeight="1">
      <c r="A424" t="inlineStr">
        <is>
          <t>A 29402-2020</t>
        </is>
      </c>
      <c r="B424" s="1" t="n">
        <v>44004</v>
      </c>
      <c r="C424" s="1" t="n">
        <v>45843</v>
      </c>
      <c r="D424" t="inlineStr">
        <is>
          <t>SÖDERMANLANDS LÄN</t>
        </is>
      </c>
      <c r="E424" t="inlineStr">
        <is>
          <t>NYKÖPING</t>
        </is>
      </c>
      <c r="G424" t="n">
        <v>1.7</v>
      </c>
      <c r="H424" t="n">
        <v>1</v>
      </c>
      <c r="I424" t="n">
        <v>0</v>
      </c>
      <c r="J424" t="n">
        <v>1</v>
      </c>
      <c r="K424" t="n">
        <v>0</v>
      </c>
      <c r="L424" t="n">
        <v>0</v>
      </c>
      <c r="M424" t="n">
        <v>0</v>
      </c>
      <c r="N424" t="n">
        <v>0</v>
      </c>
      <c r="O424" t="n">
        <v>1</v>
      </c>
      <c r="P424" t="n">
        <v>0</v>
      </c>
      <c r="Q424" t="n">
        <v>1</v>
      </c>
      <c r="R424" s="2" t="inlineStr">
        <is>
          <t>Flodsångare</t>
        </is>
      </c>
      <c r="S424">
        <f>HYPERLINK("https://klasma.github.io/Logging_0480/artfynd/A 29402-2020 artfynd.xlsx", "A 29402-2020")</f>
        <v/>
      </c>
      <c r="T424">
        <f>HYPERLINK("https://klasma.github.io/Logging_0480/kartor/A 29402-2020 karta.png", "A 29402-2020")</f>
        <v/>
      </c>
      <c r="V424">
        <f>HYPERLINK("https://klasma.github.io/Logging_0480/klagomål/A 29402-2020 FSC-klagomål.docx", "A 29402-2020")</f>
        <v/>
      </c>
      <c r="W424">
        <f>HYPERLINK("https://klasma.github.io/Logging_0480/klagomålsmail/A 29402-2020 FSC-klagomål mail.docx", "A 29402-2020")</f>
        <v/>
      </c>
      <c r="X424">
        <f>HYPERLINK("https://klasma.github.io/Logging_0480/tillsyn/A 29402-2020 tillsynsbegäran.docx", "A 29402-2020")</f>
        <v/>
      </c>
      <c r="Y424">
        <f>HYPERLINK("https://klasma.github.io/Logging_0480/tillsynsmail/A 29402-2020 tillsynsbegäran mail.docx", "A 29402-2020")</f>
        <v/>
      </c>
    </row>
    <row r="425" ht="15" customHeight="1">
      <c r="A425" t="inlineStr">
        <is>
          <t>A 30887-2020</t>
        </is>
      </c>
      <c r="B425" s="1" t="n">
        <v>44008</v>
      </c>
      <c r="C425" s="1" t="n">
        <v>45843</v>
      </c>
      <c r="D425" t="inlineStr">
        <is>
          <t>SÖDERMANLANDS LÄN</t>
        </is>
      </c>
      <c r="E425" t="inlineStr">
        <is>
          <t>NYKÖPING</t>
        </is>
      </c>
      <c r="F425" t="inlineStr">
        <is>
          <t>Kommuner</t>
        </is>
      </c>
      <c r="G425" t="n">
        <v>3.2</v>
      </c>
      <c r="H425" t="n">
        <v>0</v>
      </c>
      <c r="I425" t="n">
        <v>0</v>
      </c>
      <c r="J425" t="n">
        <v>1</v>
      </c>
      <c r="K425" t="n">
        <v>0</v>
      </c>
      <c r="L425" t="n">
        <v>0</v>
      </c>
      <c r="M425" t="n">
        <v>0</v>
      </c>
      <c r="N425" t="n">
        <v>0</v>
      </c>
      <c r="O425" t="n">
        <v>1</v>
      </c>
      <c r="P425" t="n">
        <v>0</v>
      </c>
      <c r="Q425" t="n">
        <v>1</v>
      </c>
      <c r="R425" s="2" t="inlineStr">
        <is>
          <t>Tallticka</t>
        </is>
      </c>
      <c r="S425">
        <f>HYPERLINK("https://klasma.github.io/Logging_0480/artfynd/A 30887-2020 artfynd.xlsx", "A 30887-2020")</f>
        <v/>
      </c>
      <c r="T425">
        <f>HYPERLINK("https://klasma.github.io/Logging_0480/kartor/A 30887-2020 karta.png", "A 30887-2020")</f>
        <v/>
      </c>
      <c r="V425">
        <f>HYPERLINK("https://klasma.github.io/Logging_0480/klagomål/A 30887-2020 FSC-klagomål.docx", "A 30887-2020")</f>
        <v/>
      </c>
      <c r="W425">
        <f>HYPERLINK("https://klasma.github.io/Logging_0480/klagomålsmail/A 30887-2020 FSC-klagomål mail.docx", "A 30887-2020")</f>
        <v/>
      </c>
      <c r="X425">
        <f>HYPERLINK("https://klasma.github.io/Logging_0480/tillsyn/A 30887-2020 tillsynsbegäran.docx", "A 30887-2020")</f>
        <v/>
      </c>
      <c r="Y425">
        <f>HYPERLINK("https://klasma.github.io/Logging_0480/tillsynsmail/A 30887-2020 tillsynsbegäran mail.docx", "A 30887-2020")</f>
        <v/>
      </c>
    </row>
    <row r="426" ht="15" customHeight="1">
      <c r="A426" t="inlineStr">
        <is>
          <t>A 31870-2020</t>
        </is>
      </c>
      <c r="B426" s="1" t="n">
        <v>44014</v>
      </c>
      <c r="C426" s="1" t="n">
        <v>45843</v>
      </c>
      <c r="D426" t="inlineStr">
        <is>
          <t>SÖDERMANLANDS LÄN</t>
        </is>
      </c>
      <c r="E426" t="inlineStr">
        <is>
          <t>FLEN</t>
        </is>
      </c>
      <c r="F426" t="inlineStr">
        <is>
          <t>Övriga statliga verk och myndigheter</t>
        </is>
      </c>
      <c r="G426" t="n">
        <v>10.1</v>
      </c>
      <c r="H426" t="n">
        <v>1</v>
      </c>
      <c r="I426" t="n">
        <v>0</v>
      </c>
      <c r="J426" t="n">
        <v>0</v>
      </c>
      <c r="K426" t="n">
        <v>1</v>
      </c>
      <c r="L426" t="n">
        <v>0</v>
      </c>
      <c r="M426" t="n">
        <v>0</v>
      </c>
      <c r="N426" t="n">
        <v>0</v>
      </c>
      <c r="O426" t="n">
        <v>1</v>
      </c>
      <c r="P426" t="n">
        <v>1</v>
      </c>
      <c r="Q426" t="n">
        <v>1</v>
      </c>
      <c r="R426" s="2" t="inlineStr">
        <is>
          <t>Mellanlummer</t>
        </is>
      </c>
      <c r="S426">
        <f>HYPERLINK("https://klasma.github.io/Logging_0482/artfynd/A 31870-2020 artfynd.xlsx", "A 31870-2020")</f>
        <v/>
      </c>
      <c r="T426">
        <f>HYPERLINK("https://klasma.github.io/Logging_0482/kartor/A 31870-2020 karta.png", "A 31870-2020")</f>
        <v/>
      </c>
      <c r="V426">
        <f>HYPERLINK("https://klasma.github.io/Logging_0482/klagomål/A 31870-2020 FSC-klagomål.docx", "A 31870-2020")</f>
        <v/>
      </c>
      <c r="W426">
        <f>HYPERLINK("https://klasma.github.io/Logging_0482/klagomålsmail/A 31870-2020 FSC-klagomål mail.docx", "A 31870-2020")</f>
        <v/>
      </c>
      <c r="X426">
        <f>HYPERLINK("https://klasma.github.io/Logging_0482/tillsyn/A 31870-2020 tillsynsbegäran.docx", "A 31870-2020")</f>
        <v/>
      </c>
      <c r="Y426">
        <f>HYPERLINK("https://klasma.github.io/Logging_0482/tillsynsmail/A 31870-2020 tillsynsbegäran mail.docx", "A 31870-2020")</f>
        <v/>
      </c>
    </row>
    <row r="427" ht="15" customHeight="1">
      <c r="A427" t="inlineStr">
        <is>
          <t>A 35106-2020</t>
        </is>
      </c>
      <c r="B427" s="1" t="n">
        <v>44040</v>
      </c>
      <c r="C427" s="1" t="n">
        <v>45843</v>
      </c>
      <c r="D427" t="inlineStr">
        <is>
          <t>SÖDERMANLANDS LÄN</t>
        </is>
      </c>
      <c r="E427" t="inlineStr">
        <is>
          <t>TROSA</t>
        </is>
      </c>
      <c r="G427" t="n">
        <v>2.3</v>
      </c>
      <c r="H427" t="n">
        <v>0</v>
      </c>
      <c r="I427" t="n">
        <v>0</v>
      </c>
      <c r="J427" t="n">
        <v>0</v>
      </c>
      <c r="K427" t="n">
        <v>0</v>
      </c>
      <c r="L427" t="n">
        <v>1</v>
      </c>
      <c r="M427" t="n">
        <v>0</v>
      </c>
      <c r="N427" t="n">
        <v>0</v>
      </c>
      <c r="O427" t="n">
        <v>1</v>
      </c>
      <c r="P427" t="n">
        <v>1</v>
      </c>
      <c r="Q427" t="n">
        <v>1</v>
      </c>
      <c r="R427" s="2" t="inlineStr">
        <is>
          <t>Stor bockrot</t>
        </is>
      </c>
      <c r="S427">
        <f>HYPERLINK("https://klasma.github.io/Logging_0488/artfynd/A 35106-2020 artfynd.xlsx", "A 35106-2020")</f>
        <v/>
      </c>
      <c r="T427">
        <f>HYPERLINK("https://klasma.github.io/Logging_0488/kartor/A 35106-2020 karta.png", "A 35106-2020")</f>
        <v/>
      </c>
      <c r="V427">
        <f>HYPERLINK("https://klasma.github.io/Logging_0488/klagomål/A 35106-2020 FSC-klagomål.docx", "A 35106-2020")</f>
        <v/>
      </c>
      <c r="W427">
        <f>HYPERLINK("https://klasma.github.io/Logging_0488/klagomålsmail/A 35106-2020 FSC-klagomål mail.docx", "A 35106-2020")</f>
        <v/>
      </c>
      <c r="X427">
        <f>HYPERLINK("https://klasma.github.io/Logging_0488/tillsyn/A 35106-2020 tillsynsbegäran.docx", "A 35106-2020")</f>
        <v/>
      </c>
      <c r="Y427">
        <f>HYPERLINK("https://klasma.github.io/Logging_0488/tillsynsmail/A 35106-2020 tillsynsbegäran mail.docx", "A 35106-2020")</f>
        <v/>
      </c>
    </row>
    <row r="428" ht="15" customHeight="1">
      <c r="A428" t="inlineStr">
        <is>
          <t>A 38423-2020</t>
        </is>
      </c>
      <c r="B428" s="1" t="n">
        <v>44060</v>
      </c>
      <c r="C428" s="1" t="n">
        <v>45843</v>
      </c>
      <c r="D428" t="inlineStr">
        <is>
          <t>SÖDERMANLANDS LÄN</t>
        </is>
      </c>
      <c r="E428" t="inlineStr">
        <is>
          <t>ESKILSTUNA</t>
        </is>
      </c>
      <c r="G428" t="n">
        <v>1.1</v>
      </c>
      <c r="H428" t="n">
        <v>0</v>
      </c>
      <c r="I428" t="n">
        <v>1</v>
      </c>
      <c r="J428" t="n">
        <v>0</v>
      </c>
      <c r="K428" t="n">
        <v>0</v>
      </c>
      <c r="L428" t="n">
        <v>0</v>
      </c>
      <c r="M428" t="n">
        <v>0</v>
      </c>
      <c r="N428" t="n">
        <v>0</v>
      </c>
      <c r="O428" t="n">
        <v>0</v>
      </c>
      <c r="P428" t="n">
        <v>0</v>
      </c>
      <c r="Q428" t="n">
        <v>1</v>
      </c>
      <c r="R428" s="2" t="inlineStr">
        <is>
          <t>Svart trolldruva</t>
        </is>
      </c>
      <c r="S428">
        <f>HYPERLINK("https://klasma.github.io/Logging_0484/artfynd/A 38423-2020 artfynd.xlsx", "A 38423-2020")</f>
        <v/>
      </c>
      <c r="T428">
        <f>HYPERLINK("https://klasma.github.io/Logging_0484/kartor/A 38423-2020 karta.png", "A 38423-2020")</f>
        <v/>
      </c>
      <c r="V428">
        <f>HYPERLINK("https://klasma.github.io/Logging_0484/klagomål/A 38423-2020 FSC-klagomål.docx", "A 38423-2020")</f>
        <v/>
      </c>
      <c r="W428">
        <f>HYPERLINK("https://klasma.github.io/Logging_0484/klagomålsmail/A 38423-2020 FSC-klagomål mail.docx", "A 38423-2020")</f>
        <v/>
      </c>
      <c r="X428">
        <f>HYPERLINK("https://klasma.github.io/Logging_0484/tillsyn/A 38423-2020 tillsynsbegäran.docx", "A 38423-2020")</f>
        <v/>
      </c>
      <c r="Y428">
        <f>HYPERLINK("https://klasma.github.io/Logging_0484/tillsynsmail/A 38423-2020 tillsynsbegäran mail.docx", "A 38423-2020")</f>
        <v/>
      </c>
    </row>
    <row r="429" ht="15" customHeight="1">
      <c r="A429" t="inlineStr">
        <is>
          <t>A 44227-2020</t>
        </is>
      </c>
      <c r="B429" s="1" t="n">
        <v>44084</v>
      </c>
      <c r="C429" s="1" t="n">
        <v>45843</v>
      </c>
      <c r="D429" t="inlineStr">
        <is>
          <t>SÖDERMANLANDS LÄN</t>
        </is>
      </c>
      <c r="E429" t="inlineStr">
        <is>
          <t>NYKÖPING</t>
        </is>
      </c>
      <c r="F429" t="inlineStr">
        <is>
          <t>Kommuner</t>
        </is>
      </c>
      <c r="G429" t="n">
        <v>3.8</v>
      </c>
      <c r="H429" t="n">
        <v>1</v>
      </c>
      <c r="I429" t="n">
        <v>1</v>
      </c>
      <c r="J429" t="n">
        <v>0</v>
      </c>
      <c r="K429" t="n">
        <v>0</v>
      </c>
      <c r="L429" t="n">
        <v>0</v>
      </c>
      <c r="M429" t="n">
        <v>0</v>
      </c>
      <c r="N429" t="n">
        <v>0</v>
      </c>
      <c r="O429" t="n">
        <v>0</v>
      </c>
      <c r="P429" t="n">
        <v>0</v>
      </c>
      <c r="Q429" t="n">
        <v>1</v>
      </c>
      <c r="R429" s="2" t="inlineStr">
        <is>
          <t>Skogsknipprot</t>
        </is>
      </c>
      <c r="S429">
        <f>HYPERLINK("https://klasma.github.io/Logging_0480/artfynd/A 44227-2020 artfynd.xlsx", "A 44227-2020")</f>
        <v/>
      </c>
      <c r="T429">
        <f>HYPERLINK("https://klasma.github.io/Logging_0480/kartor/A 44227-2020 karta.png", "A 44227-2020")</f>
        <v/>
      </c>
      <c r="V429">
        <f>HYPERLINK("https://klasma.github.io/Logging_0480/klagomål/A 44227-2020 FSC-klagomål.docx", "A 44227-2020")</f>
        <v/>
      </c>
      <c r="W429">
        <f>HYPERLINK("https://klasma.github.io/Logging_0480/klagomålsmail/A 44227-2020 FSC-klagomål mail.docx", "A 44227-2020")</f>
        <v/>
      </c>
      <c r="X429">
        <f>HYPERLINK("https://klasma.github.io/Logging_0480/tillsyn/A 44227-2020 tillsynsbegäran.docx", "A 44227-2020")</f>
        <v/>
      </c>
      <c r="Y429">
        <f>HYPERLINK("https://klasma.github.io/Logging_0480/tillsynsmail/A 44227-2020 tillsynsbegäran mail.docx", "A 44227-2020")</f>
        <v/>
      </c>
    </row>
    <row r="430" ht="15" customHeight="1">
      <c r="A430" t="inlineStr">
        <is>
          <t>A 47989-2020</t>
        </is>
      </c>
      <c r="B430" s="1" t="n">
        <v>44099</v>
      </c>
      <c r="C430" s="1" t="n">
        <v>45843</v>
      </c>
      <c r="D430" t="inlineStr">
        <is>
          <t>SÖDERMANLANDS LÄN</t>
        </is>
      </c>
      <c r="E430" t="inlineStr">
        <is>
          <t>KATRINEHOLM</t>
        </is>
      </c>
      <c r="F430" t="inlineStr">
        <is>
          <t>Övriga statliga verk och myndigheter</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HYPERLINK("https://klasma.github.io/Logging_0483/artfynd/A 47989-2020 artfynd.xlsx", "A 47989-2020")</f>
        <v/>
      </c>
      <c r="T430">
        <f>HYPERLINK("https://klasma.github.io/Logging_0483/kartor/A 47989-2020 karta.png", "A 47989-2020")</f>
        <v/>
      </c>
      <c r="V430">
        <f>HYPERLINK("https://klasma.github.io/Logging_0483/klagomål/A 47989-2020 FSC-klagomål.docx", "A 47989-2020")</f>
        <v/>
      </c>
      <c r="W430">
        <f>HYPERLINK("https://klasma.github.io/Logging_0483/klagomålsmail/A 47989-2020 FSC-klagomål mail.docx", "A 47989-2020")</f>
        <v/>
      </c>
      <c r="X430">
        <f>HYPERLINK("https://klasma.github.io/Logging_0483/tillsyn/A 47989-2020 tillsynsbegäran.docx", "A 47989-2020")</f>
        <v/>
      </c>
      <c r="Y430">
        <f>HYPERLINK("https://klasma.github.io/Logging_0483/tillsynsmail/A 47989-2020 tillsynsbegäran mail.docx", "A 47989-2020")</f>
        <v/>
      </c>
    </row>
    <row r="431" ht="15" customHeight="1">
      <c r="A431" t="inlineStr">
        <is>
          <t>A 51080-2020</t>
        </is>
      </c>
      <c r="B431" s="1" t="n">
        <v>44112</v>
      </c>
      <c r="C431" s="1" t="n">
        <v>45843</v>
      </c>
      <c r="D431" t="inlineStr">
        <is>
          <t>SÖDERMANLANDS LÄN</t>
        </is>
      </c>
      <c r="E431" t="inlineStr">
        <is>
          <t>GNESTA</t>
        </is>
      </c>
      <c r="G431" t="n">
        <v>2</v>
      </c>
      <c r="H431" t="n">
        <v>0</v>
      </c>
      <c r="I431" t="n">
        <v>0</v>
      </c>
      <c r="J431" t="n">
        <v>1</v>
      </c>
      <c r="K431" t="n">
        <v>0</v>
      </c>
      <c r="L431" t="n">
        <v>0</v>
      </c>
      <c r="M431" t="n">
        <v>0</v>
      </c>
      <c r="N431" t="n">
        <v>0</v>
      </c>
      <c r="O431" t="n">
        <v>1</v>
      </c>
      <c r="P431" t="n">
        <v>0</v>
      </c>
      <c r="Q431" t="n">
        <v>1</v>
      </c>
      <c r="R431" s="2" t="inlineStr">
        <is>
          <t>Gullklöver</t>
        </is>
      </c>
      <c r="S431">
        <f>HYPERLINK("https://klasma.github.io/Logging_0461/artfynd/A 51080-2020 artfynd.xlsx", "A 51080-2020")</f>
        <v/>
      </c>
      <c r="T431">
        <f>HYPERLINK("https://klasma.github.io/Logging_0461/kartor/A 51080-2020 karta.png", "A 51080-2020")</f>
        <v/>
      </c>
      <c r="V431">
        <f>HYPERLINK("https://klasma.github.io/Logging_0461/klagomål/A 51080-2020 FSC-klagomål.docx", "A 51080-2020")</f>
        <v/>
      </c>
      <c r="W431">
        <f>HYPERLINK("https://klasma.github.io/Logging_0461/klagomålsmail/A 51080-2020 FSC-klagomål mail.docx", "A 51080-2020")</f>
        <v/>
      </c>
      <c r="X431">
        <f>HYPERLINK("https://klasma.github.io/Logging_0461/tillsyn/A 51080-2020 tillsynsbegäran.docx", "A 51080-2020")</f>
        <v/>
      </c>
      <c r="Y431">
        <f>HYPERLINK("https://klasma.github.io/Logging_0461/tillsynsmail/A 51080-2020 tillsynsbegäran mail.docx", "A 51080-2020")</f>
        <v/>
      </c>
    </row>
    <row r="432" ht="15" customHeight="1">
      <c r="A432" t="inlineStr">
        <is>
          <t>A 55009-2020</t>
        </is>
      </c>
      <c r="B432" s="1" t="n">
        <v>44127</v>
      </c>
      <c r="C432" s="1" t="n">
        <v>45843</v>
      </c>
      <c r="D432" t="inlineStr">
        <is>
          <t>SÖDERMANLANDS LÄN</t>
        </is>
      </c>
      <c r="E432" t="inlineStr">
        <is>
          <t>FLEN</t>
        </is>
      </c>
      <c r="G432" t="n">
        <v>26.6</v>
      </c>
      <c r="H432" t="n">
        <v>0</v>
      </c>
      <c r="I432" t="n">
        <v>1</v>
      </c>
      <c r="J432" t="n">
        <v>0</v>
      </c>
      <c r="K432" t="n">
        <v>0</v>
      </c>
      <c r="L432" t="n">
        <v>0</v>
      </c>
      <c r="M432" t="n">
        <v>0</v>
      </c>
      <c r="N432" t="n">
        <v>0</v>
      </c>
      <c r="O432" t="n">
        <v>0</v>
      </c>
      <c r="P432" t="n">
        <v>0</v>
      </c>
      <c r="Q432" t="n">
        <v>1</v>
      </c>
      <c r="R432" s="2" t="inlineStr">
        <is>
          <t>Svart trolldruva</t>
        </is>
      </c>
      <c r="S432">
        <f>HYPERLINK("https://klasma.github.io/Logging_0482/artfynd/A 55009-2020 artfynd.xlsx", "A 55009-2020")</f>
        <v/>
      </c>
      <c r="T432">
        <f>HYPERLINK("https://klasma.github.io/Logging_0482/kartor/A 55009-2020 karta.png", "A 55009-2020")</f>
        <v/>
      </c>
      <c r="V432">
        <f>HYPERLINK("https://klasma.github.io/Logging_0482/klagomål/A 55009-2020 FSC-klagomål.docx", "A 55009-2020")</f>
        <v/>
      </c>
      <c r="W432">
        <f>HYPERLINK("https://klasma.github.io/Logging_0482/klagomålsmail/A 55009-2020 FSC-klagomål mail.docx", "A 55009-2020")</f>
        <v/>
      </c>
      <c r="X432">
        <f>HYPERLINK("https://klasma.github.io/Logging_0482/tillsyn/A 55009-2020 tillsynsbegäran.docx", "A 55009-2020")</f>
        <v/>
      </c>
      <c r="Y432">
        <f>HYPERLINK("https://klasma.github.io/Logging_0482/tillsynsmail/A 55009-2020 tillsynsbegäran mail.docx", "A 55009-2020")</f>
        <v/>
      </c>
    </row>
    <row r="433" ht="15" customHeight="1">
      <c r="A433" t="inlineStr">
        <is>
          <t>A 55760-2020</t>
        </is>
      </c>
      <c r="B433" s="1" t="n">
        <v>44132</v>
      </c>
      <c r="C433" s="1" t="n">
        <v>45843</v>
      </c>
      <c r="D433" t="inlineStr">
        <is>
          <t>SÖDERMANLANDS LÄN</t>
        </is>
      </c>
      <c r="E433" t="inlineStr">
        <is>
          <t>TROSA</t>
        </is>
      </c>
      <c r="F433" t="inlineStr">
        <is>
          <t>Kommuner</t>
        </is>
      </c>
      <c r="G433" t="n">
        <v>9.6</v>
      </c>
      <c r="H433" t="n">
        <v>0</v>
      </c>
      <c r="I433" t="n">
        <v>1</v>
      </c>
      <c r="J433" t="n">
        <v>0</v>
      </c>
      <c r="K433" t="n">
        <v>0</v>
      </c>
      <c r="L433" t="n">
        <v>0</v>
      </c>
      <c r="M433" t="n">
        <v>0</v>
      </c>
      <c r="N433" t="n">
        <v>0</v>
      </c>
      <c r="O433" t="n">
        <v>0</v>
      </c>
      <c r="P433" t="n">
        <v>0</v>
      </c>
      <c r="Q433" t="n">
        <v>1</v>
      </c>
      <c r="R433" s="2" t="inlineStr">
        <is>
          <t>Strutbräken</t>
        </is>
      </c>
      <c r="S433">
        <f>HYPERLINK("https://klasma.github.io/Logging_0488/artfynd/A 55760-2020 artfynd.xlsx", "A 55760-2020")</f>
        <v/>
      </c>
      <c r="T433">
        <f>HYPERLINK("https://klasma.github.io/Logging_0488/kartor/A 55760-2020 karta.png", "A 55760-2020")</f>
        <v/>
      </c>
      <c r="V433">
        <f>HYPERLINK("https://klasma.github.io/Logging_0488/klagomål/A 55760-2020 FSC-klagomål.docx", "A 55760-2020")</f>
        <v/>
      </c>
      <c r="W433">
        <f>HYPERLINK("https://klasma.github.io/Logging_0488/klagomålsmail/A 55760-2020 FSC-klagomål mail.docx", "A 55760-2020")</f>
        <v/>
      </c>
      <c r="X433">
        <f>HYPERLINK("https://klasma.github.io/Logging_0488/tillsyn/A 55760-2020 tillsynsbegäran.docx", "A 55760-2020")</f>
        <v/>
      </c>
      <c r="Y433">
        <f>HYPERLINK("https://klasma.github.io/Logging_0488/tillsynsmail/A 55760-2020 tillsynsbegäran mail.docx", "A 55760-2020")</f>
        <v/>
      </c>
    </row>
    <row r="434" ht="15" customHeight="1">
      <c r="A434" t="inlineStr">
        <is>
          <t>A 56228-2020</t>
        </is>
      </c>
      <c r="B434" s="1" t="n">
        <v>44134</v>
      </c>
      <c r="C434" s="1" t="n">
        <v>45843</v>
      </c>
      <c r="D434" t="inlineStr">
        <is>
          <t>SÖDERMANLANDS LÄN</t>
        </is>
      </c>
      <c r="E434" t="inlineStr">
        <is>
          <t>ESKILSTUNA</t>
        </is>
      </c>
      <c r="G434" t="n">
        <v>2.7</v>
      </c>
      <c r="H434" t="n">
        <v>1</v>
      </c>
      <c r="I434" t="n">
        <v>0</v>
      </c>
      <c r="J434" t="n">
        <v>0</v>
      </c>
      <c r="K434" t="n">
        <v>0</v>
      </c>
      <c r="L434" t="n">
        <v>0</v>
      </c>
      <c r="M434" t="n">
        <v>0</v>
      </c>
      <c r="N434" t="n">
        <v>0</v>
      </c>
      <c r="O434" t="n">
        <v>0</v>
      </c>
      <c r="P434" t="n">
        <v>0</v>
      </c>
      <c r="Q434" t="n">
        <v>1</v>
      </c>
      <c r="R434" s="2" t="inlineStr">
        <is>
          <t>Blåsippa</t>
        </is>
      </c>
      <c r="S434">
        <f>HYPERLINK("https://klasma.github.io/Logging_0484/artfynd/A 56228-2020 artfynd.xlsx", "A 56228-2020")</f>
        <v/>
      </c>
      <c r="T434">
        <f>HYPERLINK("https://klasma.github.io/Logging_0484/kartor/A 56228-2020 karta.png", "A 56228-2020")</f>
        <v/>
      </c>
      <c r="V434">
        <f>HYPERLINK("https://klasma.github.io/Logging_0484/klagomål/A 56228-2020 FSC-klagomål.docx", "A 56228-2020")</f>
        <v/>
      </c>
      <c r="W434">
        <f>HYPERLINK("https://klasma.github.io/Logging_0484/klagomålsmail/A 56228-2020 FSC-klagomål mail.docx", "A 56228-2020")</f>
        <v/>
      </c>
      <c r="X434">
        <f>HYPERLINK("https://klasma.github.io/Logging_0484/tillsyn/A 56228-2020 tillsynsbegäran.docx", "A 56228-2020")</f>
        <v/>
      </c>
      <c r="Y434">
        <f>HYPERLINK("https://klasma.github.io/Logging_0484/tillsynsmail/A 56228-2020 tillsynsbegäran mail.docx", "A 56228-2020")</f>
        <v/>
      </c>
    </row>
    <row r="435" ht="15" customHeight="1">
      <c r="A435" t="inlineStr">
        <is>
          <t>A 57173-2020</t>
        </is>
      </c>
      <c r="B435" s="1" t="n">
        <v>44138</v>
      </c>
      <c r="C435" s="1" t="n">
        <v>45843</v>
      </c>
      <c r="D435" t="inlineStr">
        <is>
          <t>SÖDERMANLANDS LÄN</t>
        </is>
      </c>
      <c r="E435" t="inlineStr">
        <is>
          <t>FLEN</t>
        </is>
      </c>
      <c r="G435" t="n">
        <v>4.8</v>
      </c>
      <c r="H435" t="n">
        <v>1</v>
      </c>
      <c r="I435" t="n">
        <v>0</v>
      </c>
      <c r="J435" t="n">
        <v>0</v>
      </c>
      <c r="K435" t="n">
        <v>1</v>
      </c>
      <c r="L435" t="n">
        <v>0</v>
      </c>
      <c r="M435" t="n">
        <v>0</v>
      </c>
      <c r="N435" t="n">
        <v>0</v>
      </c>
      <c r="O435" t="n">
        <v>1</v>
      </c>
      <c r="P435" t="n">
        <v>1</v>
      </c>
      <c r="Q435" t="n">
        <v>1</v>
      </c>
      <c r="R435" s="2" t="inlineStr">
        <is>
          <t>Bombmurkla</t>
        </is>
      </c>
      <c r="S435">
        <f>HYPERLINK("https://klasma.github.io/Logging_0482/artfynd/A 57173-2020 artfynd.xlsx", "A 57173-2020")</f>
        <v/>
      </c>
      <c r="T435">
        <f>HYPERLINK("https://klasma.github.io/Logging_0482/kartor/A 57173-2020 karta.png", "A 57173-2020")</f>
        <v/>
      </c>
      <c r="U435">
        <f>HYPERLINK("https://klasma.github.io/Logging_0482/knärot/A 57173-2020 karta knärot.png", "A 57173-2020")</f>
        <v/>
      </c>
      <c r="V435">
        <f>HYPERLINK("https://klasma.github.io/Logging_0482/klagomål/A 57173-2020 FSC-klagomål.docx", "A 57173-2020")</f>
        <v/>
      </c>
      <c r="W435">
        <f>HYPERLINK("https://klasma.github.io/Logging_0482/klagomålsmail/A 57173-2020 FSC-klagomål mail.docx", "A 57173-2020")</f>
        <v/>
      </c>
      <c r="X435">
        <f>HYPERLINK("https://klasma.github.io/Logging_0482/tillsyn/A 57173-2020 tillsynsbegäran.docx", "A 57173-2020")</f>
        <v/>
      </c>
      <c r="Y435">
        <f>HYPERLINK("https://klasma.github.io/Logging_0482/tillsynsmail/A 57173-2020 tillsynsbegäran mail.docx", "A 57173-2020")</f>
        <v/>
      </c>
    </row>
    <row r="436" ht="15" customHeight="1">
      <c r="A436" t="inlineStr">
        <is>
          <t>A 58011-2020</t>
        </is>
      </c>
      <c r="B436" s="1" t="n">
        <v>44141</v>
      </c>
      <c r="C436" s="1" t="n">
        <v>45843</v>
      </c>
      <c r="D436" t="inlineStr">
        <is>
          <t>SÖDERMANLANDS LÄN</t>
        </is>
      </c>
      <c r="E436" t="inlineStr">
        <is>
          <t>STRÄNGNÄS</t>
        </is>
      </c>
      <c r="F436" t="inlineStr">
        <is>
          <t>Kommuner</t>
        </is>
      </c>
      <c r="G436" t="n">
        <v>11.1</v>
      </c>
      <c r="H436" t="n">
        <v>0</v>
      </c>
      <c r="I436" t="n">
        <v>0</v>
      </c>
      <c r="J436" t="n">
        <v>1</v>
      </c>
      <c r="K436" t="n">
        <v>0</v>
      </c>
      <c r="L436" t="n">
        <v>0</v>
      </c>
      <c r="M436" t="n">
        <v>0</v>
      </c>
      <c r="N436" t="n">
        <v>0</v>
      </c>
      <c r="O436" t="n">
        <v>1</v>
      </c>
      <c r="P436" t="n">
        <v>0</v>
      </c>
      <c r="Q436" t="n">
        <v>1</v>
      </c>
      <c r="R436" s="2" t="inlineStr">
        <is>
          <t>Druvfingersvamp</t>
        </is>
      </c>
      <c r="S436">
        <f>HYPERLINK("https://klasma.github.io/Logging_0486/artfynd/A 58011-2020 artfynd.xlsx", "A 58011-2020")</f>
        <v/>
      </c>
      <c r="T436">
        <f>HYPERLINK("https://klasma.github.io/Logging_0486/kartor/A 58011-2020 karta.png", "A 58011-2020")</f>
        <v/>
      </c>
      <c r="V436">
        <f>HYPERLINK("https://klasma.github.io/Logging_0486/klagomål/A 58011-2020 FSC-klagomål.docx", "A 58011-2020")</f>
        <v/>
      </c>
      <c r="W436">
        <f>HYPERLINK("https://klasma.github.io/Logging_0486/klagomålsmail/A 58011-2020 FSC-klagomål mail.docx", "A 58011-2020")</f>
        <v/>
      </c>
      <c r="X436">
        <f>HYPERLINK("https://klasma.github.io/Logging_0486/tillsyn/A 58011-2020 tillsynsbegäran.docx", "A 58011-2020")</f>
        <v/>
      </c>
      <c r="Y436">
        <f>HYPERLINK("https://klasma.github.io/Logging_0486/tillsynsmail/A 58011-2020 tillsynsbegäran mail.docx", "A 58011-2020")</f>
        <v/>
      </c>
    </row>
    <row r="437" ht="15" customHeight="1">
      <c r="A437" t="inlineStr">
        <is>
          <t>A 64960-2020</t>
        </is>
      </c>
      <c r="B437" s="1" t="n">
        <v>44167</v>
      </c>
      <c r="C437" s="1" t="n">
        <v>45843</v>
      </c>
      <c r="D437" t="inlineStr">
        <is>
          <t>SÖDERMANLANDS LÄN</t>
        </is>
      </c>
      <c r="E437" t="inlineStr">
        <is>
          <t>STRÄNGNÄS</t>
        </is>
      </c>
      <c r="G437" t="n">
        <v>7.7</v>
      </c>
      <c r="H437" t="n">
        <v>1</v>
      </c>
      <c r="I437" t="n">
        <v>0</v>
      </c>
      <c r="J437" t="n">
        <v>0</v>
      </c>
      <c r="K437" t="n">
        <v>1</v>
      </c>
      <c r="L437" t="n">
        <v>0</v>
      </c>
      <c r="M437" t="n">
        <v>0</v>
      </c>
      <c r="N437" t="n">
        <v>0</v>
      </c>
      <c r="O437" t="n">
        <v>1</v>
      </c>
      <c r="P437" t="n">
        <v>1</v>
      </c>
      <c r="Q437" t="n">
        <v>1</v>
      </c>
      <c r="R437" s="2" t="inlineStr">
        <is>
          <t>Knärot</t>
        </is>
      </c>
      <c r="S437">
        <f>HYPERLINK("https://klasma.github.io/Logging_0486/artfynd/A 64960-2020 artfynd.xlsx", "A 64960-2020")</f>
        <v/>
      </c>
      <c r="T437">
        <f>HYPERLINK("https://klasma.github.io/Logging_0486/kartor/A 64960-2020 karta.png", "A 64960-2020")</f>
        <v/>
      </c>
      <c r="U437">
        <f>HYPERLINK("https://klasma.github.io/Logging_0486/knärot/A 64960-2020 karta knärot.png", "A 64960-2020")</f>
        <v/>
      </c>
      <c r="V437">
        <f>HYPERLINK("https://klasma.github.io/Logging_0486/klagomål/A 64960-2020 FSC-klagomål.docx", "A 64960-2020")</f>
        <v/>
      </c>
      <c r="W437">
        <f>HYPERLINK("https://klasma.github.io/Logging_0486/klagomålsmail/A 64960-2020 FSC-klagomål mail.docx", "A 64960-2020")</f>
        <v/>
      </c>
      <c r="X437">
        <f>HYPERLINK("https://klasma.github.io/Logging_0486/tillsyn/A 64960-2020 tillsynsbegäran.docx", "A 64960-2020")</f>
        <v/>
      </c>
      <c r="Y437">
        <f>HYPERLINK("https://klasma.github.io/Logging_0486/tillsynsmail/A 64960-2020 tillsynsbegäran mail.docx", "A 64960-2020")</f>
        <v/>
      </c>
    </row>
    <row r="438" ht="15" customHeight="1">
      <c r="A438" t="inlineStr">
        <is>
          <t>A 66876-2020</t>
        </is>
      </c>
      <c r="B438" s="1" t="n">
        <v>44180</v>
      </c>
      <c r="C438" s="1" t="n">
        <v>45843</v>
      </c>
      <c r="D438" t="inlineStr">
        <is>
          <t>SÖDERMANLANDS LÄN</t>
        </is>
      </c>
      <c r="E438" t="inlineStr">
        <is>
          <t>KATRINEHOLM</t>
        </is>
      </c>
      <c r="G438" t="n">
        <v>3.7</v>
      </c>
      <c r="H438" t="n">
        <v>0</v>
      </c>
      <c r="I438" t="n">
        <v>1</v>
      </c>
      <c r="J438" t="n">
        <v>0</v>
      </c>
      <c r="K438" t="n">
        <v>0</v>
      </c>
      <c r="L438" t="n">
        <v>0</v>
      </c>
      <c r="M438" t="n">
        <v>0</v>
      </c>
      <c r="N438" t="n">
        <v>0</v>
      </c>
      <c r="O438" t="n">
        <v>0</v>
      </c>
      <c r="P438" t="n">
        <v>0</v>
      </c>
      <c r="Q438" t="n">
        <v>1</v>
      </c>
      <c r="R438" s="2" t="inlineStr">
        <is>
          <t>Dvärghäxört</t>
        </is>
      </c>
      <c r="S438">
        <f>HYPERLINK("https://klasma.github.io/Logging_0483/artfynd/A 66876-2020 artfynd.xlsx", "A 66876-2020")</f>
        <v/>
      </c>
      <c r="T438">
        <f>HYPERLINK("https://klasma.github.io/Logging_0483/kartor/A 66876-2020 karta.png", "A 66876-2020")</f>
        <v/>
      </c>
      <c r="V438">
        <f>HYPERLINK("https://klasma.github.io/Logging_0483/klagomål/A 66876-2020 FSC-klagomål.docx", "A 66876-2020")</f>
        <v/>
      </c>
      <c r="W438">
        <f>HYPERLINK("https://klasma.github.io/Logging_0483/klagomålsmail/A 66876-2020 FSC-klagomål mail.docx", "A 66876-2020")</f>
        <v/>
      </c>
      <c r="X438">
        <f>HYPERLINK("https://klasma.github.io/Logging_0483/tillsyn/A 66876-2020 tillsynsbegäran.docx", "A 66876-2020")</f>
        <v/>
      </c>
      <c r="Y438">
        <f>HYPERLINK("https://klasma.github.io/Logging_0483/tillsynsmail/A 66876-2020 tillsynsbegäran mail.docx", "A 66876-2020")</f>
        <v/>
      </c>
    </row>
    <row r="439" ht="15" customHeight="1">
      <c r="A439" t="inlineStr">
        <is>
          <t>A 7138-2021</t>
        </is>
      </c>
      <c r="B439" s="1" t="n">
        <v>44238</v>
      </c>
      <c r="C439" s="1" t="n">
        <v>45843</v>
      </c>
      <c r="D439" t="inlineStr">
        <is>
          <t>SÖDERMANLANDS LÄN</t>
        </is>
      </c>
      <c r="E439" t="inlineStr">
        <is>
          <t>TROSA</t>
        </is>
      </c>
      <c r="G439" t="n">
        <v>2</v>
      </c>
      <c r="H439" t="n">
        <v>0</v>
      </c>
      <c r="I439" t="n">
        <v>0</v>
      </c>
      <c r="J439" t="n">
        <v>1</v>
      </c>
      <c r="K439" t="n">
        <v>0</v>
      </c>
      <c r="L439" t="n">
        <v>0</v>
      </c>
      <c r="M439" t="n">
        <v>0</v>
      </c>
      <c r="N439" t="n">
        <v>0</v>
      </c>
      <c r="O439" t="n">
        <v>1</v>
      </c>
      <c r="P439" t="n">
        <v>0</v>
      </c>
      <c r="Q439" t="n">
        <v>1</v>
      </c>
      <c r="R439" s="2" t="inlineStr">
        <is>
          <t>Solvända</t>
        </is>
      </c>
      <c r="S439">
        <f>HYPERLINK("https://klasma.github.io/Logging_0488/artfynd/A 7138-2021 artfynd.xlsx", "A 7138-2021")</f>
        <v/>
      </c>
      <c r="T439">
        <f>HYPERLINK("https://klasma.github.io/Logging_0488/kartor/A 7138-2021 karta.png", "A 7138-2021")</f>
        <v/>
      </c>
      <c r="V439">
        <f>HYPERLINK("https://klasma.github.io/Logging_0488/klagomål/A 7138-2021 FSC-klagomål.docx", "A 7138-2021")</f>
        <v/>
      </c>
      <c r="W439">
        <f>HYPERLINK("https://klasma.github.io/Logging_0488/klagomålsmail/A 7138-2021 FSC-klagomål mail.docx", "A 7138-2021")</f>
        <v/>
      </c>
      <c r="X439">
        <f>HYPERLINK("https://klasma.github.io/Logging_0488/tillsyn/A 7138-2021 tillsynsbegäran.docx", "A 7138-2021")</f>
        <v/>
      </c>
      <c r="Y439">
        <f>HYPERLINK("https://klasma.github.io/Logging_0488/tillsynsmail/A 7138-2021 tillsynsbegäran mail.docx", "A 7138-2021")</f>
        <v/>
      </c>
    </row>
    <row r="440" ht="15" customHeight="1">
      <c r="A440" t="inlineStr">
        <is>
          <t>A 7130-2021</t>
        </is>
      </c>
      <c r="B440" s="1" t="n">
        <v>44238</v>
      </c>
      <c r="C440" s="1" t="n">
        <v>45843</v>
      </c>
      <c r="D440" t="inlineStr">
        <is>
          <t>SÖDERMANLANDS LÄN</t>
        </is>
      </c>
      <c r="E440" t="inlineStr">
        <is>
          <t>NYKÖPING</t>
        </is>
      </c>
      <c r="F440" t="inlineStr">
        <is>
          <t>Kommuner</t>
        </is>
      </c>
      <c r="G440" t="n">
        <v>4.1</v>
      </c>
      <c r="H440" t="n">
        <v>0</v>
      </c>
      <c r="I440" t="n">
        <v>1</v>
      </c>
      <c r="J440" t="n">
        <v>0</v>
      </c>
      <c r="K440" t="n">
        <v>0</v>
      </c>
      <c r="L440" t="n">
        <v>0</v>
      </c>
      <c r="M440" t="n">
        <v>0</v>
      </c>
      <c r="N440" t="n">
        <v>0</v>
      </c>
      <c r="O440" t="n">
        <v>0</v>
      </c>
      <c r="P440" t="n">
        <v>0</v>
      </c>
      <c r="Q440" t="n">
        <v>1</v>
      </c>
      <c r="R440" s="2" t="inlineStr">
        <is>
          <t>Stor aspticka</t>
        </is>
      </c>
      <c r="S440">
        <f>HYPERLINK("https://klasma.github.io/Logging_0480/artfynd/A 7130-2021 artfynd.xlsx", "A 7130-2021")</f>
        <v/>
      </c>
      <c r="T440">
        <f>HYPERLINK("https://klasma.github.io/Logging_0480/kartor/A 7130-2021 karta.png", "A 7130-2021")</f>
        <v/>
      </c>
      <c r="V440">
        <f>HYPERLINK("https://klasma.github.io/Logging_0480/klagomål/A 7130-2021 FSC-klagomål.docx", "A 7130-2021")</f>
        <v/>
      </c>
      <c r="W440">
        <f>HYPERLINK("https://klasma.github.io/Logging_0480/klagomålsmail/A 7130-2021 FSC-klagomål mail.docx", "A 7130-2021")</f>
        <v/>
      </c>
      <c r="X440">
        <f>HYPERLINK("https://klasma.github.io/Logging_0480/tillsyn/A 7130-2021 tillsynsbegäran.docx", "A 7130-2021")</f>
        <v/>
      </c>
      <c r="Y440">
        <f>HYPERLINK("https://klasma.github.io/Logging_0480/tillsynsmail/A 7130-2021 tillsynsbegäran mail.docx", "A 7130-2021")</f>
        <v/>
      </c>
    </row>
    <row r="441" ht="15" customHeight="1">
      <c r="A441" t="inlineStr">
        <is>
          <t>A 8176-2021</t>
        </is>
      </c>
      <c r="B441" s="1" t="n">
        <v>44242</v>
      </c>
      <c r="C441" s="1" t="n">
        <v>45843</v>
      </c>
      <c r="D441" t="inlineStr">
        <is>
          <t>SÖDERMANLANDS LÄN</t>
        </is>
      </c>
      <c r="E441" t="inlineStr">
        <is>
          <t>FLEN</t>
        </is>
      </c>
      <c r="G441" t="n">
        <v>3.2</v>
      </c>
      <c r="H441" t="n">
        <v>0</v>
      </c>
      <c r="I441" t="n">
        <v>0</v>
      </c>
      <c r="J441" t="n">
        <v>0</v>
      </c>
      <c r="K441" t="n">
        <v>0</v>
      </c>
      <c r="L441" t="n">
        <v>1</v>
      </c>
      <c r="M441" t="n">
        <v>0</v>
      </c>
      <c r="N441" t="n">
        <v>0</v>
      </c>
      <c r="O441" t="n">
        <v>1</v>
      </c>
      <c r="P441" t="n">
        <v>1</v>
      </c>
      <c r="Q441" t="n">
        <v>1</v>
      </c>
      <c r="R441" s="2" t="inlineStr">
        <is>
          <t>Ask</t>
        </is>
      </c>
      <c r="S441">
        <f>HYPERLINK("https://klasma.github.io/Logging_0482/artfynd/A 8176-2021 artfynd.xlsx", "A 8176-2021")</f>
        <v/>
      </c>
      <c r="T441">
        <f>HYPERLINK("https://klasma.github.io/Logging_0482/kartor/A 8176-2021 karta.png", "A 8176-2021")</f>
        <v/>
      </c>
      <c r="U441">
        <f>HYPERLINK("https://klasma.github.io/Logging_0482/knärot/A 8176-2021 karta knärot.png", "A 8176-2021")</f>
        <v/>
      </c>
      <c r="V441">
        <f>HYPERLINK("https://klasma.github.io/Logging_0482/klagomål/A 8176-2021 FSC-klagomål.docx", "A 8176-2021")</f>
        <v/>
      </c>
      <c r="W441">
        <f>HYPERLINK("https://klasma.github.io/Logging_0482/klagomålsmail/A 8176-2021 FSC-klagomål mail.docx", "A 8176-2021")</f>
        <v/>
      </c>
      <c r="X441">
        <f>HYPERLINK("https://klasma.github.io/Logging_0482/tillsyn/A 8176-2021 tillsynsbegäran.docx", "A 8176-2021")</f>
        <v/>
      </c>
      <c r="Y441">
        <f>HYPERLINK("https://klasma.github.io/Logging_0482/tillsynsmail/A 8176-2021 tillsynsbegäran mail.docx", "A 8176-2021")</f>
        <v/>
      </c>
    </row>
    <row r="442" ht="15" customHeight="1">
      <c r="A442" t="inlineStr">
        <is>
          <t>A 11150-2021</t>
        </is>
      </c>
      <c r="B442" s="1" t="n">
        <v>44261</v>
      </c>
      <c r="C442" s="1" t="n">
        <v>45843</v>
      </c>
      <c r="D442" t="inlineStr">
        <is>
          <t>SÖDERMANLANDS LÄN</t>
        </is>
      </c>
      <c r="E442" t="inlineStr">
        <is>
          <t>GNESTA</t>
        </is>
      </c>
      <c r="G442" t="n">
        <v>0.8</v>
      </c>
      <c r="H442" t="n">
        <v>0</v>
      </c>
      <c r="I442" t="n">
        <v>0</v>
      </c>
      <c r="J442" t="n">
        <v>1</v>
      </c>
      <c r="K442" t="n">
        <v>0</v>
      </c>
      <c r="L442" t="n">
        <v>0</v>
      </c>
      <c r="M442" t="n">
        <v>0</v>
      </c>
      <c r="N442" t="n">
        <v>0</v>
      </c>
      <c r="O442" t="n">
        <v>1</v>
      </c>
      <c r="P442" t="n">
        <v>0</v>
      </c>
      <c r="Q442" t="n">
        <v>1</v>
      </c>
      <c r="R442" s="2" t="inlineStr">
        <is>
          <t>Gullklöver</t>
        </is>
      </c>
      <c r="S442">
        <f>HYPERLINK("https://klasma.github.io/Logging_0461/artfynd/A 11150-2021 artfynd.xlsx", "A 11150-2021")</f>
        <v/>
      </c>
      <c r="T442">
        <f>HYPERLINK("https://klasma.github.io/Logging_0461/kartor/A 11150-2021 karta.png", "A 11150-2021")</f>
        <v/>
      </c>
      <c r="V442">
        <f>HYPERLINK("https://klasma.github.io/Logging_0461/klagomål/A 11150-2021 FSC-klagomål.docx", "A 11150-2021")</f>
        <v/>
      </c>
      <c r="W442">
        <f>HYPERLINK("https://klasma.github.io/Logging_0461/klagomålsmail/A 11150-2021 FSC-klagomål mail.docx", "A 11150-2021")</f>
        <v/>
      </c>
      <c r="X442">
        <f>HYPERLINK("https://klasma.github.io/Logging_0461/tillsyn/A 11150-2021 tillsynsbegäran.docx", "A 11150-2021")</f>
        <v/>
      </c>
      <c r="Y442">
        <f>HYPERLINK("https://klasma.github.io/Logging_0461/tillsynsmail/A 11150-2021 tillsynsbegäran mail.docx", "A 11150-2021")</f>
        <v/>
      </c>
    </row>
    <row r="443" ht="15" customHeight="1">
      <c r="A443" t="inlineStr">
        <is>
          <t>A 16826-2021</t>
        </is>
      </c>
      <c r="B443" s="1" t="n">
        <v>44295</v>
      </c>
      <c r="C443" s="1" t="n">
        <v>45843</v>
      </c>
      <c r="D443" t="inlineStr">
        <is>
          <t>SÖDERMANLANDS LÄN</t>
        </is>
      </c>
      <c r="E443" t="inlineStr">
        <is>
          <t>GNESTA</t>
        </is>
      </c>
      <c r="G443" t="n">
        <v>13.9</v>
      </c>
      <c r="H443" t="n">
        <v>0</v>
      </c>
      <c r="I443" t="n">
        <v>0</v>
      </c>
      <c r="J443" t="n">
        <v>1</v>
      </c>
      <c r="K443" t="n">
        <v>0</v>
      </c>
      <c r="L443" t="n">
        <v>0</v>
      </c>
      <c r="M443" t="n">
        <v>0</v>
      </c>
      <c r="N443" t="n">
        <v>0</v>
      </c>
      <c r="O443" t="n">
        <v>1</v>
      </c>
      <c r="P443" t="n">
        <v>0</v>
      </c>
      <c r="Q443" t="n">
        <v>1</v>
      </c>
      <c r="R443" s="2" t="inlineStr">
        <is>
          <t>Motaggsvamp</t>
        </is>
      </c>
      <c r="S443">
        <f>HYPERLINK("https://klasma.github.io/Logging_0461/artfynd/A 16826-2021 artfynd.xlsx", "A 16826-2021")</f>
        <v/>
      </c>
      <c r="T443">
        <f>HYPERLINK("https://klasma.github.io/Logging_0461/kartor/A 16826-2021 karta.png", "A 16826-2021")</f>
        <v/>
      </c>
      <c r="V443">
        <f>HYPERLINK("https://klasma.github.io/Logging_0461/klagomål/A 16826-2021 FSC-klagomål.docx", "A 16826-2021")</f>
        <v/>
      </c>
      <c r="W443">
        <f>HYPERLINK("https://klasma.github.io/Logging_0461/klagomålsmail/A 16826-2021 FSC-klagomål mail.docx", "A 16826-2021")</f>
        <v/>
      </c>
      <c r="X443">
        <f>HYPERLINK("https://klasma.github.io/Logging_0461/tillsyn/A 16826-2021 tillsynsbegäran.docx", "A 16826-2021")</f>
        <v/>
      </c>
      <c r="Y443">
        <f>HYPERLINK("https://klasma.github.io/Logging_0461/tillsynsmail/A 16826-2021 tillsynsbegäran mail.docx", "A 16826-2021")</f>
        <v/>
      </c>
    </row>
    <row r="444" ht="15" customHeight="1">
      <c r="A444" t="inlineStr">
        <is>
          <t>A 22712-2021</t>
        </is>
      </c>
      <c r="B444" s="1" t="n">
        <v>44327</v>
      </c>
      <c r="C444" s="1" t="n">
        <v>45843</v>
      </c>
      <c r="D444" t="inlineStr">
        <is>
          <t>SÖDERMANLANDS LÄN</t>
        </is>
      </c>
      <c r="E444" t="inlineStr">
        <is>
          <t>GNESTA</t>
        </is>
      </c>
      <c r="G444" t="n">
        <v>2.1</v>
      </c>
      <c r="H444" t="n">
        <v>0</v>
      </c>
      <c r="I444" t="n">
        <v>0</v>
      </c>
      <c r="J444" t="n">
        <v>1</v>
      </c>
      <c r="K444" t="n">
        <v>0</v>
      </c>
      <c r="L444" t="n">
        <v>0</v>
      </c>
      <c r="M444" t="n">
        <v>0</v>
      </c>
      <c r="N444" t="n">
        <v>0</v>
      </c>
      <c r="O444" t="n">
        <v>1</v>
      </c>
      <c r="P444" t="n">
        <v>0</v>
      </c>
      <c r="Q444" t="n">
        <v>1</v>
      </c>
      <c r="R444" s="2" t="inlineStr">
        <is>
          <t>Svedjenäva</t>
        </is>
      </c>
      <c r="S444">
        <f>HYPERLINK("https://klasma.github.io/Logging_0461/artfynd/A 22712-2021 artfynd.xlsx", "A 22712-2021")</f>
        <v/>
      </c>
      <c r="T444">
        <f>HYPERLINK("https://klasma.github.io/Logging_0461/kartor/A 22712-2021 karta.png", "A 22712-2021")</f>
        <v/>
      </c>
      <c r="V444">
        <f>HYPERLINK("https://klasma.github.io/Logging_0461/klagomål/A 22712-2021 FSC-klagomål.docx", "A 22712-2021")</f>
        <v/>
      </c>
      <c r="W444">
        <f>HYPERLINK("https://klasma.github.io/Logging_0461/klagomålsmail/A 22712-2021 FSC-klagomål mail.docx", "A 22712-2021")</f>
        <v/>
      </c>
      <c r="X444">
        <f>HYPERLINK("https://klasma.github.io/Logging_0461/tillsyn/A 22712-2021 tillsynsbegäran.docx", "A 22712-2021")</f>
        <v/>
      </c>
      <c r="Y444">
        <f>HYPERLINK("https://klasma.github.io/Logging_0461/tillsynsmail/A 22712-2021 tillsynsbegäran mail.docx", "A 22712-2021")</f>
        <v/>
      </c>
    </row>
    <row r="445" ht="15" customHeight="1">
      <c r="A445" t="inlineStr">
        <is>
          <t>A 24223-2021</t>
        </is>
      </c>
      <c r="B445" s="1" t="n">
        <v>44336</v>
      </c>
      <c r="C445" s="1" t="n">
        <v>45843</v>
      </c>
      <c r="D445" t="inlineStr">
        <is>
          <t>SÖDERMANLANDS LÄN</t>
        </is>
      </c>
      <c r="E445" t="inlineStr">
        <is>
          <t>VINGÅKER</t>
        </is>
      </c>
      <c r="G445" t="n">
        <v>4.2</v>
      </c>
      <c r="H445" t="n">
        <v>1</v>
      </c>
      <c r="I445" t="n">
        <v>0</v>
      </c>
      <c r="J445" t="n">
        <v>0</v>
      </c>
      <c r="K445" t="n">
        <v>0</v>
      </c>
      <c r="L445" t="n">
        <v>0</v>
      </c>
      <c r="M445" t="n">
        <v>0</v>
      </c>
      <c r="N445" t="n">
        <v>0</v>
      </c>
      <c r="O445" t="n">
        <v>0</v>
      </c>
      <c r="P445" t="n">
        <v>0</v>
      </c>
      <c r="Q445" t="n">
        <v>1</v>
      </c>
      <c r="R445" s="2" t="inlineStr">
        <is>
          <t>Blåsippa</t>
        </is>
      </c>
      <c r="S445">
        <f>HYPERLINK("https://klasma.github.io/Logging_0428/artfynd/A 24223-2021 artfynd.xlsx", "A 24223-2021")</f>
        <v/>
      </c>
      <c r="T445">
        <f>HYPERLINK("https://klasma.github.io/Logging_0428/kartor/A 24223-2021 karta.png", "A 24223-2021")</f>
        <v/>
      </c>
      <c r="V445">
        <f>HYPERLINK("https://klasma.github.io/Logging_0428/klagomål/A 24223-2021 FSC-klagomål.docx", "A 24223-2021")</f>
        <v/>
      </c>
      <c r="W445">
        <f>HYPERLINK("https://klasma.github.io/Logging_0428/klagomålsmail/A 24223-2021 FSC-klagomål mail.docx", "A 24223-2021")</f>
        <v/>
      </c>
      <c r="X445">
        <f>HYPERLINK("https://klasma.github.io/Logging_0428/tillsyn/A 24223-2021 tillsynsbegäran.docx", "A 24223-2021")</f>
        <v/>
      </c>
      <c r="Y445">
        <f>HYPERLINK("https://klasma.github.io/Logging_0428/tillsynsmail/A 24223-2021 tillsynsbegäran mail.docx", "A 24223-2021")</f>
        <v/>
      </c>
    </row>
    <row r="446" ht="15" customHeight="1">
      <c r="A446" t="inlineStr">
        <is>
          <t>A 24301-2021</t>
        </is>
      </c>
      <c r="B446" s="1" t="n">
        <v>44337</v>
      </c>
      <c r="C446" s="1" t="n">
        <v>45843</v>
      </c>
      <c r="D446" t="inlineStr">
        <is>
          <t>SÖDERMANLANDS LÄN</t>
        </is>
      </c>
      <c r="E446" t="inlineStr">
        <is>
          <t>VINGÅKER</t>
        </is>
      </c>
      <c r="F446" t="inlineStr">
        <is>
          <t>Sveaskog</t>
        </is>
      </c>
      <c r="G446" t="n">
        <v>1.7</v>
      </c>
      <c r="H446" t="n">
        <v>1</v>
      </c>
      <c r="I446" t="n">
        <v>0</v>
      </c>
      <c r="J446" t="n">
        <v>1</v>
      </c>
      <c r="K446" t="n">
        <v>0</v>
      </c>
      <c r="L446" t="n">
        <v>0</v>
      </c>
      <c r="M446" t="n">
        <v>0</v>
      </c>
      <c r="N446" t="n">
        <v>0</v>
      </c>
      <c r="O446" t="n">
        <v>1</v>
      </c>
      <c r="P446" t="n">
        <v>0</v>
      </c>
      <c r="Q446" t="n">
        <v>1</v>
      </c>
      <c r="R446" s="2" t="inlineStr">
        <is>
          <t>Järpe</t>
        </is>
      </c>
      <c r="S446">
        <f>HYPERLINK("https://klasma.github.io/Logging_0428/artfynd/A 24301-2021 artfynd.xlsx", "A 24301-2021")</f>
        <v/>
      </c>
      <c r="T446">
        <f>HYPERLINK("https://klasma.github.io/Logging_0428/kartor/A 24301-2021 karta.png", "A 24301-2021")</f>
        <v/>
      </c>
      <c r="V446">
        <f>HYPERLINK("https://klasma.github.io/Logging_0428/klagomål/A 24301-2021 FSC-klagomål.docx", "A 24301-2021")</f>
        <v/>
      </c>
      <c r="W446">
        <f>HYPERLINK("https://klasma.github.io/Logging_0428/klagomålsmail/A 24301-2021 FSC-klagomål mail.docx", "A 24301-2021")</f>
        <v/>
      </c>
      <c r="X446">
        <f>HYPERLINK("https://klasma.github.io/Logging_0428/tillsyn/A 24301-2021 tillsynsbegäran.docx", "A 24301-2021")</f>
        <v/>
      </c>
      <c r="Y446">
        <f>HYPERLINK("https://klasma.github.io/Logging_0428/tillsynsmail/A 24301-2021 tillsynsbegäran mail.docx", "A 24301-2021")</f>
        <v/>
      </c>
      <c r="Z446">
        <f>HYPERLINK("https://klasma.github.io/Logging_0428/fåglar/A 24301-2021 prioriterade fågelarter.docx", "A 24301-2021")</f>
        <v/>
      </c>
    </row>
    <row r="447" ht="15" customHeight="1">
      <c r="A447" t="inlineStr">
        <is>
          <t>A 31182-2021</t>
        </is>
      </c>
      <c r="B447" s="1" t="n">
        <v>44368</v>
      </c>
      <c r="C447" s="1" t="n">
        <v>45843</v>
      </c>
      <c r="D447" t="inlineStr">
        <is>
          <t>SÖDERMANLANDS LÄN</t>
        </is>
      </c>
      <c r="E447" t="inlineStr">
        <is>
          <t>ESKILSTUNA</t>
        </is>
      </c>
      <c r="F447" t="inlineStr">
        <is>
          <t>Övriga Aktiebolag</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HYPERLINK("https://klasma.github.io/Logging_0484/artfynd/A 31182-2021 artfynd.xlsx", "A 31182-2021")</f>
        <v/>
      </c>
      <c r="T447">
        <f>HYPERLINK("https://klasma.github.io/Logging_0484/kartor/A 31182-2021 karta.png", "A 31182-2021")</f>
        <v/>
      </c>
      <c r="V447">
        <f>HYPERLINK("https://klasma.github.io/Logging_0484/klagomål/A 31182-2021 FSC-klagomål.docx", "A 31182-2021")</f>
        <v/>
      </c>
      <c r="W447">
        <f>HYPERLINK("https://klasma.github.io/Logging_0484/klagomålsmail/A 31182-2021 FSC-klagomål mail.docx", "A 31182-2021")</f>
        <v/>
      </c>
      <c r="X447">
        <f>HYPERLINK("https://klasma.github.io/Logging_0484/tillsyn/A 31182-2021 tillsynsbegäran.docx", "A 31182-2021")</f>
        <v/>
      </c>
      <c r="Y447">
        <f>HYPERLINK("https://klasma.github.io/Logging_0484/tillsynsmail/A 31182-2021 tillsynsbegäran mail.docx", "A 31182-2021")</f>
        <v/>
      </c>
    </row>
    <row r="448" ht="15" customHeight="1">
      <c r="A448" t="inlineStr">
        <is>
          <t>A 33191-2021</t>
        </is>
      </c>
      <c r="B448" s="1" t="n">
        <v>44376</v>
      </c>
      <c r="C448" s="1" t="n">
        <v>45843</v>
      </c>
      <c r="D448" t="inlineStr">
        <is>
          <t>SÖDERMANLANDS LÄN</t>
        </is>
      </c>
      <c r="E448" t="inlineStr">
        <is>
          <t>STRÄNGNÄS</t>
        </is>
      </c>
      <c r="G448" t="n">
        <v>17</v>
      </c>
      <c r="H448" t="n">
        <v>0</v>
      </c>
      <c r="I448" t="n">
        <v>1</v>
      </c>
      <c r="J448" t="n">
        <v>0</v>
      </c>
      <c r="K448" t="n">
        <v>0</v>
      </c>
      <c r="L448" t="n">
        <v>0</v>
      </c>
      <c r="M448" t="n">
        <v>0</v>
      </c>
      <c r="N448" t="n">
        <v>0</v>
      </c>
      <c r="O448" t="n">
        <v>0</v>
      </c>
      <c r="P448" t="n">
        <v>0</v>
      </c>
      <c r="Q448" t="n">
        <v>1</v>
      </c>
      <c r="R448" s="2" t="inlineStr">
        <is>
          <t>Fällmossa</t>
        </is>
      </c>
      <c r="S448">
        <f>HYPERLINK("https://klasma.github.io/Logging_0486/artfynd/A 33191-2021 artfynd.xlsx", "A 33191-2021")</f>
        <v/>
      </c>
      <c r="T448">
        <f>HYPERLINK("https://klasma.github.io/Logging_0486/kartor/A 33191-2021 karta.png", "A 33191-2021")</f>
        <v/>
      </c>
      <c r="V448">
        <f>HYPERLINK("https://klasma.github.io/Logging_0486/klagomål/A 33191-2021 FSC-klagomål.docx", "A 33191-2021")</f>
        <v/>
      </c>
      <c r="W448">
        <f>HYPERLINK("https://klasma.github.io/Logging_0486/klagomålsmail/A 33191-2021 FSC-klagomål mail.docx", "A 33191-2021")</f>
        <v/>
      </c>
      <c r="X448">
        <f>HYPERLINK("https://klasma.github.io/Logging_0486/tillsyn/A 33191-2021 tillsynsbegäran.docx", "A 33191-2021")</f>
        <v/>
      </c>
      <c r="Y448">
        <f>HYPERLINK("https://klasma.github.io/Logging_0486/tillsynsmail/A 33191-2021 tillsynsbegäran mail.docx", "A 33191-2021")</f>
        <v/>
      </c>
    </row>
    <row r="449" ht="15" customHeight="1">
      <c r="A449" t="inlineStr">
        <is>
          <t>A 33759-2021</t>
        </is>
      </c>
      <c r="B449" s="1" t="n">
        <v>44378</v>
      </c>
      <c r="C449" s="1" t="n">
        <v>45843</v>
      </c>
      <c r="D449" t="inlineStr">
        <is>
          <t>SÖDERMANLANDS LÄN</t>
        </is>
      </c>
      <c r="E449" t="inlineStr">
        <is>
          <t>ESKILSTUNA</t>
        </is>
      </c>
      <c r="F449" t="inlineStr">
        <is>
          <t>Allmännings- och besparingsskogar</t>
        </is>
      </c>
      <c r="G449" t="n">
        <v>20</v>
      </c>
      <c r="H449" t="n">
        <v>1</v>
      </c>
      <c r="I449" t="n">
        <v>0</v>
      </c>
      <c r="J449" t="n">
        <v>0</v>
      </c>
      <c r="K449" t="n">
        <v>0</v>
      </c>
      <c r="L449" t="n">
        <v>0</v>
      </c>
      <c r="M449" t="n">
        <v>0</v>
      </c>
      <c r="N449" t="n">
        <v>0</v>
      </c>
      <c r="O449" t="n">
        <v>0</v>
      </c>
      <c r="P449" t="n">
        <v>0</v>
      </c>
      <c r="Q449" t="n">
        <v>1</v>
      </c>
      <c r="R449" s="2" t="inlineStr">
        <is>
          <t>Mattlummer</t>
        </is>
      </c>
      <c r="S449">
        <f>HYPERLINK("https://klasma.github.io/Logging_0484/artfynd/A 33759-2021 artfynd.xlsx", "A 33759-2021")</f>
        <v/>
      </c>
      <c r="T449">
        <f>HYPERLINK("https://klasma.github.io/Logging_0484/kartor/A 33759-2021 karta.png", "A 33759-2021")</f>
        <v/>
      </c>
      <c r="V449">
        <f>HYPERLINK("https://klasma.github.io/Logging_0484/klagomål/A 33759-2021 FSC-klagomål.docx", "A 33759-2021")</f>
        <v/>
      </c>
      <c r="W449">
        <f>HYPERLINK("https://klasma.github.io/Logging_0484/klagomålsmail/A 33759-2021 FSC-klagomål mail.docx", "A 33759-2021")</f>
        <v/>
      </c>
      <c r="X449">
        <f>HYPERLINK("https://klasma.github.io/Logging_0484/tillsyn/A 33759-2021 tillsynsbegäran.docx", "A 33759-2021")</f>
        <v/>
      </c>
      <c r="Y449">
        <f>HYPERLINK("https://klasma.github.io/Logging_0484/tillsynsmail/A 33759-2021 tillsynsbegäran mail.docx", "A 33759-2021")</f>
        <v/>
      </c>
    </row>
    <row r="450" ht="15" customHeight="1">
      <c r="A450" t="inlineStr">
        <is>
          <t>A 37347-2021</t>
        </is>
      </c>
      <c r="B450" s="1" t="n">
        <v>44397</v>
      </c>
      <c r="C450" s="1" t="n">
        <v>45843</v>
      </c>
      <c r="D450" t="inlineStr">
        <is>
          <t>SÖDERMANLANDS LÄN</t>
        </is>
      </c>
      <c r="E450" t="inlineStr">
        <is>
          <t>FLEN</t>
        </is>
      </c>
      <c r="F450" t="inlineStr">
        <is>
          <t>Övriga statliga verk och myndigheter</t>
        </is>
      </c>
      <c r="G450" t="n">
        <v>5.9</v>
      </c>
      <c r="H450" t="n">
        <v>1</v>
      </c>
      <c r="I450" t="n">
        <v>0</v>
      </c>
      <c r="J450" t="n">
        <v>0</v>
      </c>
      <c r="K450" t="n">
        <v>0</v>
      </c>
      <c r="L450" t="n">
        <v>0</v>
      </c>
      <c r="M450" t="n">
        <v>0</v>
      </c>
      <c r="N450" t="n">
        <v>0</v>
      </c>
      <c r="O450" t="n">
        <v>0</v>
      </c>
      <c r="P450" t="n">
        <v>0</v>
      </c>
      <c r="Q450" t="n">
        <v>1</v>
      </c>
      <c r="R450" s="2" t="inlineStr">
        <is>
          <t>Vanlig snok</t>
        </is>
      </c>
      <c r="S450">
        <f>HYPERLINK("https://klasma.github.io/Logging_0482/artfynd/A 37347-2021 artfynd.xlsx", "A 37347-2021")</f>
        <v/>
      </c>
      <c r="T450">
        <f>HYPERLINK("https://klasma.github.io/Logging_0482/kartor/A 37347-2021 karta.png", "A 37347-2021")</f>
        <v/>
      </c>
      <c r="V450">
        <f>HYPERLINK("https://klasma.github.io/Logging_0482/klagomål/A 37347-2021 FSC-klagomål.docx", "A 37347-2021")</f>
        <v/>
      </c>
      <c r="W450">
        <f>HYPERLINK("https://klasma.github.io/Logging_0482/klagomålsmail/A 37347-2021 FSC-klagomål mail.docx", "A 37347-2021")</f>
        <v/>
      </c>
      <c r="X450">
        <f>HYPERLINK("https://klasma.github.io/Logging_0482/tillsyn/A 37347-2021 tillsynsbegäran.docx", "A 37347-2021")</f>
        <v/>
      </c>
      <c r="Y450">
        <f>HYPERLINK("https://klasma.github.io/Logging_0482/tillsynsmail/A 37347-2021 tillsynsbegäran mail.docx", "A 37347-2021")</f>
        <v/>
      </c>
    </row>
    <row r="451" ht="15" customHeight="1">
      <c r="A451" t="inlineStr">
        <is>
          <t>A 37836-2021</t>
        </is>
      </c>
      <c r="B451" s="1" t="n">
        <v>44403</v>
      </c>
      <c r="C451" s="1" t="n">
        <v>45843</v>
      </c>
      <c r="D451" t="inlineStr">
        <is>
          <t>SÖDERMANLANDS LÄN</t>
        </is>
      </c>
      <c r="E451" t="inlineStr">
        <is>
          <t>TROSA</t>
        </is>
      </c>
      <c r="F451" t="inlineStr">
        <is>
          <t>Övriga statliga verk och myndigheter</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HYPERLINK("https://klasma.github.io/Logging_0488/artfynd/A 37836-2021 artfynd.xlsx", "A 37836-2021")</f>
        <v/>
      </c>
      <c r="T451">
        <f>HYPERLINK("https://klasma.github.io/Logging_0488/kartor/A 37836-2021 karta.png", "A 37836-2021")</f>
        <v/>
      </c>
      <c r="U451">
        <f>HYPERLINK("https://klasma.github.io/Logging_0488/knärot/A 37836-2021 karta knärot.png", "A 37836-2021")</f>
        <v/>
      </c>
      <c r="V451">
        <f>HYPERLINK("https://klasma.github.io/Logging_0488/klagomål/A 37836-2021 FSC-klagomål.docx", "A 37836-2021")</f>
        <v/>
      </c>
      <c r="W451">
        <f>HYPERLINK("https://klasma.github.io/Logging_0488/klagomålsmail/A 37836-2021 FSC-klagomål mail.docx", "A 37836-2021")</f>
        <v/>
      </c>
      <c r="X451">
        <f>HYPERLINK("https://klasma.github.io/Logging_0488/tillsyn/A 37836-2021 tillsynsbegäran.docx", "A 37836-2021")</f>
        <v/>
      </c>
      <c r="Y451">
        <f>HYPERLINK("https://klasma.github.io/Logging_0488/tillsynsmail/A 37836-2021 tillsynsbegäran mail.docx", "A 37836-2021")</f>
        <v/>
      </c>
    </row>
    <row r="452" ht="15" customHeight="1">
      <c r="A452" t="inlineStr">
        <is>
          <t>A 37879-2021</t>
        </is>
      </c>
      <c r="B452" s="1" t="n">
        <v>44403</v>
      </c>
      <c r="C452" s="1" t="n">
        <v>45843</v>
      </c>
      <c r="D452" t="inlineStr">
        <is>
          <t>SÖDERMANLANDS LÄN</t>
        </is>
      </c>
      <c r="E452" t="inlineStr">
        <is>
          <t>NYKÖPING</t>
        </is>
      </c>
      <c r="G452" t="n">
        <v>1</v>
      </c>
      <c r="H452" t="n">
        <v>0</v>
      </c>
      <c r="I452" t="n">
        <v>0</v>
      </c>
      <c r="J452" t="n">
        <v>1</v>
      </c>
      <c r="K452" t="n">
        <v>0</v>
      </c>
      <c r="L452" t="n">
        <v>0</v>
      </c>
      <c r="M452" t="n">
        <v>0</v>
      </c>
      <c r="N452" t="n">
        <v>0</v>
      </c>
      <c r="O452" t="n">
        <v>1</v>
      </c>
      <c r="P452" t="n">
        <v>0</v>
      </c>
      <c r="Q452" t="n">
        <v>1</v>
      </c>
      <c r="R452" s="2" t="inlineStr">
        <is>
          <t>Persiljespindling</t>
        </is>
      </c>
      <c r="S452">
        <f>HYPERLINK("https://klasma.github.io/Logging_0480/artfynd/A 37879-2021 artfynd.xlsx", "A 37879-2021")</f>
        <v/>
      </c>
      <c r="T452">
        <f>HYPERLINK("https://klasma.github.io/Logging_0480/kartor/A 37879-2021 karta.png", "A 37879-2021")</f>
        <v/>
      </c>
      <c r="V452">
        <f>HYPERLINK("https://klasma.github.io/Logging_0480/klagomål/A 37879-2021 FSC-klagomål.docx", "A 37879-2021")</f>
        <v/>
      </c>
      <c r="W452">
        <f>HYPERLINK("https://klasma.github.io/Logging_0480/klagomålsmail/A 37879-2021 FSC-klagomål mail.docx", "A 37879-2021")</f>
        <v/>
      </c>
      <c r="X452">
        <f>HYPERLINK("https://klasma.github.io/Logging_0480/tillsyn/A 37879-2021 tillsynsbegäran.docx", "A 37879-2021")</f>
        <v/>
      </c>
      <c r="Y452">
        <f>HYPERLINK("https://klasma.github.io/Logging_0480/tillsynsmail/A 37879-2021 tillsynsbegäran mail.docx", "A 37879-2021")</f>
        <v/>
      </c>
    </row>
    <row r="453" ht="15" customHeight="1">
      <c r="A453" t="inlineStr">
        <is>
          <t>A 42903-2021</t>
        </is>
      </c>
      <c r="B453" s="1" t="n">
        <v>44430</v>
      </c>
      <c r="C453" s="1" t="n">
        <v>45843</v>
      </c>
      <c r="D453" t="inlineStr">
        <is>
          <t>SÖDERMANLANDS LÄN</t>
        </is>
      </c>
      <c r="E453" t="inlineStr">
        <is>
          <t>NYKÖPING</t>
        </is>
      </c>
      <c r="G453" t="n">
        <v>20.2</v>
      </c>
      <c r="H453" t="n">
        <v>0</v>
      </c>
      <c r="I453" t="n">
        <v>0</v>
      </c>
      <c r="J453" t="n">
        <v>1</v>
      </c>
      <c r="K453" t="n">
        <v>0</v>
      </c>
      <c r="L453" t="n">
        <v>0</v>
      </c>
      <c r="M453" t="n">
        <v>0</v>
      </c>
      <c r="N453" t="n">
        <v>0</v>
      </c>
      <c r="O453" t="n">
        <v>1</v>
      </c>
      <c r="P453" t="n">
        <v>0</v>
      </c>
      <c r="Q453" t="n">
        <v>1</v>
      </c>
      <c r="R453" s="2" t="inlineStr">
        <is>
          <t>Gullklöver</t>
        </is>
      </c>
      <c r="S453">
        <f>HYPERLINK("https://klasma.github.io/Logging_0480/artfynd/A 42903-2021 artfynd.xlsx", "A 42903-2021")</f>
        <v/>
      </c>
      <c r="T453">
        <f>HYPERLINK("https://klasma.github.io/Logging_0480/kartor/A 42903-2021 karta.png", "A 42903-2021")</f>
        <v/>
      </c>
      <c r="V453">
        <f>HYPERLINK("https://klasma.github.io/Logging_0480/klagomål/A 42903-2021 FSC-klagomål.docx", "A 42903-2021")</f>
        <v/>
      </c>
      <c r="W453">
        <f>HYPERLINK("https://klasma.github.io/Logging_0480/klagomålsmail/A 42903-2021 FSC-klagomål mail.docx", "A 42903-2021")</f>
        <v/>
      </c>
      <c r="X453">
        <f>HYPERLINK("https://klasma.github.io/Logging_0480/tillsyn/A 42903-2021 tillsynsbegäran.docx", "A 42903-2021")</f>
        <v/>
      </c>
      <c r="Y453">
        <f>HYPERLINK("https://klasma.github.io/Logging_0480/tillsynsmail/A 42903-2021 tillsynsbegäran mail.docx", "A 42903-2021")</f>
        <v/>
      </c>
    </row>
    <row r="454" ht="15" customHeight="1">
      <c r="A454" t="inlineStr">
        <is>
          <t>A 43536-2021</t>
        </is>
      </c>
      <c r="B454" s="1" t="n">
        <v>44433</v>
      </c>
      <c r="C454" s="1" t="n">
        <v>45843</v>
      </c>
      <c r="D454" t="inlineStr">
        <is>
          <t>SÖDERMANLANDS LÄN</t>
        </is>
      </c>
      <c r="E454" t="inlineStr">
        <is>
          <t>KATRINEHOLM</t>
        </is>
      </c>
      <c r="G454" t="n">
        <v>6</v>
      </c>
      <c r="H454" t="n">
        <v>0</v>
      </c>
      <c r="I454" t="n">
        <v>0</v>
      </c>
      <c r="J454" t="n">
        <v>1</v>
      </c>
      <c r="K454" t="n">
        <v>0</v>
      </c>
      <c r="L454" t="n">
        <v>0</v>
      </c>
      <c r="M454" t="n">
        <v>0</v>
      </c>
      <c r="N454" t="n">
        <v>0</v>
      </c>
      <c r="O454" t="n">
        <v>1</v>
      </c>
      <c r="P454" t="n">
        <v>0</v>
      </c>
      <c r="Q454" t="n">
        <v>1</v>
      </c>
      <c r="R454" s="2" t="inlineStr">
        <is>
          <t>Pilblad</t>
        </is>
      </c>
      <c r="S454">
        <f>HYPERLINK("https://klasma.github.io/Logging_0483/artfynd/A 43536-2021 artfynd.xlsx", "A 43536-2021")</f>
        <v/>
      </c>
      <c r="T454">
        <f>HYPERLINK("https://klasma.github.io/Logging_0483/kartor/A 43536-2021 karta.png", "A 43536-2021")</f>
        <v/>
      </c>
      <c r="V454">
        <f>HYPERLINK("https://klasma.github.io/Logging_0483/klagomål/A 43536-2021 FSC-klagomål.docx", "A 43536-2021")</f>
        <v/>
      </c>
      <c r="W454">
        <f>HYPERLINK("https://klasma.github.io/Logging_0483/klagomålsmail/A 43536-2021 FSC-klagomål mail.docx", "A 43536-2021")</f>
        <v/>
      </c>
      <c r="X454">
        <f>HYPERLINK("https://klasma.github.io/Logging_0483/tillsyn/A 43536-2021 tillsynsbegäran.docx", "A 43536-2021")</f>
        <v/>
      </c>
      <c r="Y454">
        <f>HYPERLINK("https://klasma.github.io/Logging_0483/tillsynsmail/A 43536-2021 tillsynsbegäran mail.docx", "A 43536-2021")</f>
        <v/>
      </c>
    </row>
    <row r="455" ht="15" customHeight="1">
      <c r="A455" t="inlineStr">
        <is>
          <t>A 45120-2021</t>
        </is>
      </c>
      <c r="B455" s="1" t="n">
        <v>44439</v>
      </c>
      <c r="C455" s="1" t="n">
        <v>45843</v>
      </c>
      <c r="D455" t="inlineStr">
        <is>
          <t>SÖDERMANLANDS LÄN</t>
        </is>
      </c>
      <c r="E455" t="inlineStr">
        <is>
          <t>FLEN</t>
        </is>
      </c>
      <c r="G455" t="n">
        <v>1.5</v>
      </c>
      <c r="H455" t="n">
        <v>0</v>
      </c>
      <c r="I455" t="n">
        <v>0</v>
      </c>
      <c r="J455" t="n">
        <v>1</v>
      </c>
      <c r="K455" t="n">
        <v>0</v>
      </c>
      <c r="L455" t="n">
        <v>0</v>
      </c>
      <c r="M455" t="n">
        <v>0</v>
      </c>
      <c r="N455" t="n">
        <v>0</v>
      </c>
      <c r="O455" t="n">
        <v>1</v>
      </c>
      <c r="P455" t="n">
        <v>0</v>
      </c>
      <c r="Q455" t="n">
        <v>1</v>
      </c>
      <c r="R455" s="2" t="inlineStr">
        <is>
          <t>Svinrot</t>
        </is>
      </c>
      <c r="S455">
        <f>HYPERLINK("https://klasma.github.io/Logging_0482/artfynd/A 45120-2021 artfynd.xlsx", "A 45120-2021")</f>
        <v/>
      </c>
      <c r="T455">
        <f>HYPERLINK("https://klasma.github.io/Logging_0482/kartor/A 45120-2021 karta.png", "A 45120-2021")</f>
        <v/>
      </c>
      <c r="V455">
        <f>HYPERLINK("https://klasma.github.io/Logging_0482/klagomål/A 45120-2021 FSC-klagomål.docx", "A 45120-2021")</f>
        <v/>
      </c>
      <c r="W455">
        <f>HYPERLINK("https://klasma.github.io/Logging_0482/klagomålsmail/A 45120-2021 FSC-klagomål mail.docx", "A 45120-2021")</f>
        <v/>
      </c>
      <c r="X455">
        <f>HYPERLINK("https://klasma.github.io/Logging_0482/tillsyn/A 45120-2021 tillsynsbegäran.docx", "A 45120-2021")</f>
        <v/>
      </c>
      <c r="Y455">
        <f>HYPERLINK("https://klasma.github.io/Logging_0482/tillsynsmail/A 45120-2021 tillsynsbegäran mail.docx", "A 45120-2021")</f>
        <v/>
      </c>
    </row>
    <row r="456" ht="15" customHeight="1">
      <c r="A456" t="inlineStr">
        <is>
          <t>A 47095-2021</t>
        </is>
      </c>
      <c r="B456" s="1" t="n">
        <v>44446</v>
      </c>
      <c r="C456" s="1" t="n">
        <v>45843</v>
      </c>
      <c r="D456" t="inlineStr">
        <is>
          <t>SÖDERMANLANDS LÄN</t>
        </is>
      </c>
      <c r="E456" t="inlineStr">
        <is>
          <t>NYKÖPING</t>
        </is>
      </c>
      <c r="F456" t="inlineStr">
        <is>
          <t>Kommuner</t>
        </is>
      </c>
      <c r="G456" t="n">
        <v>1.4</v>
      </c>
      <c r="H456" t="n">
        <v>1</v>
      </c>
      <c r="I456" t="n">
        <v>0</v>
      </c>
      <c r="J456" t="n">
        <v>0</v>
      </c>
      <c r="K456" t="n">
        <v>1</v>
      </c>
      <c r="L456" t="n">
        <v>0</v>
      </c>
      <c r="M456" t="n">
        <v>0</v>
      </c>
      <c r="N456" t="n">
        <v>0</v>
      </c>
      <c r="O456" t="n">
        <v>1</v>
      </c>
      <c r="P456" t="n">
        <v>1</v>
      </c>
      <c r="Q456" t="n">
        <v>1</v>
      </c>
      <c r="R456" s="2" t="inlineStr">
        <is>
          <t>Kricka</t>
        </is>
      </c>
      <c r="S456">
        <f>HYPERLINK("https://klasma.github.io/Logging_0480/artfynd/A 47095-2021 artfynd.xlsx", "A 47095-2021")</f>
        <v/>
      </c>
      <c r="T456">
        <f>HYPERLINK("https://klasma.github.io/Logging_0480/kartor/A 47095-2021 karta.png", "A 47095-2021")</f>
        <v/>
      </c>
      <c r="V456">
        <f>HYPERLINK("https://klasma.github.io/Logging_0480/klagomål/A 47095-2021 FSC-klagomål.docx", "A 47095-2021")</f>
        <v/>
      </c>
      <c r="W456">
        <f>HYPERLINK("https://klasma.github.io/Logging_0480/klagomålsmail/A 47095-2021 FSC-klagomål mail.docx", "A 47095-2021")</f>
        <v/>
      </c>
      <c r="X456">
        <f>HYPERLINK("https://klasma.github.io/Logging_0480/tillsyn/A 47095-2021 tillsynsbegäran.docx", "A 47095-2021")</f>
        <v/>
      </c>
      <c r="Y456">
        <f>HYPERLINK("https://klasma.github.io/Logging_0480/tillsynsmail/A 47095-2021 tillsynsbegäran mail.docx", "A 47095-2021")</f>
        <v/>
      </c>
      <c r="Z456">
        <f>HYPERLINK("https://klasma.github.io/Logging_0480/fåglar/A 47095-2021 prioriterade fågelarter.docx", "A 47095-2021")</f>
        <v/>
      </c>
    </row>
    <row r="457" ht="15" customHeight="1">
      <c r="A457" t="inlineStr">
        <is>
          <t>A 47107-2021</t>
        </is>
      </c>
      <c r="B457" s="1" t="n">
        <v>44446</v>
      </c>
      <c r="C457" s="1" t="n">
        <v>45843</v>
      </c>
      <c r="D457" t="inlineStr">
        <is>
          <t>SÖDERMANLANDS LÄN</t>
        </is>
      </c>
      <c r="E457" t="inlineStr">
        <is>
          <t>NYKÖPING</t>
        </is>
      </c>
      <c r="F457" t="inlineStr">
        <is>
          <t>Kommuner</t>
        </is>
      </c>
      <c r="G457" t="n">
        <v>4.9</v>
      </c>
      <c r="H457" t="n">
        <v>1</v>
      </c>
      <c r="I457" t="n">
        <v>0</v>
      </c>
      <c r="J457" t="n">
        <v>0</v>
      </c>
      <c r="K457" t="n">
        <v>0</v>
      </c>
      <c r="L457" t="n">
        <v>0</v>
      </c>
      <c r="M457" t="n">
        <v>0</v>
      </c>
      <c r="N457" t="n">
        <v>0</v>
      </c>
      <c r="O457" t="n">
        <v>0</v>
      </c>
      <c r="P457" t="n">
        <v>0</v>
      </c>
      <c r="Q457" t="n">
        <v>1</v>
      </c>
      <c r="R457" s="2" t="inlineStr">
        <is>
          <t>Enkelbeckasin</t>
        </is>
      </c>
      <c r="S457">
        <f>HYPERLINK("https://klasma.github.io/Logging_0480/artfynd/A 47107-2021 artfynd.xlsx", "A 47107-2021")</f>
        <v/>
      </c>
      <c r="T457">
        <f>HYPERLINK("https://klasma.github.io/Logging_0480/kartor/A 47107-2021 karta.png", "A 47107-2021")</f>
        <v/>
      </c>
      <c r="V457">
        <f>HYPERLINK("https://klasma.github.io/Logging_0480/klagomål/A 47107-2021 FSC-klagomål.docx", "A 47107-2021")</f>
        <v/>
      </c>
      <c r="W457">
        <f>HYPERLINK("https://klasma.github.io/Logging_0480/klagomålsmail/A 47107-2021 FSC-klagomål mail.docx", "A 47107-2021")</f>
        <v/>
      </c>
      <c r="X457">
        <f>HYPERLINK("https://klasma.github.io/Logging_0480/tillsyn/A 47107-2021 tillsynsbegäran.docx", "A 47107-2021")</f>
        <v/>
      </c>
      <c r="Y457">
        <f>HYPERLINK("https://klasma.github.io/Logging_0480/tillsynsmail/A 47107-2021 tillsynsbegäran mail.docx", "A 47107-2021")</f>
        <v/>
      </c>
      <c r="Z457">
        <f>HYPERLINK("https://klasma.github.io/Logging_0480/fåglar/A 47107-2021 prioriterade fågelarter.docx", "A 47107-2021")</f>
        <v/>
      </c>
    </row>
    <row r="458" ht="15" customHeight="1">
      <c r="A458" t="inlineStr">
        <is>
          <t>A 48520-2021</t>
        </is>
      </c>
      <c r="B458" s="1" t="n">
        <v>44449</v>
      </c>
      <c r="C458" s="1" t="n">
        <v>45843</v>
      </c>
      <c r="D458" t="inlineStr">
        <is>
          <t>SÖDERMANLANDS LÄN</t>
        </is>
      </c>
      <c r="E458" t="inlineStr">
        <is>
          <t>FLEN</t>
        </is>
      </c>
      <c r="G458" t="n">
        <v>9.1</v>
      </c>
      <c r="H458" t="n">
        <v>0</v>
      </c>
      <c r="I458" t="n">
        <v>1</v>
      </c>
      <c r="J458" t="n">
        <v>0</v>
      </c>
      <c r="K458" t="n">
        <v>0</v>
      </c>
      <c r="L458" t="n">
        <v>0</v>
      </c>
      <c r="M458" t="n">
        <v>0</v>
      </c>
      <c r="N458" t="n">
        <v>0</v>
      </c>
      <c r="O458" t="n">
        <v>0</v>
      </c>
      <c r="P458" t="n">
        <v>0</v>
      </c>
      <c r="Q458" t="n">
        <v>1</v>
      </c>
      <c r="R458" s="2" t="inlineStr">
        <is>
          <t>Blåmossa</t>
        </is>
      </c>
      <c r="S458">
        <f>HYPERLINK("https://klasma.github.io/Logging_0482/artfynd/A 48520-2021 artfynd.xlsx", "A 48520-2021")</f>
        <v/>
      </c>
      <c r="T458">
        <f>HYPERLINK("https://klasma.github.io/Logging_0482/kartor/A 48520-2021 karta.png", "A 48520-2021")</f>
        <v/>
      </c>
      <c r="V458">
        <f>HYPERLINK("https://klasma.github.io/Logging_0482/klagomål/A 48520-2021 FSC-klagomål.docx", "A 48520-2021")</f>
        <v/>
      </c>
      <c r="W458">
        <f>HYPERLINK("https://klasma.github.io/Logging_0482/klagomålsmail/A 48520-2021 FSC-klagomål mail.docx", "A 48520-2021")</f>
        <v/>
      </c>
      <c r="X458">
        <f>HYPERLINK("https://klasma.github.io/Logging_0482/tillsyn/A 48520-2021 tillsynsbegäran.docx", "A 48520-2021")</f>
        <v/>
      </c>
      <c r="Y458">
        <f>HYPERLINK("https://klasma.github.io/Logging_0482/tillsynsmail/A 48520-2021 tillsynsbegäran mail.docx", "A 48520-2021")</f>
        <v/>
      </c>
    </row>
    <row r="459" ht="15" customHeight="1">
      <c r="A459" t="inlineStr">
        <is>
          <t>A 48676-2021</t>
        </is>
      </c>
      <c r="B459" s="1" t="n">
        <v>44452</v>
      </c>
      <c r="C459" s="1" t="n">
        <v>45843</v>
      </c>
      <c r="D459" t="inlineStr">
        <is>
          <t>SÖDERMANLANDS LÄN</t>
        </is>
      </c>
      <c r="E459" t="inlineStr">
        <is>
          <t>ESKILSTUNA</t>
        </is>
      </c>
      <c r="G459" t="n">
        <v>8.4</v>
      </c>
      <c r="H459" t="n">
        <v>0</v>
      </c>
      <c r="I459" t="n">
        <v>1</v>
      </c>
      <c r="J459" t="n">
        <v>0</v>
      </c>
      <c r="K459" t="n">
        <v>0</v>
      </c>
      <c r="L459" t="n">
        <v>0</v>
      </c>
      <c r="M459" t="n">
        <v>0</v>
      </c>
      <c r="N459" t="n">
        <v>0</v>
      </c>
      <c r="O459" t="n">
        <v>0</v>
      </c>
      <c r="P459" t="n">
        <v>0</v>
      </c>
      <c r="Q459" t="n">
        <v>1</v>
      </c>
      <c r="R459" s="2" t="inlineStr">
        <is>
          <t>Bronshjon</t>
        </is>
      </c>
      <c r="S459">
        <f>HYPERLINK("https://klasma.github.io/Logging_0484/artfynd/A 48676-2021 artfynd.xlsx", "A 48676-2021")</f>
        <v/>
      </c>
      <c r="T459">
        <f>HYPERLINK("https://klasma.github.io/Logging_0484/kartor/A 48676-2021 karta.png", "A 48676-2021")</f>
        <v/>
      </c>
      <c r="V459">
        <f>HYPERLINK("https://klasma.github.io/Logging_0484/klagomål/A 48676-2021 FSC-klagomål.docx", "A 48676-2021")</f>
        <v/>
      </c>
      <c r="W459">
        <f>HYPERLINK("https://klasma.github.io/Logging_0484/klagomålsmail/A 48676-2021 FSC-klagomål mail.docx", "A 48676-2021")</f>
        <v/>
      </c>
      <c r="X459">
        <f>HYPERLINK("https://klasma.github.io/Logging_0484/tillsyn/A 48676-2021 tillsynsbegäran.docx", "A 48676-2021")</f>
        <v/>
      </c>
      <c r="Y459">
        <f>HYPERLINK("https://klasma.github.io/Logging_0484/tillsynsmail/A 48676-2021 tillsynsbegäran mail.docx", "A 48676-2021")</f>
        <v/>
      </c>
    </row>
    <row r="460" ht="15" customHeight="1">
      <c r="A460" t="inlineStr">
        <is>
          <t>A 49255-2021</t>
        </is>
      </c>
      <c r="B460" s="1" t="n">
        <v>44454</v>
      </c>
      <c r="C460" s="1" t="n">
        <v>45843</v>
      </c>
      <c r="D460" t="inlineStr">
        <is>
          <t>SÖDERMANLANDS LÄN</t>
        </is>
      </c>
      <c r="E460" t="inlineStr">
        <is>
          <t>FLEN</t>
        </is>
      </c>
      <c r="G460" t="n">
        <v>15.6</v>
      </c>
      <c r="H460" t="n">
        <v>1</v>
      </c>
      <c r="I460" t="n">
        <v>0</v>
      </c>
      <c r="J460" t="n">
        <v>0</v>
      </c>
      <c r="K460" t="n">
        <v>0</v>
      </c>
      <c r="L460" t="n">
        <v>0</v>
      </c>
      <c r="M460" t="n">
        <v>0</v>
      </c>
      <c r="N460" t="n">
        <v>0</v>
      </c>
      <c r="O460" t="n">
        <v>0</v>
      </c>
      <c r="P460" t="n">
        <v>0</v>
      </c>
      <c r="Q460" t="n">
        <v>1</v>
      </c>
      <c r="R460" s="2" t="inlineStr">
        <is>
          <t>Revlummer</t>
        </is>
      </c>
      <c r="S460">
        <f>HYPERLINK("https://klasma.github.io/Logging_0482/artfynd/A 49255-2021 artfynd.xlsx", "A 49255-2021")</f>
        <v/>
      </c>
      <c r="T460">
        <f>HYPERLINK("https://klasma.github.io/Logging_0482/kartor/A 49255-2021 karta.png", "A 49255-2021")</f>
        <v/>
      </c>
      <c r="V460">
        <f>HYPERLINK("https://klasma.github.io/Logging_0482/klagomål/A 49255-2021 FSC-klagomål.docx", "A 49255-2021")</f>
        <v/>
      </c>
      <c r="W460">
        <f>HYPERLINK("https://klasma.github.io/Logging_0482/klagomålsmail/A 49255-2021 FSC-klagomål mail.docx", "A 49255-2021")</f>
        <v/>
      </c>
      <c r="X460">
        <f>HYPERLINK("https://klasma.github.io/Logging_0482/tillsyn/A 49255-2021 tillsynsbegäran.docx", "A 49255-2021")</f>
        <v/>
      </c>
      <c r="Y460">
        <f>HYPERLINK("https://klasma.github.io/Logging_0482/tillsynsmail/A 49255-2021 tillsynsbegäran mail.docx", "A 49255-2021")</f>
        <v/>
      </c>
    </row>
    <row r="461" ht="15" customHeight="1">
      <c r="A461" t="inlineStr">
        <is>
          <t>A 53206-2021</t>
        </is>
      </c>
      <c r="B461" s="1" t="n">
        <v>44468</v>
      </c>
      <c r="C461" s="1" t="n">
        <v>45843</v>
      </c>
      <c r="D461" t="inlineStr">
        <is>
          <t>SÖDERMANLANDS LÄN</t>
        </is>
      </c>
      <c r="E461" t="inlineStr">
        <is>
          <t>ESKILSTUNA</t>
        </is>
      </c>
      <c r="G461" t="n">
        <v>12.8</v>
      </c>
      <c r="H461" t="n">
        <v>0</v>
      </c>
      <c r="I461" t="n">
        <v>1</v>
      </c>
      <c r="J461" t="n">
        <v>0</v>
      </c>
      <c r="K461" t="n">
        <v>0</v>
      </c>
      <c r="L461" t="n">
        <v>0</v>
      </c>
      <c r="M461" t="n">
        <v>0</v>
      </c>
      <c r="N461" t="n">
        <v>0</v>
      </c>
      <c r="O461" t="n">
        <v>0</v>
      </c>
      <c r="P461" t="n">
        <v>0</v>
      </c>
      <c r="Q461" t="n">
        <v>1</v>
      </c>
      <c r="R461" s="2" t="inlineStr">
        <is>
          <t>Zontaggsvamp</t>
        </is>
      </c>
      <c r="S461">
        <f>HYPERLINK("https://klasma.github.io/Logging_0484/artfynd/A 53206-2021 artfynd.xlsx", "A 53206-2021")</f>
        <v/>
      </c>
      <c r="T461">
        <f>HYPERLINK("https://klasma.github.io/Logging_0484/kartor/A 53206-2021 karta.png", "A 53206-2021")</f>
        <v/>
      </c>
      <c r="V461">
        <f>HYPERLINK("https://klasma.github.io/Logging_0484/klagomål/A 53206-2021 FSC-klagomål.docx", "A 53206-2021")</f>
        <v/>
      </c>
      <c r="W461">
        <f>HYPERLINK("https://klasma.github.io/Logging_0484/klagomålsmail/A 53206-2021 FSC-klagomål mail.docx", "A 53206-2021")</f>
        <v/>
      </c>
      <c r="X461">
        <f>HYPERLINK("https://klasma.github.io/Logging_0484/tillsyn/A 53206-2021 tillsynsbegäran.docx", "A 53206-2021")</f>
        <v/>
      </c>
      <c r="Y461">
        <f>HYPERLINK("https://klasma.github.io/Logging_0484/tillsynsmail/A 53206-2021 tillsynsbegäran mail.docx", "A 53206-2021")</f>
        <v/>
      </c>
    </row>
    <row r="462" ht="15" customHeight="1">
      <c r="A462" t="inlineStr">
        <is>
          <t>A 55092-2021</t>
        </is>
      </c>
      <c r="B462" s="1" t="n">
        <v>44474</v>
      </c>
      <c r="C462" s="1" t="n">
        <v>45843</v>
      </c>
      <c r="D462" t="inlineStr">
        <is>
          <t>SÖDERMANLANDS LÄN</t>
        </is>
      </c>
      <c r="E462" t="inlineStr">
        <is>
          <t>FLEN</t>
        </is>
      </c>
      <c r="G462" t="n">
        <v>3.5</v>
      </c>
      <c r="H462" t="n">
        <v>1</v>
      </c>
      <c r="I462" t="n">
        <v>0</v>
      </c>
      <c r="J462" t="n">
        <v>0</v>
      </c>
      <c r="K462" t="n">
        <v>0</v>
      </c>
      <c r="L462" t="n">
        <v>0</v>
      </c>
      <c r="M462" t="n">
        <v>0</v>
      </c>
      <c r="N462" t="n">
        <v>0</v>
      </c>
      <c r="O462" t="n">
        <v>0</v>
      </c>
      <c r="P462" t="n">
        <v>0</v>
      </c>
      <c r="Q462" t="n">
        <v>1</v>
      </c>
      <c r="R462" s="2" t="inlineStr">
        <is>
          <t>Huggorm</t>
        </is>
      </c>
      <c r="S462">
        <f>HYPERLINK("https://klasma.github.io/Logging_0482/artfynd/A 55092-2021 artfynd.xlsx", "A 55092-2021")</f>
        <v/>
      </c>
      <c r="T462">
        <f>HYPERLINK("https://klasma.github.io/Logging_0482/kartor/A 55092-2021 karta.png", "A 55092-2021")</f>
        <v/>
      </c>
      <c r="V462">
        <f>HYPERLINK("https://klasma.github.io/Logging_0482/klagomål/A 55092-2021 FSC-klagomål.docx", "A 55092-2021")</f>
        <v/>
      </c>
      <c r="W462">
        <f>HYPERLINK("https://klasma.github.io/Logging_0482/klagomålsmail/A 55092-2021 FSC-klagomål mail.docx", "A 55092-2021")</f>
        <v/>
      </c>
      <c r="X462">
        <f>HYPERLINK("https://klasma.github.io/Logging_0482/tillsyn/A 55092-2021 tillsynsbegäran.docx", "A 55092-2021")</f>
        <v/>
      </c>
      <c r="Y462">
        <f>HYPERLINK("https://klasma.github.io/Logging_0482/tillsynsmail/A 55092-2021 tillsynsbegäran mail.docx", "A 55092-2021")</f>
        <v/>
      </c>
    </row>
    <row r="463" ht="15" customHeight="1">
      <c r="A463" t="inlineStr">
        <is>
          <t>A 57519-2021</t>
        </is>
      </c>
      <c r="B463" s="1" t="n">
        <v>44483</v>
      </c>
      <c r="C463" s="1" t="n">
        <v>45843</v>
      </c>
      <c r="D463" t="inlineStr">
        <is>
          <t>SÖDERMANLANDS LÄN</t>
        </is>
      </c>
      <c r="E463" t="inlineStr">
        <is>
          <t>KATRINEHOLM</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HYPERLINK("https://klasma.github.io/Logging_0483/artfynd/A 57519-2021 artfynd.xlsx", "A 57519-2021")</f>
        <v/>
      </c>
      <c r="T463">
        <f>HYPERLINK("https://klasma.github.io/Logging_0483/kartor/A 57519-2021 karta.png", "A 57519-2021")</f>
        <v/>
      </c>
      <c r="V463">
        <f>HYPERLINK("https://klasma.github.io/Logging_0483/klagomål/A 57519-2021 FSC-klagomål.docx", "A 57519-2021")</f>
        <v/>
      </c>
      <c r="W463">
        <f>HYPERLINK("https://klasma.github.io/Logging_0483/klagomålsmail/A 57519-2021 FSC-klagomål mail.docx", "A 57519-2021")</f>
        <v/>
      </c>
      <c r="X463">
        <f>HYPERLINK("https://klasma.github.io/Logging_0483/tillsyn/A 57519-2021 tillsynsbegäran.docx", "A 57519-2021")</f>
        <v/>
      </c>
      <c r="Y463">
        <f>HYPERLINK("https://klasma.github.io/Logging_0483/tillsynsmail/A 57519-2021 tillsynsbegäran mail.docx", "A 57519-2021")</f>
        <v/>
      </c>
    </row>
    <row r="464" ht="15" customHeight="1">
      <c r="A464" t="inlineStr">
        <is>
          <t>A 57766-2021</t>
        </is>
      </c>
      <c r="B464" s="1" t="n">
        <v>44484</v>
      </c>
      <c r="C464" s="1" t="n">
        <v>45843</v>
      </c>
      <c r="D464" t="inlineStr">
        <is>
          <t>SÖDERMANLANDS LÄN</t>
        </is>
      </c>
      <c r="E464" t="inlineStr">
        <is>
          <t>FLEN</t>
        </is>
      </c>
      <c r="G464" t="n">
        <v>9.9</v>
      </c>
      <c r="H464" t="n">
        <v>0</v>
      </c>
      <c r="I464" t="n">
        <v>0</v>
      </c>
      <c r="J464" t="n">
        <v>1</v>
      </c>
      <c r="K464" t="n">
        <v>0</v>
      </c>
      <c r="L464" t="n">
        <v>0</v>
      </c>
      <c r="M464" t="n">
        <v>0</v>
      </c>
      <c r="N464" t="n">
        <v>0</v>
      </c>
      <c r="O464" t="n">
        <v>1</v>
      </c>
      <c r="P464" t="n">
        <v>0</v>
      </c>
      <c r="Q464" t="n">
        <v>1</v>
      </c>
      <c r="R464" s="2" t="inlineStr">
        <is>
          <t>Gullklöver</t>
        </is>
      </c>
      <c r="S464">
        <f>HYPERLINK("https://klasma.github.io/Logging_0482/artfynd/A 57766-2021 artfynd.xlsx", "A 57766-2021")</f>
        <v/>
      </c>
      <c r="T464">
        <f>HYPERLINK("https://klasma.github.io/Logging_0482/kartor/A 57766-2021 karta.png", "A 57766-2021")</f>
        <v/>
      </c>
      <c r="V464">
        <f>HYPERLINK("https://klasma.github.io/Logging_0482/klagomål/A 57766-2021 FSC-klagomål.docx", "A 57766-2021")</f>
        <v/>
      </c>
      <c r="W464">
        <f>HYPERLINK("https://klasma.github.io/Logging_0482/klagomålsmail/A 57766-2021 FSC-klagomål mail.docx", "A 57766-2021")</f>
        <v/>
      </c>
      <c r="X464">
        <f>HYPERLINK("https://klasma.github.io/Logging_0482/tillsyn/A 57766-2021 tillsynsbegäran.docx", "A 57766-2021")</f>
        <v/>
      </c>
      <c r="Y464">
        <f>HYPERLINK("https://klasma.github.io/Logging_0482/tillsynsmail/A 57766-2021 tillsynsbegäran mail.docx", "A 57766-2021")</f>
        <v/>
      </c>
    </row>
    <row r="465" ht="15" customHeight="1">
      <c r="A465" t="inlineStr">
        <is>
          <t>A 58396-2021</t>
        </is>
      </c>
      <c r="B465" s="1" t="n">
        <v>44488</v>
      </c>
      <c r="C465" s="1" t="n">
        <v>45843</v>
      </c>
      <c r="D465" t="inlineStr">
        <is>
          <t>SÖDERMANLANDS LÄN</t>
        </is>
      </c>
      <c r="E465" t="inlineStr">
        <is>
          <t>NYKÖPING</t>
        </is>
      </c>
      <c r="G465" t="n">
        <v>1.5</v>
      </c>
      <c r="H465" t="n">
        <v>1</v>
      </c>
      <c r="I465" t="n">
        <v>0</v>
      </c>
      <c r="J465" t="n">
        <v>1</v>
      </c>
      <c r="K465" t="n">
        <v>0</v>
      </c>
      <c r="L465" t="n">
        <v>0</v>
      </c>
      <c r="M465" t="n">
        <v>0</v>
      </c>
      <c r="N465" t="n">
        <v>0</v>
      </c>
      <c r="O465" t="n">
        <v>1</v>
      </c>
      <c r="P465" t="n">
        <v>0</v>
      </c>
      <c r="Q465" t="n">
        <v>1</v>
      </c>
      <c r="R465" s="2" t="inlineStr">
        <is>
          <t>Havsörn</t>
        </is>
      </c>
      <c r="S465">
        <f>HYPERLINK("https://klasma.github.io/Logging_0480/artfynd/A 58396-2021 artfynd.xlsx", "A 58396-2021")</f>
        <v/>
      </c>
      <c r="T465">
        <f>HYPERLINK("https://klasma.github.io/Logging_0480/kartor/A 58396-2021 karta.png", "A 58396-2021")</f>
        <v/>
      </c>
      <c r="V465">
        <f>HYPERLINK("https://klasma.github.io/Logging_0480/klagomål/A 58396-2021 FSC-klagomål.docx", "A 58396-2021")</f>
        <v/>
      </c>
      <c r="W465">
        <f>HYPERLINK("https://klasma.github.io/Logging_0480/klagomålsmail/A 58396-2021 FSC-klagomål mail.docx", "A 58396-2021")</f>
        <v/>
      </c>
      <c r="X465">
        <f>HYPERLINK("https://klasma.github.io/Logging_0480/tillsyn/A 58396-2021 tillsynsbegäran.docx", "A 58396-2021")</f>
        <v/>
      </c>
      <c r="Y465">
        <f>HYPERLINK("https://klasma.github.io/Logging_0480/tillsynsmail/A 58396-2021 tillsynsbegäran mail.docx", "A 58396-2021")</f>
        <v/>
      </c>
      <c r="Z465">
        <f>HYPERLINK("https://klasma.github.io/Logging_0480/fåglar/A 58396-2021 prioriterade fågelarter.docx", "A 58396-2021")</f>
        <v/>
      </c>
    </row>
    <row r="466" ht="15" customHeight="1">
      <c r="A466" t="inlineStr">
        <is>
          <t>A 61071-2021</t>
        </is>
      </c>
      <c r="B466" s="1" t="n">
        <v>44497</v>
      </c>
      <c r="C466" s="1" t="n">
        <v>45843</v>
      </c>
      <c r="D466" t="inlineStr">
        <is>
          <t>SÖDERMANLANDS LÄN</t>
        </is>
      </c>
      <c r="E466" t="inlineStr">
        <is>
          <t>NYKÖPING</t>
        </is>
      </c>
      <c r="G466" t="n">
        <v>3.8</v>
      </c>
      <c r="H466" t="n">
        <v>0</v>
      </c>
      <c r="I466" t="n">
        <v>1</v>
      </c>
      <c r="J466" t="n">
        <v>0</v>
      </c>
      <c r="K466" t="n">
        <v>0</v>
      </c>
      <c r="L466" t="n">
        <v>0</v>
      </c>
      <c r="M466" t="n">
        <v>0</v>
      </c>
      <c r="N466" t="n">
        <v>0</v>
      </c>
      <c r="O466" t="n">
        <v>0</v>
      </c>
      <c r="P466" t="n">
        <v>0</v>
      </c>
      <c r="Q466" t="n">
        <v>1</v>
      </c>
      <c r="R466" s="2" t="inlineStr">
        <is>
          <t>Bronshjon</t>
        </is>
      </c>
      <c r="S466">
        <f>HYPERLINK("https://klasma.github.io/Logging_0480/artfynd/A 61071-2021 artfynd.xlsx", "A 61071-2021")</f>
        <v/>
      </c>
      <c r="T466">
        <f>HYPERLINK("https://klasma.github.io/Logging_0480/kartor/A 61071-2021 karta.png", "A 61071-2021")</f>
        <v/>
      </c>
      <c r="V466">
        <f>HYPERLINK("https://klasma.github.io/Logging_0480/klagomål/A 61071-2021 FSC-klagomål.docx", "A 61071-2021")</f>
        <v/>
      </c>
      <c r="W466">
        <f>HYPERLINK("https://klasma.github.io/Logging_0480/klagomålsmail/A 61071-2021 FSC-klagomål mail.docx", "A 61071-2021")</f>
        <v/>
      </c>
      <c r="X466">
        <f>HYPERLINK("https://klasma.github.io/Logging_0480/tillsyn/A 61071-2021 tillsynsbegäran.docx", "A 61071-2021")</f>
        <v/>
      </c>
      <c r="Y466">
        <f>HYPERLINK("https://klasma.github.io/Logging_0480/tillsynsmail/A 61071-2021 tillsynsbegäran mail.docx", "A 61071-2021")</f>
        <v/>
      </c>
    </row>
    <row r="467" ht="15" customHeight="1">
      <c r="A467" t="inlineStr">
        <is>
          <t>A 62141-2021</t>
        </is>
      </c>
      <c r="B467" s="1" t="n">
        <v>44502</v>
      </c>
      <c r="C467" s="1" t="n">
        <v>45843</v>
      </c>
      <c r="D467" t="inlineStr">
        <is>
          <t>SÖDERMANLANDS LÄN</t>
        </is>
      </c>
      <c r="E467" t="inlineStr">
        <is>
          <t>ESKILSTUNA</t>
        </is>
      </c>
      <c r="F467" t="inlineStr">
        <is>
          <t>Kyrkan</t>
        </is>
      </c>
      <c r="G467" t="n">
        <v>13.7</v>
      </c>
      <c r="H467" t="n">
        <v>1</v>
      </c>
      <c r="I467" t="n">
        <v>0</v>
      </c>
      <c r="J467" t="n">
        <v>0</v>
      </c>
      <c r="K467" t="n">
        <v>0</v>
      </c>
      <c r="L467" t="n">
        <v>0</v>
      </c>
      <c r="M467" t="n">
        <v>0</v>
      </c>
      <c r="N467" t="n">
        <v>0</v>
      </c>
      <c r="O467" t="n">
        <v>0</v>
      </c>
      <c r="P467" t="n">
        <v>0</v>
      </c>
      <c r="Q467" t="n">
        <v>1</v>
      </c>
      <c r="R467" s="2" t="inlineStr">
        <is>
          <t>Mattlummer</t>
        </is>
      </c>
      <c r="S467">
        <f>HYPERLINK("https://klasma.github.io/Logging_0484/artfynd/A 62141-2021 artfynd.xlsx", "A 62141-2021")</f>
        <v/>
      </c>
      <c r="T467">
        <f>HYPERLINK("https://klasma.github.io/Logging_0484/kartor/A 62141-2021 karta.png", "A 62141-2021")</f>
        <v/>
      </c>
      <c r="V467">
        <f>HYPERLINK("https://klasma.github.io/Logging_0484/klagomål/A 62141-2021 FSC-klagomål.docx", "A 62141-2021")</f>
        <v/>
      </c>
      <c r="W467">
        <f>HYPERLINK("https://klasma.github.io/Logging_0484/klagomålsmail/A 62141-2021 FSC-klagomål mail.docx", "A 62141-2021")</f>
        <v/>
      </c>
      <c r="X467">
        <f>HYPERLINK("https://klasma.github.io/Logging_0484/tillsyn/A 62141-2021 tillsynsbegäran.docx", "A 62141-2021")</f>
        <v/>
      </c>
      <c r="Y467">
        <f>HYPERLINK("https://klasma.github.io/Logging_0484/tillsynsmail/A 62141-2021 tillsynsbegäran mail.docx", "A 62141-2021")</f>
        <v/>
      </c>
    </row>
    <row r="468" ht="15" customHeight="1">
      <c r="A468" t="inlineStr">
        <is>
          <t>A 62355-2021</t>
        </is>
      </c>
      <c r="B468" s="1" t="n">
        <v>44503</v>
      </c>
      <c r="C468" s="1" t="n">
        <v>45843</v>
      </c>
      <c r="D468" t="inlineStr">
        <is>
          <t>SÖDERMANLANDS LÄN</t>
        </is>
      </c>
      <c r="E468" t="inlineStr">
        <is>
          <t>FLEN</t>
        </is>
      </c>
      <c r="G468" t="n">
        <v>1</v>
      </c>
      <c r="H468" t="n">
        <v>0</v>
      </c>
      <c r="I468" t="n">
        <v>0</v>
      </c>
      <c r="J468" t="n">
        <v>1</v>
      </c>
      <c r="K468" t="n">
        <v>0</v>
      </c>
      <c r="L468" t="n">
        <v>0</v>
      </c>
      <c r="M468" t="n">
        <v>0</v>
      </c>
      <c r="N468" t="n">
        <v>0</v>
      </c>
      <c r="O468" t="n">
        <v>1</v>
      </c>
      <c r="P468" t="n">
        <v>0</v>
      </c>
      <c r="Q468" t="n">
        <v>1</v>
      </c>
      <c r="R468" s="2" t="inlineStr">
        <is>
          <t>Svinrot</t>
        </is>
      </c>
      <c r="S468">
        <f>HYPERLINK("https://klasma.github.io/Logging_0482/artfynd/A 62355-2021 artfynd.xlsx", "A 62355-2021")</f>
        <v/>
      </c>
      <c r="T468">
        <f>HYPERLINK("https://klasma.github.io/Logging_0482/kartor/A 62355-2021 karta.png", "A 62355-2021")</f>
        <v/>
      </c>
      <c r="V468">
        <f>HYPERLINK("https://klasma.github.io/Logging_0482/klagomål/A 62355-2021 FSC-klagomål.docx", "A 62355-2021")</f>
        <v/>
      </c>
      <c r="W468">
        <f>HYPERLINK("https://klasma.github.io/Logging_0482/klagomålsmail/A 62355-2021 FSC-klagomål mail.docx", "A 62355-2021")</f>
        <v/>
      </c>
      <c r="X468">
        <f>HYPERLINK("https://klasma.github.io/Logging_0482/tillsyn/A 62355-2021 tillsynsbegäran.docx", "A 62355-2021")</f>
        <v/>
      </c>
      <c r="Y468">
        <f>HYPERLINK("https://klasma.github.io/Logging_0482/tillsynsmail/A 62355-2021 tillsynsbegäran mail.docx", "A 62355-2021")</f>
        <v/>
      </c>
    </row>
    <row r="469" ht="15" customHeight="1">
      <c r="A469" t="inlineStr">
        <is>
          <t>A 62535-2021</t>
        </is>
      </c>
      <c r="B469" s="1" t="n">
        <v>44503</v>
      </c>
      <c r="C469" s="1" t="n">
        <v>45843</v>
      </c>
      <c r="D469" t="inlineStr">
        <is>
          <t>SÖDERMANLANDS LÄN</t>
        </is>
      </c>
      <c r="E469" t="inlineStr">
        <is>
          <t>FLEN</t>
        </is>
      </c>
      <c r="G469" t="n">
        <v>0.6</v>
      </c>
      <c r="H469" t="n">
        <v>1</v>
      </c>
      <c r="I469" t="n">
        <v>0</v>
      </c>
      <c r="J469" t="n">
        <v>0</v>
      </c>
      <c r="K469" t="n">
        <v>0</v>
      </c>
      <c r="L469" t="n">
        <v>0</v>
      </c>
      <c r="M469" t="n">
        <v>0</v>
      </c>
      <c r="N469" t="n">
        <v>0</v>
      </c>
      <c r="O469" t="n">
        <v>0</v>
      </c>
      <c r="P469" t="n">
        <v>0</v>
      </c>
      <c r="Q469" t="n">
        <v>1</v>
      </c>
      <c r="R469" s="2" t="inlineStr">
        <is>
          <t>Blåsippa</t>
        </is>
      </c>
      <c r="S469">
        <f>HYPERLINK("https://klasma.github.io/Logging_0482/artfynd/A 62535-2021 artfynd.xlsx", "A 62535-2021")</f>
        <v/>
      </c>
      <c r="T469">
        <f>HYPERLINK("https://klasma.github.io/Logging_0482/kartor/A 62535-2021 karta.png", "A 62535-2021")</f>
        <v/>
      </c>
      <c r="V469">
        <f>HYPERLINK("https://klasma.github.io/Logging_0482/klagomål/A 62535-2021 FSC-klagomål.docx", "A 62535-2021")</f>
        <v/>
      </c>
      <c r="W469">
        <f>HYPERLINK("https://klasma.github.io/Logging_0482/klagomålsmail/A 62535-2021 FSC-klagomål mail.docx", "A 62535-2021")</f>
        <v/>
      </c>
      <c r="X469">
        <f>HYPERLINK("https://klasma.github.io/Logging_0482/tillsyn/A 62535-2021 tillsynsbegäran.docx", "A 62535-2021")</f>
        <v/>
      </c>
      <c r="Y469">
        <f>HYPERLINK("https://klasma.github.io/Logging_0482/tillsynsmail/A 62535-2021 tillsynsbegäran mail.docx", "A 62535-2021")</f>
        <v/>
      </c>
    </row>
    <row r="470" ht="15" customHeight="1">
      <c r="A470" t="inlineStr">
        <is>
          <t>A 62716-2021</t>
        </is>
      </c>
      <c r="B470" s="1" t="n">
        <v>44503</v>
      </c>
      <c r="C470" s="1" t="n">
        <v>45843</v>
      </c>
      <c r="D470" t="inlineStr">
        <is>
          <t>SÖDERMANLANDS LÄN</t>
        </is>
      </c>
      <c r="E470" t="inlineStr">
        <is>
          <t>NYKÖPING</t>
        </is>
      </c>
      <c r="G470" t="n">
        <v>2.4</v>
      </c>
      <c r="H470" t="n">
        <v>1</v>
      </c>
      <c r="I470" t="n">
        <v>0</v>
      </c>
      <c r="J470" t="n">
        <v>0</v>
      </c>
      <c r="K470" t="n">
        <v>0</v>
      </c>
      <c r="L470" t="n">
        <v>0</v>
      </c>
      <c r="M470" t="n">
        <v>0</v>
      </c>
      <c r="N470" t="n">
        <v>0</v>
      </c>
      <c r="O470" t="n">
        <v>0</v>
      </c>
      <c r="P470" t="n">
        <v>0</v>
      </c>
      <c r="Q470" t="n">
        <v>1</v>
      </c>
      <c r="R470" s="2" t="inlineStr">
        <is>
          <t>Mattlummer</t>
        </is>
      </c>
      <c r="S470">
        <f>HYPERLINK("https://klasma.github.io/Logging_0480/artfynd/A 62716-2021 artfynd.xlsx", "A 62716-2021")</f>
        <v/>
      </c>
      <c r="T470">
        <f>HYPERLINK("https://klasma.github.io/Logging_0480/kartor/A 62716-2021 karta.png", "A 62716-2021")</f>
        <v/>
      </c>
      <c r="V470">
        <f>HYPERLINK("https://klasma.github.io/Logging_0480/klagomål/A 62716-2021 FSC-klagomål.docx", "A 62716-2021")</f>
        <v/>
      </c>
      <c r="W470">
        <f>HYPERLINK("https://klasma.github.io/Logging_0480/klagomålsmail/A 62716-2021 FSC-klagomål mail.docx", "A 62716-2021")</f>
        <v/>
      </c>
      <c r="X470">
        <f>HYPERLINK("https://klasma.github.io/Logging_0480/tillsyn/A 62716-2021 tillsynsbegäran.docx", "A 62716-2021")</f>
        <v/>
      </c>
      <c r="Y470">
        <f>HYPERLINK("https://klasma.github.io/Logging_0480/tillsynsmail/A 62716-2021 tillsynsbegäran mail.docx", "A 62716-2021")</f>
        <v/>
      </c>
    </row>
    <row r="471" ht="15" customHeight="1">
      <c r="A471" t="inlineStr">
        <is>
          <t>A 63029-2021</t>
        </is>
      </c>
      <c r="B471" s="1" t="n">
        <v>44505</v>
      </c>
      <c r="C471" s="1" t="n">
        <v>45843</v>
      </c>
      <c r="D471" t="inlineStr">
        <is>
          <t>SÖDERMANLANDS LÄN</t>
        </is>
      </c>
      <c r="E471" t="inlineStr">
        <is>
          <t>TROSA</t>
        </is>
      </c>
      <c r="F471" t="inlineStr">
        <is>
          <t>Holmen skog AB</t>
        </is>
      </c>
      <c r="G471" t="n">
        <v>1.4</v>
      </c>
      <c r="H471" t="n">
        <v>0</v>
      </c>
      <c r="I471" t="n">
        <v>0</v>
      </c>
      <c r="J471" t="n">
        <v>1</v>
      </c>
      <c r="K471" t="n">
        <v>0</v>
      </c>
      <c r="L471" t="n">
        <v>0</v>
      </c>
      <c r="M471" t="n">
        <v>0</v>
      </c>
      <c r="N471" t="n">
        <v>0</v>
      </c>
      <c r="O471" t="n">
        <v>1</v>
      </c>
      <c r="P471" t="n">
        <v>0</v>
      </c>
      <c r="Q471" t="n">
        <v>1</v>
      </c>
      <c r="R471" s="2" t="inlineStr">
        <is>
          <t>Bredbrämad bastardsvärmare</t>
        </is>
      </c>
      <c r="S471">
        <f>HYPERLINK("https://klasma.github.io/Logging_0488/artfynd/A 63029-2021 artfynd.xlsx", "A 63029-2021")</f>
        <v/>
      </c>
      <c r="T471">
        <f>HYPERLINK("https://klasma.github.io/Logging_0488/kartor/A 63029-2021 karta.png", "A 63029-2021")</f>
        <v/>
      </c>
      <c r="V471">
        <f>HYPERLINK("https://klasma.github.io/Logging_0488/klagomål/A 63029-2021 FSC-klagomål.docx", "A 63029-2021")</f>
        <v/>
      </c>
      <c r="W471">
        <f>HYPERLINK("https://klasma.github.io/Logging_0488/klagomålsmail/A 63029-2021 FSC-klagomål mail.docx", "A 63029-2021")</f>
        <v/>
      </c>
      <c r="X471">
        <f>HYPERLINK("https://klasma.github.io/Logging_0488/tillsyn/A 63029-2021 tillsynsbegäran.docx", "A 63029-2021")</f>
        <v/>
      </c>
      <c r="Y471">
        <f>HYPERLINK("https://klasma.github.io/Logging_0488/tillsynsmail/A 63029-2021 tillsynsbegäran mail.docx", "A 63029-2021")</f>
        <v/>
      </c>
    </row>
    <row r="472" ht="15" customHeight="1">
      <c r="A472" t="inlineStr">
        <is>
          <t>A 63301-2021</t>
        </is>
      </c>
      <c r="B472" s="1" t="n">
        <v>44505</v>
      </c>
      <c r="C472" s="1" t="n">
        <v>45843</v>
      </c>
      <c r="D472" t="inlineStr">
        <is>
          <t>SÖDERMANLANDS LÄN</t>
        </is>
      </c>
      <c r="E472" t="inlineStr">
        <is>
          <t>STRÄNGNÄS</t>
        </is>
      </c>
      <c r="G472" t="n">
        <v>11.6</v>
      </c>
      <c r="H472" t="n">
        <v>1</v>
      </c>
      <c r="I472" t="n">
        <v>1</v>
      </c>
      <c r="J472" t="n">
        <v>0</v>
      </c>
      <c r="K472" t="n">
        <v>0</v>
      </c>
      <c r="L472" t="n">
        <v>0</v>
      </c>
      <c r="M472" t="n">
        <v>0</v>
      </c>
      <c r="N472" t="n">
        <v>0</v>
      </c>
      <c r="O472" t="n">
        <v>0</v>
      </c>
      <c r="P472" t="n">
        <v>0</v>
      </c>
      <c r="Q472" t="n">
        <v>1</v>
      </c>
      <c r="R472" s="2" t="inlineStr">
        <is>
          <t>Nästrot</t>
        </is>
      </c>
      <c r="S472">
        <f>HYPERLINK("https://klasma.github.io/Logging_0486/artfynd/A 63301-2021 artfynd.xlsx", "A 63301-2021")</f>
        <v/>
      </c>
      <c r="T472">
        <f>HYPERLINK("https://klasma.github.io/Logging_0486/kartor/A 63301-2021 karta.png", "A 63301-2021")</f>
        <v/>
      </c>
      <c r="V472">
        <f>HYPERLINK("https://klasma.github.io/Logging_0486/klagomål/A 63301-2021 FSC-klagomål.docx", "A 63301-2021")</f>
        <v/>
      </c>
      <c r="W472">
        <f>HYPERLINK("https://klasma.github.io/Logging_0486/klagomålsmail/A 63301-2021 FSC-klagomål mail.docx", "A 63301-2021")</f>
        <v/>
      </c>
      <c r="X472">
        <f>HYPERLINK("https://klasma.github.io/Logging_0486/tillsyn/A 63301-2021 tillsynsbegäran.docx", "A 63301-2021")</f>
        <v/>
      </c>
      <c r="Y472">
        <f>HYPERLINK("https://klasma.github.io/Logging_0486/tillsynsmail/A 63301-2021 tillsynsbegäran mail.docx", "A 63301-2021")</f>
        <v/>
      </c>
    </row>
    <row r="473" ht="15" customHeight="1">
      <c r="A473" t="inlineStr">
        <is>
          <t>A 65184-2021</t>
        </is>
      </c>
      <c r="B473" s="1" t="n">
        <v>44512</v>
      </c>
      <c r="C473" s="1" t="n">
        <v>45843</v>
      </c>
      <c r="D473" t="inlineStr">
        <is>
          <t>SÖDERMANLANDS LÄN</t>
        </is>
      </c>
      <c r="E473" t="inlineStr">
        <is>
          <t>KATRINEHOLM</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HYPERLINK("https://klasma.github.io/Logging_0483/artfynd/A 65184-2021 artfynd.xlsx", "A 65184-2021")</f>
        <v/>
      </c>
      <c r="T473">
        <f>HYPERLINK("https://klasma.github.io/Logging_0483/kartor/A 65184-2021 karta.png", "A 65184-2021")</f>
        <v/>
      </c>
      <c r="V473">
        <f>HYPERLINK("https://klasma.github.io/Logging_0483/klagomål/A 65184-2021 FSC-klagomål.docx", "A 65184-2021")</f>
        <v/>
      </c>
      <c r="W473">
        <f>HYPERLINK("https://klasma.github.io/Logging_0483/klagomålsmail/A 65184-2021 FSC-klagomål mail.docx", "A 65184-2021")</f>
        <v/>
      </c>
      <c r="X473">
        <f>HYPERLINK("https://klasma.github.io/Logging_0483/tillsyn/A 65184-2021 tillsynsbegäran.docx", "A 65184-2021")</f>
        <v/>
      </c>
      <c r="Y473">
        <f>HYPERLINK("https://klasma.github.io/Logging_0483/tillsynsmail/A 65184-2021 tillsynsbegäran mail.docx", "A 65184-2021")</f>
        <v/>
      </c>
      <c r="Z473">
        <f>HYPERLINK("https://klasma.github.io/Logging_0483/fåglar/A 65184-2021 prioriterade fågelarter.docx", "A 65184-2021")</f>
        <v/>
      </c>
    </row>
    <row r="474" ht="15" customHeight="1">
      <c r="A474" t="inlineStr">
        <is>
          <t>A 65330-2021</t>
        </is>
      </c>
      <c r="B474" s="1" t="n">
        <v>44515</v>
      </c>
      <c r="C474" s="1" t="n">
        <v>45843</v>
      </c>
      <c r="D474" t="inlineStr">
        <is>
          <t>SÖDERMANLANDS LÄN</t>
        </is>
      </c>
      <c r="E474" t="inlineStr">
        <is>
          <t>STRÄNGNÄS</t>
        </is>
      </c>
      <c r="G474" t="n">
        <v>6.4</v>
      </c>
      <c r="H474" t="n">
        <v>1</v>
      </c>
      <c r="I474" t="n">
        <v>0</v>
      </c>
      <c r="J474" t="n">
        <v>1</v>
      </c>
      <c r="K474" t="n">
        <v>0</v>
      </c>
      <c r="L474" t="n">
        <v>0</v>
      </c>
      <c r="M474" t="n">
        <v>0</v>
      </c>
      <c r="N474" t="n">
        <v>0</v>
      </c>
      <c r="O474" t="n">
        <v>1</v>
      </c>
      <c r="P474" t="n">
        <v>0</v>
      </c>
      <c r="Q474" t="n">
        <v>1</v>
      </c>
      <c r="R474" s="2" t="inlineStr">
        <is>
          <t>Duvhök</t>
        </is>
      </c>
      <c r="S474">
        <f>HYPERLINK("https://klasma.github.io/Logging_0486/artfynd/A 65330-2021 artfynd.xlsx", "A 65330-2021")</f>
        <v/>
      </c>
      <c r="T474">
        <f>HYPERLINK("https://klasma.github.io/Logging_0486/kartor/A 65330-2021 karta.png", "A 65330-2021")</f>
        <v/>
      </c>
      <c r="V474">
        <f>HYPERLINK("https://klasma.github.io/Logging_0486/klagomål/A 65330-2021 FSC-klagomål.docx", "A 65330-2021")</f>
        <v/>
      </c>
      <c r="W474">
        <f>HYPERLINK("https://klasma.github.io/Logging_0486/klagomålsmail/A 65330-2021 FSC-klagomål mail.docx", "A 65330-2021")</f>
        <v/>
      </c>
      <c r="X474">
        <f>HYPERLINK("https://klasma.github.io/Logging_0486/tillsyn/A 65330-2021 tillsynsbegäran.docx", "A 65330-2021")</f>
        <v/>
      </c>
      <c r="Y474">
        <f>HYPERLINK("https://klasma.github.io/Logging_0486/tillsynsmail/A 65330-2021 tillsynsbegäran mail.docx", "A 65330-2021")</f>
        <v/>
      </c>
      <c r="Z474">
        <f>HYPERLINK("https://klasma.github.io/Logging_0486/fåglar/A 65330-2021 prioriterade fågelarter.docx", "A 65330-2021")</f>
        <v/>
      </c>
    </row>
    <row r="475" ht="15" customHeight="1">
      <c r="A475" t="inlineStr">
        <is>
          <t>A 65380-2021</t>
        </is>
      </c>
      <c r="B475" s="1" t="n">
        <v>44515</v>
      </c>
      <c r="C475" s="1" t="n">
        <v>45843</v>
      </c>
      <c r="D475" t="inlineStr">
        <is>
          <t>SÖDERMANLANDS LÄN</t>
        </is>
      </c>
      <c r="E475" t="inlineStr">
        <is>
          <t>ESKILSTUNA</t>
        </is>
      </c>
      <c r="F475" t="inlineStr">
        <is>
          <t>Kyrkan</t>
        </is>
      </c>
      <c r="G475" t="n">
        <v>5.4</v>
      </c>
      <c r="H475" t="n">
        <v>1</v>
      </c>
      <c r="I475" t="n">
        <v>0</v>
      </c>
      <c r="J475" t="n">
        <v>0</v>
      </c>
      <c r="K475" t="n">
        <v>0</v>
      </c>
      <c r="L475" t="n">
        <v>0</v>
      </c>
      <c r="M475" t="n">
        <v>0</v>
      </c>
      <c r="N475" t="n">
        <v>0</v>
      </c>
      <c r="O475" t="n">
        <v>0</v>
      </c>
      <c r="P475" t="n">
        <v>0</v>
      </c>
      <c r="Q475" t="n">
        <v>1</v>
      </c>
      <c r="R475" s="2" t="inlineStr">
        <is>
          <t>Blåsippa</t>
        </is>
      </c>
      <c r="S475">
        <f>HYPERLINK("https://klasma.github.io/Logging_0484/artfynd/A 65380-2021 artfynd.xlsx", "A 65380-2021")</f>
        <v/>
      </c>
      <c r="T475">
        <f>HYPERLINK("https://klasma.github.io/Logging_0484/kartor/A 65380-2021 karta.png", "A 65380-2021")</f>
        <v/>
      </c>
      <c r="V475">
        <f>HYPERLINK("https://klasma.github.io/Logging_0484/klagomål/A 65380-2021 FSC-klagomål.docx", "A 65380-2021")</f>
        <v/>
      </c>
      <c r="W475">
        <f>HYPERLINK("https://klasma.github.io/Logging_0484/klagomålsmail/A 65380-2021 FSC-klagomål mail.docx", "A 65380-2021")</f>
        <v/>
      </c>
      <c r="X475">
        <f>HYPERLINK("https://klasma.github.io/Logging_0484/tillsyn/A 65380-2021 tillsynsbegäran.docx", "A 65380-2021")</f>
        <v/>
      </c>
      <c r="Y475">
        <f>HYPERLINK("https://klasma.github.io/Logging_0484/tillsynsmail/A 65380-2021 tillsynsbegäran mail.docx", "A 65380-2021")</f>
        <v/>
      </c>
    </row>
    <row r="476" ht="15" customHeight="1">
      <c r="A476" t="inlineStr">
        <is>
          <t>A 65889-2021</t>
        </is>
      </c>
      <c r="B476" s="1" t="n">
        <v>44517</v>
      </c>
      <c r="C476" s="1" t="n">
        <v>45843</v>
      </c>
      <c r="D476" t="inlineStr">
        <is>
          <t>SÖDERMANLANDS LÄN</t>
        </is>
      </c>
      <c r="E476" t="inlineStr">
        <is>
          <t>NYKÖPING</t>
        </is>
      </c>
      <c r="G476" t="n">
        <v>4.8</v>
      </c>
      <c r="H476" t="n">
        <v>0</v>
      </c>
      <c r="I476" t="n">
        <v>0</v>
      </c>
      <c r="J476" t="n">
        <v>1</v>
      </c>
      <c r="K476" t="n">
        <v>0</v>
      </c>
      <c r="L476" t="n">
        <v>0</v>
      </c>
      <c r="M476" t="n">
        <v>0</v>
      </c>
      <c r="N476" t="n">
        <v>0</v>
      </c>
      <c r="O476" t="n">
        <v>1</v>
      </c>
      <c r="P476" t="n">
        <v>0</v>
      </c>
      <c r="Q476" t="n">
        <v>1</v>
      </c>
      <c r="R476" s="2" t="inlineStr">
        <is>
          <t>Backstarr</t>
        </is>
      </c>
      <c r="S476">
        <f>HYPERLINK("https://klasma.github.io/Logging_0480/artfynd/A 65889-2021 artfynd.xlsx", "A 65889-2021")</f>
        <v/>
      </c>
      <c r="T476">
        <f>HYPERLINK("https://klasma.github.io/Logging_0480/kartor/A 65889-2021 karta.png", "A 65889-2021")</f>
        <v/>
      </c>
      <c r="V476">
        <f>HYPERLINK("https://klasma.github.io/Logging_0480/klagomål/A 65889-2021 FSC-klagomål.docx", "A 65889-2021")</f>
        <v/>
      </c>
      <c r="W476">
        <f>HYPERLINK("https://klasma.github.io/Logging_0480/klagomålsmail/A 65889-2021 FSC-klagomål mail.docx", "A 65889-2021")</f>
        <v/>
      </c>
      <c r="X476">
        <f>HYPERLINK("https://klasma.github.io/Logging_0480/tillsyn/A 65889-2021 tillsynsbegäran.docx", "A 65889-2021")</f>
        <v/>
      </c>
      <c r="Y476">
        <f>HYPERLINK("https://klasma.github.io/Logging_0480/tillsynsmail/A 65889-2021 tillsynsbegäran mail.docx", "A 65889-2021")</f>
        <v/>
      </c>
    </row>
    <row r="477" ht="15" customHeight="1">
      <c r="A477" t="inlineStr">
        <is>
          <t>A 65892-2021</t>
        </is>
      </c>
      <c r="B477" s="1" t="n">
        <v>44517</v>
      </c>
      <c r="C477" s="1" t="n">
        <v>45843</v>
      </c>
      <c r="D477" t="inlineStr">
        <is>
          <t>SÖDERMANLANDS LÄN</t>
        </is>
      </c>
      <c r="E477" t="inlineStr">
        <is>
          <t>NYKÖPING</t>
        </is>
      </c>
      <c r="G477" t="n">
        <v>1.9</v>
      </c>
      <c r="H477" t="n">
        <v>1</v>
      </c>
      <c r="I477" t="n">
        <v>0</v>
      </c>
      <c r="J477" t="n">
        <v>0</v>
      </c>
      <c r="K477" t="n">
        <v>0</v>
      </c>
      <c r="L477" t="n">
        <v>0</v>
      </c>
      <c r="M477" t="n">
        <v>0</v>
      </c>
      <c r="N477" t="n">
        <v>0</v>
      </c>
      <c r="O477" t="n">
        <v>0</v>
      </c>
      <c r="P477" t="n">
        <v>0</v>
      </c>
      <c r="Q477" t="n">
        <v>1</v>
      </c>
      <c r="R477" s="2" t="inlineStr">
        <is>
          <t>Mattlummer</t>
        </is>
      </c>
      <c r="S477">
        <f>HYPERLINK("https://klasma.github.io/Logging_0480/artfynd/A 65892-2021 artfynd.xlsx", "A 65892-2021")</f>
        <v/>
      </c>
      <c r="T477">
        <f>HYPERLINK("https://klasma.github.io/Logging_0480/kartor/A 65892-2021 karta.png", "A 65892-2021")</f>
        <v/>
      </c>
      <c r="V477">
        <f>HYPERLINK("https://klasma.github.io/Logging_0480/klagomål/A 65892-2021 FSC-klagomål.docx", "A 65892-2021")</f>
        <v/>
      </c>
      <c r="W477">
        <f>HYPERLINK("https://klasma.github.io/Logging_0480/klagomålsmail/A 65892-2021 FSC-klagomål mail.docx", "A 65892-2021")</f>
        <v/>
      </c>
      <c r="X477">
        <f>HYPERLINK("https://klasma.github.io/Logging_0480/tillsyn/A 65892-2021 tillsynsbegäran.docx", "A 65892-2021")</f>
        <v/>
      </c>
      <c r="Y477">
        <f>HYPERLINK("https://klasma.github.io/Logging_0480/tillsynsmail/A 65892-2021 tillsynsbegäran mail.docx", "A 65892-2021")</f>
        <v/>
      </c>
    </row>
    <row r="478" ht="15" customHeight="1">
      <c r="A478" t="inlineStr">
        <is>
          <t>A 66246-2021</t>
        </is>
      </c>
      <c r="B478" s="1" t="n">
        <v>44518</v>
      </c>
      <c r="C478" s="1" t="n">
        <v>45843</v>
      </c>
      <c r="D478" t="inlineStr">
        <is>
          <t>SÖDERMANLANDS LÄN</t>
        </is>
      </c>
      <c r="E478" t="inlineStr">
        <is>
          <t>VINGÅKER</t>
        </is>
      </c>
      <c r="G478" t="n">
        <v>5.2</v>
      </c>
      <c r="H478" t="n">
        <v>0</v>
      </c>
      <c r="I478" t="n">
        <v>1</v>
      </c>
      <c r="J478" t="n">
        <v>0</v>
      </c>
      <c r="K478" t="n">
        <v>0</v>
      </c>
      <c r="L478" t="n">
        <v>0</v>
      </c>
      <c r="M478" t="n">
        <v>0</v>
      </c>
      <c r="N478" t="n">
        <v>0</v>
      </c>
      <c r="O478" t="n">
        <v>0</v>
      </c>
      <c r="P478" t="n">
        <v>0</v>
      </c>
      <c r="Q478" t="n">
        <v>1</v>
      </c>
      <c r="R478" s="2" t="inlineStr">
        <is>
          <t>Dropptaggsvamp</t>
        </is>
      </c>
      <c r="S478">
        <f>HYPERLINK("https://klasma.github.io/Logging_0428/artfynd/A 66246-2021 artfynd.xlsx", "A 66246-2021")</f>
        <v/>
      </c>
      <c r="T478">
        <f>HYPERLINK("https://klasma.github.io/Logging_0428/kartor/A 66246-2021 karta.png", "A 66246-2021")</f>
        <v/>
      </c>
      <c r="V478">
        <f>HYPERLINK("https://klasma.github.io/Logging_0428/klagomål/A 66246-2021 FSC-klagomål.docx", "A 66246-2021")</f>
        <v/>
      </c>
      <c r="W478">
        <f>HYPERLINK("https://klasma.github.io/Logging_0428/klagomålsmail/A 66246-2021 FSC-klagomål mail.docx", "A 66246-2021")</f>
        <v/>
      </c>
      <c r="X478">
        <f>HYPERLINK("https://klasma.github.io/Logging_0428/tillsyn/A 66246-2021 tillsynsbegäran.docx", "A 66246-2021")</f>
        <v/>
      </c>
      <c r="Y478">
        <f>HYPERLINK("https://klasma.github.io/Logging_0428/tillsynsmail/A 66246-2021 tillsynsbegäran mail.docx", "A 66246-2021")</f>
        <v/>
      </c>
    </row>
    <row r="479" ht="15" customHeight="1">
      <c r="A479" t="inlineStr">
        <is>
          <t>A 66243-2021</t>
        </is>
      </c>
      <c r="B479" s="1" t="n">
        <v>44518</v>
      </c>
      <c r="C479" s="1" t="n">
        <v>45843</v>
      </c>
      <c r="D479" t="inlineStr">
        <is>
          <t>SÖDERMANLANDS LÄN</t>
        </is>
      </c>
      <c r="E479" t="inlineStr">
        <is>
          <t>VINGÅKER</t>
        </is>
      </c>
      <c r="G479" t="n">
        <v>7.8</v>
      </c>
      <c r="H479" t="n">
        <v>0</v>
      </c>
      <c r="I479" t="n">
        <v>1</v>
      </c>
      <c r="J479" t="n">
        <v>0</v>
      </c>
      <c r="K479" t="n">
        <v>0</v>
      </c>
      <c r="L479" t="n">
        <v>0</v>
      </c>
      <c r="M479" t="n">
        <v>0</v>
      </c>
      <c r="N479" t="n">
        <v>0</v>
      </c>
      <c r="O479" t="n">
        <v>0</v>
      </c>
      <c r="P479" t="n">
        <v>0</v>
      </c>
      <c r="Q479" t="n">
        <v>1</v>
      </c>
      <c r="R479" s="2" t="inlineStr">
        <is>
          <t>Blomkålssvamp</t>
        </is>
      </c>
      <c r="S479">
        <f>HYPERLINK("https://klasma.github.io/Logging_0428/artfynd/A 66243-2021 artfynd.xlsx", "A 66243-2021")</f>
        <v/>
      </c>
      <c r="T479">
        <f>HYPERLINK("https://klasma.github.io/Logging_0428/kartor/A 66243-2021 karta.png", "A 66243-2021")</f>
        <v/>
      </c>
      <c r="V479">
        <f>HYPERLINK("https://klasma.github.io/Logging_0428/klagomål/A 66243-2021 FSC-klagomål.docx", "A 66243-2021")</f>
        <v/>
      </c>
      <c r="W479">
        <f>HYPERLINK("https://klasma.github.io/Logging_0428/klagomålsmail/A 66243-2021 FSC-klagomål mail.docx", "A 66243-2021")</f>
        <v/>
      </c>
      <c r="X479">
        <f>HYPERLINK("https://klasma.github.io/Logging_0428/tillsyn/A 66243-2021 tillsynsbegäran.docx", "A 66243-2021")</f>
        <v/>
      </c>
      <c r="Y479">
        <f>HYPERLINK("https://klasma.github.io/Logging_0428/tillsynsmail/A 66243-2021 tillsynsbegäran mail.docx", "A 66243-2021")</f>
        <v/>
      </c>
    </row>
    <row r="480" ht="15" customHeight="1">
      <c r="A480" t="inlineStr">
        <is>
          <t>A 67819-2021</t>
        </is>
      </c>
      <c r="B480" s="1" t="n">
        <v>44525</v>
      </c>
      <c r="C480" s="1" t="n">
        <v>45843</v>
      </c>
      <c r="D480" t="inlineStr">
        <is>
          <t>SÖDERMANLANDS LÄN</t>
        </is>
      </c>
      <c r="E480" t="inlineStr">
        <is>
          <t>NYKÖPING</t>
        </is>
      </c>
      <c r="F480" t="inlineStr">
        <is>
          <t>Sveaskog</t>
        </is>
      </c>
      <c r="G480" t="n">
        <v>1.1</v>
      </c>
      <c r="H480" t="n">
        <v>0</v>
      </c>
      <c r="I480" t="n">
        <v>0</v>
      </c>
      <c r="J480" t="n">
        <v>1</v>
      </c>
      <c r="K480" t="n">
        <v>0</v>
      </c>
      <c r="L480" t="n">
        <v>0</v>
      </c>
      <c r="M480" t="n">
        <v>0</v>
      </c>
      <c r="N480" t="n">
        <v>0</v>
      </c>
      <c r="O480" t="n">
        <v>1</v>
      </c>
      <c r="P480" t="n">
        <v>0</v>
      </c>
      <c r="Q480" t="n">
        <v>1</v>
      </c>
      <c r="R480" s="2" t="inlineStr">
        <is>
          <t>Svedjenäva</t>
        </is>
      </c>
      <c r="S480">
        <f>HYPERLINK("https://klasma.github.io/Logging_0480/artfynd/A 67819-2021 artfynd.xlsx", "A 67819-2021")</f>
        <v/>
      </c>
      <c r="T480">
        <f>HYPERLINK("https://klasma.github.io/Logging_0480/kartor/A 67819-2021 karta.png", "A 67819-2021")</f>
        <v/>
      </c>
      <c r="V480">
        <f>HYPERLINK("https://klasma.github.io/Logging_0480/klagomål/A 67819-2021 FSC-klagomål.docx", "A 67819-2021")</f>
        <v/>
      </c>
      <c r="W480">
        <f>HYPERLINK("https://klasma.github.io/Logging_0480/klagomålsmail/A 67819-2021 FSC-klagomål mail.docx", "A 67819-2021")</f>
        <v/>
      </c>
      <c r="X480">
        <f>HYPERLINK("https://klasma.github.io/Logging_0480/tillsyn/A 67819-2021 tillsynsbegäran.docx", "A 67819-2021")</f>
        <v/>
      </c>
      <c r="Y480">
        <f>HYPERLINK("https://klasma.github.io/Logging_0480/tillsynsmail/A 67819-2021 tillsynsbegäran mail.docx", "A 67819-2021")</f>
        <v/>
      </c>
    </row>
    <row r="481" ht="15" customHeight="1">
      <c r="A481" t="inlineStr">
        <is>
          <t>A 68015-2021</t>
        </is>
      </c>
      <c r="B481" s="1" t="n">
        <v>44525</v>
      </c>
      <c r="C481" s="1" t="n">
        <v>45843</v>
      </c>
      <c r="D481" t="inlineStr">
        <is>
          <t>SÖDERMANLANDS LÄN</t>
        </is>
      </c>
      <c r="E481" t="inlineStr">
        <is>
          <t>ESKILSTUNA</t>
        </is>
      </c>
      <c r="G481" t="n">
        <v>1.3</v>
      </c>
      <c r="H481" t="n">
        <v>1</v>
      </c>
      <c r="I481" t="n">
        <v>0</v>
      </c>
      <c r="J481" t="n">
        <v>0</v>
      </c>
      <c r="K481" t="n">
        <v>0</v>
      </c>
      <c r="L481" t="n">
        <v>0</v>
      </c>
      <c r="M481" t="n">
        <v>0</v>
      </c>
      <c r="N481" t="n">
        <v>0</v>
      </c>
      <c r="O481" t="n">
        <v>0</v>
      </c>
      <c r="P481" t="n">
        <v>0</v>
      </c>
      <c r="Q481" t="n">
        <v>1</v>
      </c>
      <c r="R481" s="2" t="inlineStr">
        <is>
          <t>Blåsippa</t>
        </is>
      </c>
      <c r="S481">
        <f>HYPERLINK("https://klasma.github.io/Logging_0484/artfynd/A 68015-2021 artfynd.xlsx", "A 68015-2021")</f>
        <v/>
      </c>
      <c r="T481">
        <f>HYPERLINK("https://klasma.github.io/Logging_0484/kartor/A 68015-2021 karta.png", "A 68015-2021")</f>
        <v/>
      </c>
      <c r="V481">
        <f>HYPERLINK("https://klasma.github.io/Logging_0484/klagomål/A 68015-2021 FSC-klagomål.docx", "A 68015-2021")</f>
        <v/>
      </c>
      <c r="W481">
        <f>HYPERLINK("https://klasma.github.io/Logging_0484/klagomålsmail/A 68015-2021 FSC-klagomål mail.docx", "A 68015-2021")</f>
        <v/>
      </c>
      <c r="X481">
        <f>HYPERLINK("https://klasma.github.io/Logging_0484/tillsyn/A 68015-2021 tillsynsbegäran.docx", "A 68015-2021")</f>
        <v/>
      </c>
      <c r="Y481">
        <f>HYPERLINK("https://klasma.github.io/Logging_0484/tillsynsmail/A 68015-2021 tillsynsbegäran mail.docx", "A 68015-2021")</f>
        <v/>
      </c>
    </row>
    <row r="482" ht="15" customHeight="1">
      <c r="A482" t="inlineStr">
        <is>
          <t>A 69612-2021</t>
        </is>
      </c>
      <c r="B482" s="1" t="n">
        <v>44531</v>
      </c>
      <c r="C482" s="1" t="n">
        <v>45843</v>
      </c>
      <c r="D482" t="inlineStr">
        <is>
          <t>SÖDERMANLANDS LÄN</t>
        </is>
      </c>
      <c r="E482" t="inlineStr">
        <is>
          <t>NYKÖPING</t>
        </is>
      </c>
      <c r="G482" t="n">
        <v>9.199999999999999</v>
      </c>
      <c r="H482" t="n">
        <v>0</v>
      </c>
      <c r="I482" t="n">
        <v>1</v>
      </c>
      <c r="J482" t="n">
        <v>0</v>
      </c>
      <c r="K482" t="n">
        <v>0</v>
      </c>
      <c r="L482" t="n">
        <v>0</v>
      </c>
      <c r="M482" t="n">
        <v>0</v>
      </c>
      <c r="N482" t="n">
        <v>0</v>
      </c>
      <c r="O482" t="n">
        <v>0</v>
      </c>
      <c r="P482" t="n">
        <v>0</v>
      </c>
      <c r="Q482" t="n">
        <v>1</v>
      </c>
      <c r="R482" s="2" t="inlineStr">
        <is>
          <t>Blomkålssvamp</t>
        </is>
      </c>
      <c r="S482">
        <f>HYPERLINK("https://klasma.github.io/Logging_0480/artfynd/A 69612-2021 artfynd.xlsx", "A 69612-2021")</f>
        <v/>
      </c>
      <c r="T482">
        <f>HYPERLINK("https://klasma.github.io/Logging_0480/kartor/A 69612-2021 karta.png", "A 69612-2021")</f>
        <v/>
      </c>
      <c r="V482">
        <f>HYPERLINK("https://klasma.github.io/Logging_0480/klagomål/A 69612-2021 FSC-klagomål.docx", "A 69612-2021")</f>
        <v/>
      </c>
      <c r="W482">
        <f>HYPERLINK("https://klasma.github.io/Logging_0480/klagomålsmail/A 69612-2021 FSC-klagomål mail.docx", "A 69612-2021")</f>
        <v/>
      </c>
      <c r="X482">
        <f>HYPERLINK("https://klasma.github.io/Logging_0480/tillsyn/A 69612-2021 tillsynsbegäran.docx", "A 69612-2021")</f>
        <v/>
      </c>
      <c r="Y482">
        <f>HYPERLINK("https://klasma.github.io/Logging_0480/tillsynsmail/A 69612-2021 tillsynsbegäran mail.docx", "A 69612-2021")</f>
        <v/>
      </c>
    </row>
    <row r="483" ht="15" customHeight="1">
      <c r="A483" t="inlineStr">
        <is>
          <t>A 70039-2021</t>
        </is>
      </c>
      <c r="B483" s="1" t="n">
        <v>44533</v>
      </c>
      <c r="C483" s="1" t="n">
        <v>45843</v>
      </c>
      <c r="D483" t="inlineStr">
        <is>
          <t>SÖDERMANLANDS LÄN</t>
        </is>
      </c>
      <c r="E483" t="inlineStr">
        <is>
          <t>FLEN</t>
        </is>
      </c>
      <c r="G483" t="n">
        <v>6.7</v>
      </c>
      <c r="H483" t="n">
        <v>0</v>
      </c>
      <c r="I483" t="n">
        <v>0</v>
      </c>
      <c r="J483" t="n">
        <v>1</v>
      </c>
      <c r="K483" t="n">
        <v>0</v>
      </c>
      <c r="L483" t="n">
        <v>0</v>
      </c>
      <c r="M483" t="n">
        <v>0</v>
      </c>
      <c r="N483" t="n">
        <v>0</v>
      </c>
      <c r="O483" t="n">
        <v>1</v>
      </c>
      <c r="P483" t="n">
        <v>0</v>
      </c>
      <c r="Q483" t="n">
        <v>1</v>
      </c>
      <c r="R483" s="2" t="inlineStr">
        <is>
          <t>Svedjenäva</t>
        </is>
      </c>
      <c r="S483">
        <f>HYPERLINK("https://klasma.github.io/Logging_0482/artfynd/A 70039-2021 artfynd.xlsx", "A 70039-2021")</f>
        <v/>
      </c>
      <c r="T483">
        <f>HYPERLINK("https://klasma.github.io/Logging_0482/kartor/A 70039-2021 karta.png", "A 70039-2021")</f>
        <v/>
      </c>
      <c r="V483">
        <f>HYPERLINK("https://klasma.github.io/Logging_0482/klagomål/A 70039-2021 FSC-klagomål.docx", "A 70039-2021")</f>
        <v/>
      </c>
      <c r="W483">
        <f>HYPERLINK("https://klasma.github.io/Logging_0482/klagomålsmail/A 70039-2021 FSC-klagomål mail.docx", "A 70039-2021")</f>
        <v/>
      </c>
      <c r="X483">
        <f>HYPERLINK("https://klasma.github.io/Logging_0482/tillsyn/A 70039-2021 tillsynsbegäran.docx", "A 70039-2021")</f>
        <v/>
      </c>
      <c r="Y483">
        <f>HYPERLINK("https://klasma.github.io/Logging_0482/tillsynsmail/A 70039-2021 tillsynsbegäran mail.docx", "A 70039-2021")</f>
        <v/>
      </c>
    </row>
    <row r="484" ht="15" customHeight="1">
      <c r="A484" t="inlineStr">
        <is>
          <t>A 72851-2021</t>
        </is>
      </c>
      <c r="B484" s="1" t="n">
        <v>44546</v>
      </c>
      <c r="C484" s="1" t="n">
        <v>45843</v>
      </c>
      <c r="D484" t="inlineStr">
        <is>
          <t>SÖDERMANLANDS LÄN</t>
        </is>
      </c>
      <c r="E484" t="inlineStr">
        <is>
          <t>KATRINEHOLM</t>
        </is>
      </c>
      <c r="G484" t="n">
        <v>0.7</v>
      </c>
      <c r="H484" t="n">
        <v>0</v>
      </c>
      <c r="I484" t="n">
        <v>0</v>
      </c>
      <c r="J484" t="n">
        <v>1</v>
      </c>
      <c r="K484" t="n">
        <v>0</v>
      </c>
      <c r="L484" t="n">
        <v>0</v>
      </c>
      <c r="M484" t="n">
        <v>0</v>
      </c>
      <c r="N484" t="n">
        <v>0</v>
      </c>
      <c r="O484" t="n">
        <v>1</v>
      </c>
      <c r="P484" t="n">
        <v>0</v>
      </c>
      <c r="Q484" t="n">
        <v>1</v>
      </c>
      <c r="R484" s="2" t="inlineStr">
        <is>
          <t>Klasefibbla</t>
        </is>
      </c>
      <c r="S484">
        <f>HYPERLINK("https://klasma.github.io/Logging_0483/artfynd/A 72851-2021 artfynd.xlsx", "A 72851-2021")</f>
        <v/>
      </c>
      <c r="T484">
        <f>HYPERLINK("https://klasma.github.io/Logging_0483/kartor/A 72851-2021 karta.png", "A 72851-2021")</f>
        <v/>
      </c>
      <c r="V484">
        <f>HYPERLINK("https://klasma.github.io/Logging_0483/klagomål/A 72851-2021 FSC-klagomål.docx", "A 72851-2021")</f>
        <v/>
      </c>
      <c r="W484">
        <f>HYPERLINK("https://klasma.github.io/Logging_0483/klagomålsmail/A 72851-2021 FSC-klagomål mail.docx", "A 72851-2021")</f>
        <v/>
      </c>
      <c r="X484">
        <f>HYPERLINK("https://klasma.github.io/Logging_0483/tillsyn/A 72851-2021 tillsynsbegäran.docx", "A 72851-2021")</f>
        <v/>
      </c>
      <c r="Y484">
        <f>HYPERLINK("https://klasma.github.io/Logging_0483/tillsynsmail/A 72851-2021 tillsynsbegäran mail.docx", "A 72851-2021")</f>
        <v/>
      </c>
    </row>
    <row r="485" ht="15" customHeight="1">
      <c r="A485" t="inlineStr">
        <is>
          <t>A 73923-2021</t>
        </is>
      </c>
      <c r="B485" s="1" t="n">
        <v>44553</v>
      </c>
      <c r="C485" s="1" t="n">
        <v>45843</v>
      </c>
      <c r="D485" t="inlineStr">
        <is>
          <t>SÖDERMANLANDS LÄN</t>
        </is>
      </c>
      <c r="E485" t="inlineStr">
        <is>
          <t>FLEN</t>
        </is>
      </c>
      <c r="G485" t="n">
        <v>5.7</v>
      </c>
      <c r="H485" t="n">
        <v>0</v>
      </c>
      <c r="I485" t="n">
        <v>0</v>
      </c>
      <c r="J485" t="n">
        <v>1</v>
      </c>
      <c r="K485" t="n">
        <v>0</v>
      </c>
      <c r="L485" t="n">
        <v>0</v>
      </c>
      <c r="M485" t="n">
        <v>0</v>
      </c>
      <c r="N485" t="n">
        <v>0</v>
      </c>
      <c r="O485" t="n">
        <v>1</v>
      </c>
      <c r="P485" t="n">
        <v>0</v>
      </c>
      <c r="Q485" t="n">
        <v>1</v>
      </c>
      <c r="R485" s="2" t="inlineStr">
        <is>
          <t>Klasefibbla</t>
        </is>
      </c>
      <c r="S485">
        <f>HYPERLINK("https://klasma.github.io/Logging_0482/artfynd/A 73923-2021 artfynd.xlsx", "A 73923-2021")</f>
        <v/>
      </c>
      <c r="T485">
        <f>HYPERLINK("https://klasma.github.io/Logging_0482/kartor/A 73923-2021 karta.png", "A 73923-2021")</f>
        <v/>
      </c>
      <c r="V485">
        <f>HYPERLINK("https://klasma.github.io/Logging_0482/klagomål/A 73923-2021 FSC-klagomål.docx", "A 73923-2021")</f>
        <v/>
      </c>
      <c r="W485">
        <f>HYPERLINK("https://klasma.github.io/Logging_0482/klagomålsmail/A 73923-2021 FSC-klagomål mail.docx", "A 73923-2021")</f>
        <v/>
      </c>
      <c r="X485">
        <f>HYPERLINK("https://klasma.github.io/Logging_0482/tillsyn/A 73923-2021 tillsynsbegäran.docx", "A 73923-2021")</f>
        <v/>
      </c>
      <c r="Y485">
        <f>HYPERLINK("https://klasma.github.io/Logging_0482/tillsynsmail/A 73923-2021 tillsynsbegäran mail.docx", "A 73923-2021")</f>
        <v/>
      </c>
    </row>
    <row r="486" ht="15" customHeight="1">
      <c r="A486" t="inlineStr">
        <is>
          <t>A 1819-2022</t>
        </is>
      </c>
      <c r="B486" s="1" t="n">
        <v>44574</v>
      </c>
      <c r="C486" s="1" t="n">
        <v>45843</v>
      </c>
      <c r="D486" t="inlineStr">
        <is>
          <t>SÖDERMANLANDS LÄN</t>
        </is>
      </c>
      <c r="E486" t="inlineStr">
        <is>
          <t>STRÄNGNÄS</t>
        </is>
      </c>
      <c r="F486" t="inlineStr">
        <is>
          <t>Sveaskog</t>
        </is>
      </c>
      <c r="G486" t="n">
        <v>4.5</v>
      </c>
      <c r="H486" t="n">
        <v>1</v>
      </c>
      <c r="I486" t="n">
        <v>0</v>
      </c>
      <c r="J486" t="n">
        <v>0</v>
      </c>
      <c r="K486" t="n">
        <v>0</v>
      </c>
      <c r="L486" t="n">
        <v>0</v>
      </c>
      <c r="M486" t="n">
        <v>0</v>
      </c>
      <c r="N486" t="n">
        <v>0</v>
      </c>
      <c r="O486" t="n">
        <v>0</v>
      </c>
      <c r="P486" t="n">
        <v>0</v>
      </c>
      <c r="Q486" t="n">
        <v>1</v>
      </c>
      <c r="R486" s="2" t="inlineStr">
        <is>
          <t>Tjäder</t>
        </is>
      </c>
      <c r="S486">
        <f>HYPERLINK("https://klasma.github.io/Logging_0486/artfynd/A 1819-2022 artfynd.xlsx", "A 1819-2022")</f>
        <v/>
      </c>
      <c r="T486">
        <f>HYPERLINK("https://klasma.github.io/Logging_0486/kartor/A 1819-2022 karta.png", "A 1819-2022")</f>
        <v/>
      </c>
      <c r="V486">
        <f>HYPERLINK("https://klasma.github.io/Logging_0486/klagomål/A 1819-2022 FSC-klagomål.docx", "A 1819-2022")</f>
        <v/>
      </c>
      <c r="W486">
        <f>HYPERLINK("https://klasma.github.io/Logging_0486/klagomålsmail/A 1819-2022 FSC-klagomål mail.docx", "A 1819-2022")</f>
        <v/>
      </c>
      <c r="X486">
        <f>HYPERLINK("https://klasma.github.io/Logging_0486/tillsyn/A 1819-2022 tillsynsbegäran.docx", "A 1819-2022")</f>
        <v/>
      </c>
      <c r="Y486">
        <f>HYPERLINK("https://klasma.github.io/Logging_0486/tillsynsmail/A 1819-2022 tillsynsbegäran mail.docx", "A 1819-2022")</f>
        <v/>
      </c>
      <c r="Z486">
        <f>HYPERLINK("https://klasma.github.io/Logging_0486/fåglar/A 1819-2022 prioriterade fågelarter.docx", "A 1819-2022")</f>
        <v/>
      </c>
    </row>
    <row r="487" ht="15" customHeight="1">
      <c r="A487" t="inlineStr">
        <is>
          <t>A 2012-2022</t>
        </is>
      </c>
      <c r="B487" s="1" t="n">
        <v>44575</v>
      </c>
      <c r="C487" s="1" t="n">
        <v>45843</v>
      </c>
      <c r="D487" t="inlineStr">
        <is>
          <t>SÖDERMANLANDS LÄN</t>
        </is>
      </c>
      <c r="E487" t="inlineStr">
        <is>
          <t>GNESTA</t>
        </is>
      </c>
      <c r="G487" t="n">
        <v>5.3</v>
      </c>
      <c r="H487" t="n">
        <v>1</v>
      </c>
      <c r="I487" t="n">
        <v>0</v>
      </c>
      <c r="J487" t="n">
        <v>0</v>
      </c>
      <c r="K487" t="n">
        <v>0</v>
      </c>
      <c r="L487" t="n">
        <v>0</v>
      </c>
      <c r="M487" t="n">
        <v>0</v>
      </c>
      <c r="N487" t="n">
        <v>0</v>
      </c>
      <c r="O487" t="n">
        <v>0</v>
      </c>
      <c r="P487" t="n">
        <v>0</v>
      </c>
      <c r="Q487" t="n">
        <v>1</v>
      </c>
      <c r="R487" s="2" t="inlineStr">
        <is>
          <t>Fläcknycklar</t>
        </is>
      </c>
      <c r="S487">
        <f>HYPERLINK("https://klasma.github.io/Logging_0461/artfynd/A 2012-2022 artfynd.xlsx", "A 2012-2022")</f>
        <v/>
      </c>
      <c r="T487">
        <f>HYPERLINK("https://klasma.github.io/Logging_0461/kartor/A 2012-2022 karta.png", "A 2012-2022")</f>
        <v/>
      </c>
      <c r="V487">
        <f>HYPERLINK("https://klasma.github.io/Logging_0461/klagomål/A 2012-2022 FSC-klagomål.docx", "A 2012-2022")</f>
        <v/>
      </c>
      <c r="W487">
        <f>HYPERLINK("https://klasma.github.io/Logging_0461/klagomålsmail/A 2012-2022 FSC-klagomål mail.docx", "A 2012-2022")</f>
        <v/>
      </c>
      <c r="X487">
        <f>HYPERLINK("https://klasma.github.io/Logging_0461/tillsyn/A 2012-2022 tillsynsbegäran.docx", "A 2012-2022")</f>
        <v/>
      </c>
      <c r="Y487">
        <f>HYPERLINK("https://klasma.github.io/Logging_0461/tillsynsmail/A 2012-2022 tillsynsbegäran mail.docx", "A 2012-2022")</f>
        <v/>
      </c>
    </row>
    <row r="488" ht="15" customHeight="1">
      <c r="A488" t="inlineStr">
        <is>
          <t>A 2493-2022</t>
        </is>
      </c>
      <c r="B488" s="1" t="n">
        <v>44579</v>
      </c>
      <c r="C488" s="1" t="n">
        <v>45843</v>
      </c>
      <c r="D488" t="inlineStr">
        <is>
          <t>SÖDERMANLANDS LÄN</t>
        </is>
      </c>
      <c r="E488" t="inlineStr">
        <is>
          <t>STRÄNGNÄS</t>
        </is>
      </c>
      <c r="G488" t="n">
        <v>36.4</v>
      </c>
      <c r="H488" t="n">
        <v>1</v>
      </c>
      <c r="I488" t="n">
        <v>0</v>
      </c>
      <c r="J488" t="n">
        <v>0</v>
      </c>
      <c r="K488" t="n">
        <v>0</v>
      </c>
      <c r="L488" t="n">
        <v>0</v>
      </c>
      <c r="M488" t="n">
        <v>0</v>
      </c>
      <c r="N488" t="n">
        <v>0</v>
      </c>
      <c r="O488" t="n">
        <v>0</v>
      </c>
      <c r="P488" t="n">
        <v>0</v>
      </c>
      <c r="Q488" t="n">
        <v>1</v>
      </c>
      <c r="R488" s="2" t="inlineStr">
        <is>
          <t>Gullviva</t>
        </is>
      </c>
      <c r="S488">
        <f>HYPERLINK("https://klasma.github.io/Logging_0486/artfynd/A 2493-2022 artfynd.xlsx", "A 2493-2022")</f>
        <v/>
      </c>
      <c r="T488">
        <f>HYPERLINK("https://klasma.github.io/Logging_0486/kartor/A 2493-2022 karta.png", "A 2493-2022")</f>
        <v/>
      </c>
      <c r="V488">
        <f>HYPERLINK("https://klasma.github.io/Logging_0486/klagomål/A 2493-2022 FSC-klagomål.docx", "A 2493-2022")</f>
        <v/>
      </c>
      <c r="W488">
        <f>HYPERLINK("https://klasma.github.io/Logging_0486/klagomålsmail/A 2493-2022 FSC-klagomål mail.docx", "A 2493-2022")</f>
        <v/>
      </c>
      <c r="X488">
        <f>HYPERLINK("https://klasma.github.io/Logging_0486/tillsyn/A 2493-2022 tillsynsbegäran.docx", "A 2493-2022")</f>
        <v/>
      </c>
      <c r="Y488">
        <f>HYPERLINK("https://klasma.github.io/Logging_0486/tillsynsmail/A 2493-2022 tillsynsbegäran mail.docx", "A 2493-2022")</f>
        <v/>
      </c>
    </row>
    <row r="489" ht="15" customHeight="1">
      <c r="A489" t="inlineStr">
        <is>
          <t>A 3162-2022</t>
        </is>
      </c>
      <c r="B489" s="1" t="n">
        <v>44582</v>
      </c>
      <c r="C489" s="1" t="n">
        <v>45843</v>
      </c>
      <c r="D489" t="inlineStr">
        <is>
          <t>SÖDERMANLANDS LÄN</t>
        </is>
      </c>
      <c r="E489" t="inlineStr">
        <is>
          <t>ESKILSTUNA</t>
        </is>
      </c>
      <c r="F489" t="inlineStr">
        <is>
          <t>Kommuner</t>
        </is>
      </c>
      <c r="G489" t="n">
        <v>2.6</v>
      </c>
      <c r="H489" t="n">
        <v>0</v>
      </c>
      <c r="I489" t="n">
        <v>0</v>
      </c>
      <c r="J489" t="n">
        <v>1</v>
      </c>
      <c r="K489" t="n">
        <v>0</v>
      </c>
      <c r="L489" t="n">
        <v>0</v>
      </c>
      <c r="M489" t="n">
        <v>0</v>
      </c>
      <c r="N489" t="n">
        <v>0</v>
      </c>
      <c r="O489" t="n">
        <v>1</v>
      </c>
      <c r="P489" t="n">
        <v>0</v>
      </c>
      <c r="Q489" t="n">
        <v>1</v>
      </c>
      <c r="R489" s="2" t="inlineStr">
        <is>
          <t>Ullticka</t>
        </is>
      </c>
      <c r="S489">
        <f>HYPERLINK("https://klasma.github.io/Logging_0484/artfynd/A 3162-2022 artfynd.xlsx", "A 3162-2022")</f>
        <v/>
      </c>
      <c r="T489">
        <f>HYPERLINK("https://klasma.github.io/Logging_0484/kartor/A 3162-2022 karta.png", "A 3162-2022")</f>
        <v/>
      </c>
      <c r="V489">
        <f>HYPERLINK("https://klasma.github.io/Logging_0484/klagomål/A 3162-2022 FSC-klagomål.docx", "A 3162-2022")</f>
        <v/>
      </c>
      <c r="W489">
        <f>HYPERLINK("https://klasma.github.io/Logging_0484/klagomålsmail/A 3162-2022 FSC-klagomål mail.docx", "A 3162-2022")</f>
        <v/>
      </c>
      <c r="X489">
        <f>HYPERLINK("https://klasma.github.io/Logging_0484/tillsyn/A 3162-2022 tillsynsbegäran.docx", "A 3162-2022")</f>
        <v/>
      </c>
      <c r="Y489">
        <f>HYPERLINK("https://klasma.github.io/Logging_0484/tillsynsmail/A 3162-2022 tillsynsbegäran mail.docx", "A 3162-2022")</f>
        <v/>
      </c>
    </row>
    <row r="490" ht="15" customHeight="1">
      <c r="A490" t="inlineStr">
        <is>
          <t>A 6076-2022</t>
        </is>
      </c>
      <c r="B490" s="1" t="n">
        <v>44599</v>
      </c>
      <c r="C490" s="1" t="n">
        <v>45843</v>
      </c>
      <c r="D490" t="inlineStr">
        <is>
          <t>SÖDERMANLANDS LÄN</t>
        </is>
      </c>
      <c r="E490" t="inlineStr">
        <is>
          <t>KATRINEHOLM</t>
        </is>
      </c>
      <c r="G490" t="n">
        <v>3.3</v>
      </c>
      <c r="H490" t="n">
        <v>0</v>
      </c>
      <c r="I490" t="n">
        <v>1</v>
      </c>
      <c r="J490" t="n">
        <v>0</v>
      </c>
      <c r="K490" t="n">
        <v>0</v>
      </c>
      <c r="L490" t="n">
        <v>0</v>
      </c>
      <c r="M490" t="n">
        <v>0</v>
      </c>
      <c r="N490" t="n">
        <v>0</v>
      </c>
      <c r="O490" t="n">
        <v>0</v>
      </c>
      <c r="P490" t="n">
        <v>0</v>
      </c>
      <c r="Q490" t="n">
        <v>1</v>
      </c>
      <c r="R490" s="2" t="inlineStr">
        <is>
          <t>Svart trolldruva</t>
        </is>
      </c>
      <c r="S490">
        <f>HYPERLINK("https://klasma.github.io/Logging_0483/artfynd/A 6076-2022 artfynd.xlsx", "A 6076-2022")</f>
        <v/>
      </c>
      <c r="T490">
        <f>HYPERLINK("https://klasma.github.io/Logging_0483/kartor/A 6076-2022 karta.png", "A 6076-2022")</f>
        <v/>
      </c>
      <c r="V490">
        <f>HYPERLINK("https://klasma.github.io/Logging_0483/klagomål/A 6076-2022 FSC-klagomål.docx", "A 6076-2022")</f>
        <v/>
      </c>
      <c r="W490">
        <f>HYPERLINK("https://klasma.github.io/Logging_0483/klagomålsmail/A 6076-2022 FSC-klagomål mail.docx", "A 6076-2022")</f>
        <v/>
      </c>
      <c r="X490">
        <f>HYPERLINK("https://klasma.github.io/Logging_0483/tillsyn/A 6076-2022 tillsynsbegäran.docx", "A 6076-2022")</f>
        <v/>
      </c>
      <c r="Y490">
        <f>HYPERLINK("https://klasma.github.io/Logging_0483/tillsynsmail/A 6076-2022 tillsynsbegäran mail.docx", "A 6076-2022")</f>
        <v/>
      </c>
    </row>
    <row r="491" ht="15" customHeight="1">
      <c r="A491" t="inlineStr">
        <is>
          <t>A 6768-2022</t>
        </is>
      </c>
      <c r="B491" s="1" t="n">
        <v>44602</v>
      </c>
      <c r="C491" s="1" t="n">
        <v>45843</v>
      </c>
      <c r="D491" t="inlineStr">
        <is>
          <t>SÖDERMANLANDS LÄN</t>
        </is>
      </c>
      <c r="E491" t="inlineStr">
        <is>
          <t>KATRINEHOLM</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HYPERLINK("https://klasma.github.io/Logging_0483/artfynd/A 6768-2022 artfynd.xlsx", "A 6768-2022")</f>
        <v/>
      </c>
      <c r="T491">
        <f>HYPERLINK("https://klasma.github.io/Logging_0483/kartor/A 6768-2022 karta.png", "A 6768-2022")</f>
        <v/>
      </c>
      <c r="V491">
        <f>HYPERLINK("https://klasma.github.io/Logging_0483/klagomål/A 6768-2022 FSC-klagomål.docx", "A 6768-2022")</f>
        <v/>
      </c>
      <c r="W491">
        <f>HYPERLINK("https://klasma.github.io/Logging_0483/klagomålsmail/A 6768-2022 FSC-klagomål mail.docx", "A 6768-2022")</f>
        <v/>
      </c>
      <c r="X491">
        <f>HYPERLINK("https://klasma.github.io/Logging_0483/tillsyn/A 6768-2022 tillsynsbegäran.docx", "A 6768-2022")</f>
        <v/>
      </c>
      <c r="Y491">
        <f>HYPERLINK("https://klasma.github.io/Logging_0483/tillsynsmail/A 6768-2022 tillsynsbegäran mail.docx", "A 6768-2022")</f>
        <v/>
      </c>
    </row>
    <row r="492" ht="15" customHeight="1">
      <c r="A492" t="inlineStr">
        <is>
          <t>A 7767-2022</t>
        </is>
      </c>
      <c r="B492" s="1" t="n">
        <v>44608</v>
      </c>
      <c r="C492" s="1" t="n">
        <v>45843</v>
      </c>
      <c r="D492" t="inlineStr">
        <is>
          <t>SÖDERMANLANDS LÄN</t>
        </is>
      </c>
      <c r="E492" t="inlineStr">
        <is>
          <t>VINGÅKER</t>
        </is>
      </c>
      <c r="G492" t="n">
        <v>11.5</v>
      </c>
      <c r="H492" t="n">
        <v>0</v>
      </c>
      <c r="I492" t="n">
        <v>1</v>
      </c>
      <c r="J492" t="n">
        <v>0</v>
      </c>
      <c r="K492" t="n">
        <v>0</v>
      </c>
      <c r="L492" t="n">
        <v>0</v>
      </c>
      <c r="M492" t="n">
        <v>0</v>
      </c>
      <c r="N492" t="n">
        <v>0</v>
      </c>
      <c r="O492" t="n">
        <v>0</v>
      </c>
      <c r="P492" t="n">
        <v>0</v>
      </c>
      <c r="Q492" t="n">
        <v>1</v>
      </c>
      <c r="R492" s="2" t="inlineStr">
        <is>
          <t>Blomkålssvamp</t>
        </is>
      </c>
      <c r="S492">
        <f>HYPERLINK("https://klasma.github.io/Logging_0428/artfynd/A 7767-2022 artfynd.xlsx", "A 7767-2022")</f>
        <v/>
      </c>
      <c r="T492">
        <f>HYPERLINK("https://klasma.github.io/Logging_0428/kartor/A 7767-2022 karta.png", "A 7767-2022")</f>
        <v/>
      </c>
      <c r="V492">
        <f>HYPERLINK("https://klasma.github.io/Logging_0428/klagomål/A 7767-2022 FSC-klagomål.docx", "A 7767-2022")</f>
        <v/>
      </c>
      <c r="W492">
        <f>HYPERLINK("https://klasma.github.io/Logging_0428/klagomålsmail/A 7767-2022 FSC-klagomål mail.docx", "A 7767-2022")</f>
        <v/>
      </c>
      <c r="X492">
        <f>HYPERLINK("https://klasma.github.io/Logging_0428/tillsyn/A 7767-2022 tillsynsbegäran.docx", "A 7767-2022")</f>
        <v/>
      </c>
      <c r="Y492">
        <f>HYPERLINK("https://klasma.github.io/Logging_0428/tillsynsmail/A 7767-2022 tillsynsbegäran mail.docx", "A 7767-2022")</f>
        <v/>
      </c>
    </row>
    <row r="493" ht="15" customHeight="1">
      <c r="A493" t="inlineStr">
        <is>
          <t>A 7883-2022</t>
        </is>
      </c>
      <c r="B493" s="1" t="n">
        <v>44608</v>
      </c>
      <c r="C493" s="1" t="n">
        <v>45843</v>
      </c>
      <c r="D493" t="inlineStr">
        <is>
          <t>SÖDERMANLANDS LÄN</t>
        </is>
      </c>
      <c r="E493" t="inlineStr">
        <is>
          <t>FLEN</t>
        </is>
      </c>
      <c r="F493" t="inlineStr">
        <is>
          <t>Övriga statliga verk och myndigheter</t>
        </is>
      </c>
      <c r="G493" t="n">
        <v>2.2</v>
      </c>
      <c r="H493" t="n">
        <v>1</v>
      </c>
      <c r="I493" t="n">
        <v>1</v>
      </c>
      <c r="J493" t="n">
        <v>0</v>
      </c>
      <c r="K493" t="n">
        <v>0</v>
      </c>
      <c r="L493" t="n">
        <v>0</v>
      </c>
      <c r="M493" t="n">
        <v>0</v>
      </c>
      <c r="N493" t="n">
        <v>0</v>
      </c>
      <c r="O493" t="n">
        <v>0</v>
      </c>
      <c r="P493" t="n">
        <v>0</v>
      </c>
      <c r="Q493" t="n">
        <v>1</v>
      </c>
      <c r="R493" s="2" t="inlineStr">
        <is>
          <t>Plattlummer</t>
        </is>
      </c>
      <c r="S493">
        <f>HYPERLINK("https://klasma.github.io/Logging_0482/artfynd/A 7883-2022 artfynd.xlsx", "A 7883-2022")</f>
        <v/>
      </c>
      <c r="T493">
        <f>HYPERLINK("https://klasma.github.io/Logging_0482/kartor/A 7883-2022 karta.png", "A 7883-2022")</f>
        <v/>
      </c>
      <c r="V493">
        <f>HYPERLINK("https://klasma.github.io/Logging_0482/klagomål/A 7883-2022 FSC-klagomål.docx", "A 7883-2022")</f>
        <v/>
      </c>
      <c r="W493">
        <f>HYPERLINK("https://klasma.github.io/Logging_0482/klagomålsmail/A 7883-2022 FSC-klagomål mail.docx", "A 7883-2022")</f>
        <v/>
      </c>
      <c r="X493">
        <f>HYPERLINK("https://klasma.github.io/Logging_0482/tillsyn/A 7883-2022 tillsynsbegäran.docx", "A 7883-2022")</f>
        <v/>
      </c>
      <c r="Y493">
        <f>HYPERLINK("https://klasma.github.io/Logging_0482/tillsynsmail/A 7883-2022 tillsynsbegäran mail.docx", "A 7883-2022")</f>
        <v/>
      </c>
    </row>
    <row r="494" ht="15" customHeight="1">
      <c r="A494" t="inlineStr">
        <is>
          <t>A 9973-2022</t>
        </is>
      </c>
      <c r="B494" s="1" t="n">
        <v>44621</v>
      </c>
      <c r="C494" s="1" t="n">
        <v>45843</v>
      </c>
      <c r="D494" t="inlineStr">
        <is>
          <t>SÖDERMANLANDS LÄN</t>
        </is>
      </c>
      <c r="E494" t="inlineStr">
        <is>
          <t>NYKÖPING</t>
        </is>
      </c>
      <c r="G494" t="n">
        <v>18.3</v>
      </c>
      <c r="H494" t="n">
        <v>1</v>
      </c>
      <c r="I494" t="n">
        <v>1</v>
      </c>
      <c r="J494" t="n">
        <v>0</v>
      </c>
      <c r="K494" t="n">
        <v>0</v>
      </c>
      <c r="L494" t="n">
        <v>0</v>
      </c>
      <c r="M494" t="n">
        <v>0</v>
      </c>
      <c r="N494" t="n">
        <v>0</v>
      </c>
      <c r="O494" t="n">
        <v>0</v>
      </c>
      <c r="P494" t="n">
        <v>0</v>
      </c>
      <c r="Q494" t="n">
        <v>1</v>
      </c>
      <c r="R494" s="2" t="inlineStr">
        <is>
          <t>Grön sköldmossa</t>
        </is>
      </c>
      <c r="S494">
        <f>HYPERLINK("https://klasma.github.io/Logging_0480/artfynd/A 9973-2022 artfynd.xlsx", "A 9973-2022")</f>
        <v/>
      </c>
      <c r="T494">
        <f>HYPERLINK("https://klasma.github.io/Logging_0480/kartor/A 9973-2022 karta.png", "A 9973-2022")</f>
        <v/>
      </c>
      <c r="V494">
        <f>HYPERLINK("https://klasma.github.io/Logging_0480/klagomål/A 9973-2022 FSC-klagomål.docx", "A 9973-2022")</f>
        <v/>
      </c>
      <c r="W494">
        <f>HYPERLINK("https://klasma.github.io/Logging_0480/klagomålsmail/A 9973-2022 FSC-klagomål mail.docx", "A 9973-2022")</f>
        <v/>
      </c>
      <c r="X494">
        <f>HYPERLINK("https://klasma.github.io/Logging_0480/tillsyn/A 9973-2022 tillsynsbegäran.docx", "A 9973-2022")</f>
        <v/>
      </c>
      <c r="Y494">
        <f>HYPERLINK("https://klasma.github.io/Logging_0480/tillsynsmail/A 9973-2022 tillsynsbegäran mail.docx", "A 9973-2022")</f>
        <v/>
      </c>
    </row>
    <row r="495" ht="15" customHeight="1">
      <c r="A495" t="inlineStr">
        <is>
          <t>A 10789-2022</t>
        </is>
      </c>
      <c r="B495" s="1" t="n">
        <v>44624</v>
      </c>
      <c r="C495" s="1" t="n">
        <v>45843</v>
      </c>
      <c r="D495" t="inlineStr">
        <is>
          <t>SÖDERMANLANDS LÄN</t>
        </is>
      </c>
      <c r="E495" t="inlineStr">
        <is>
          <t>FLEN</t>
        </is>
      </c>
      <c r="G495" t="n">
        <v>1.1</v>
      </c>
      <c r="H495" t="n">
        <v>1</v>
      </c>
      <c r="I495" t="n">
        <v>0</v>
      </c>
      <c r="J495" t="n">
        <v>0</v>
      </c>
      <c r="K495" t="n">
        <v>1</v>
      </c>
      <c r="L495" t="n">
        <v>0</v>
      </c>
      <c r="M495" t="n">
        <v>0</v>
      </c>
      <c r="N495" t="n">
        <v>0</v>
      </c>
      <c r="O495" t="n">
        <v>1</v>
      </c>
      <c r="P495" t="n">
        <v>1</v>
      </c>
      <c r="Q495" t="n">
        <v>1</v>
      </c>
      <c r="R495" s="2" t="inlineStr">
        <is>
          <t>Bombmurkla</t>
        </is>
      </c>
      <c r="S495">
        <f>HYPERLINK("https://klasma.github.io/Logging_0482/artfynd/A 10789-2022 artfynd.xlsx", "A 10789-2022")</f>
        <v/>
      </c>
      <c r="T495">
        <f>HYPERLINK("https://klasma.github.io/Logging_0482/kartor/A 10789-2022 karta.png", "A 10789-2022")</f>
        <v/>
      </c>
      <c r="V495">
        <f>HYPERLINK("https://klasma.github.io/Logging_0482/klagomål/A 10789-2022 FSC-klagomål.docx", "A 10789-2022")</f>
        <v/>
      </c>
      <c r="W495">
        <f>HYPERLINK("https://klasma.github.io/Logging_0482/klagomålsmail/A 10789-2022 FSC-klagomål mail.docx", "A 10789-2022")</f>
        <v/>
      </c>
      <c r="X495">
        <f>HYPERLINK("https://klasma.github.io/Logging_0482/tillsyn/A 10789-2022 tillsynsbegäran.docx", "A 10789-2022")</f>
        <v/>
      </c>
      <c r="Y495">
        <f>HYPERLINK("https://klasma.github.io/Logging_0482/tillsynsmail/A 10789-2022 tillsynsbegäran mail.docx", "A 10789-2022")</f>
        <v/>
      </c>
    </row>
    <row r="496" ht="15" customHeight="1">
      <c r="A496" t="inlineStr">
        <is>
          <t>A 10770-2022</t>
        </is>
      </c>
      <c r="B496" s="1" t="n">
        <v>44624</v>
      </c>
      <c r="C496" s="1" t="n">
        <v>45843</v>
      </c>
      <c r="D496" t="inlineStr">
        <is>
          <t>SÖDERMANLANDS LÄN</t>
        </is>
      </c>
      <c r="E496" t="inlineStr">
        <is>
          <t>FLEN</t>
        </is>
      </c>
      <c r="G496" t="n">
        <v>2.3</v>
      </c>
      <c r="H496" t="n">
        <v>0</v>
      </c>
      <c r="I496" t="n">
        <v>0</v>
      </c>
      <c r="J496" t="n">
        <v>1</v>
      </c>
      <c r="K496" t="n">
        <v>0</v>
      </c>
      <c r="L496" t="n">
        <v>0</v>
      </c>
      <c r="M496" t="n">
        <v>0</v>
      </c>
      <c r="N496" t="n">
        <v>0</v>
      </c>
      <c r="O496" t="n">
        <v>1</v>
      </c>
      <c r="P496" t="n">
        <v>0</v>
      </c>
      <c r="Q496" t="n">
        <v>1</v>
      </c>
      <c r="R496" s="2" t="inlineStr">
        <is>
          <t>Svinrot</t>
        </is>
      </c>
      <c r="S496">
        <f>HYPERLINK("https://klasma.github.io/Logging_0482/artfynd/A 10770-2022 artfynd.xlsx", "A 10770-2022")</f>
        <v/>
      </c>
      <c r="T496">
        <f>HYPERLINK("https://klasma.github.io/Logging_0482/kartor/A 10770-2022 karta.png", "A 10770-2022")</f>
        <v/>
      </c>
      <c r="V496">
        <f>HYPERLINK("https://klasma.github.io/Logging_0482/klagomål/A 10770-2022 FSC-klagomål.docx", "A 10770-2022")</f>
        <v/>
      </c>
      <c r="W496">
        <f>HYPERLINK("https://klasma.github.io/Logging_0482/klagomålsmail/A 10770-2022 FSC-klagomål mail.docx", "A 10770-2022")</f>
        <v/>
      </c>
      <c r="X496">
        <f>HYPERLINK("https://klasma.github.io/Logging_0482/tillsyn/A 10770-2022 tillsynsbegäran.docx", "A 10770-2022")</f>
        <v/>
      </c>
      <c r="Y496">
        <f>HYPERLINK("https://klasma.github.io/Logging_0482/tillsynsmail/A 10770-2022 tillsynsbegäran mail.docx", "A 10770-2022")</f>
        <v/>
      </c>
    </row>
    <row r="497" ht="15" customHeight="1">
      <c r="A497" t="inlineStr">
        <is>
          <t>A 11751-2022</t>
        </is>
      </c>
      <c r="B497" s="1" t="n">
        <v>44634</v>
      </c>
      <c r="C497" s="1" t="n">
        <v>45843</v>
      </c>
      <c r="D497" t="inlineStr">
        <is>
          <t>SÖDERMANLANDS LÄN</t>
        </is>
      </c>
      <c r="E497" t="inlineStr">
        <is>
          <t>NYKÖPING</t>
        </is>
      </c>
      <c r="G497" t="n">
        <v>2.3</v>
      </c>
      <c r="H497" t="n">
        <v>0</v>
      </c>
      <c r="I497" t="n">
        <v>0</v>
      </c>
      <c r="J497" t="n">
        <v>0</v>
      </c>
      <c r="K497" t="n">
        <v>1</v>
      </c>
      <c r="L497" t="n">
        <v>0</v>
      </c>
      <c r="M497" t="n">
        <v>0</v>
      </c>
      <c r="N497" t="n">
        <v>0</v>
      </c>
      <c r="O497" t="n">
        <v>1</v>
      </c>
      <c r="P497" t="n">
        <v>1</v>
      </c>
      <c r="Q497" t="n">
        <v>1</v>
      </c>
      <c r="R497" s="2" t="inlineStr">
        <is>
          <t>Ljungögontröst</t>
        </is>
      </c>
      <c r="S497">
        <f>HYPERLINK("https://klasma.github.io/Logging_0480/artfynd/A 11751-2022 artfynd.xlsx", "A 11751-2022")</f>
        <v/>
      </c>
      <c r="T497">
        <f>HYPERLINK("https://klasma.github.io/Logging_0480/kartor/A 11751-2022 karta.png", "A 11751-2022")</f>
        <v/>
      </c>
      <c r="V497">
        <f>HYPERLINK("https://klasma.github.io/Logging_0480/klagomål/A 11751-2022 FSC-klagomål.docx", "A 11751-2022")</f>
        <v/>
      </c>
      <c r="W497">
        <f>HYPERLINK("https://klasma.github.io/Logging_0480/klagomålsmail/A 11751-2022 FSC-klagomål mail.docx", "A 11751-2022")</f>
        <v/>
      </c>
      <c r="X497">
        <f>HYPERLINK("https://klasma.github.io/Logging_0480/tillsyn/A 11751-2022 tillsynsbegäran.docx", "A 11751-2022")</f>
        <v/>
      </c>
      <c r="Y497">
        <f>HYPERLINK("https://klasma.github.io/Logging_0480/tillsynsmail/A 11751-2022 tillsynsbegäran mail.docx", "A 11751-2022")</f>
        <v/>
      </c>
    </row>
    <row r="498" ht="15" customHeight="1">
      <c r="A498" t="inlineStr">
        <is>
          <t>A 12306-2022</t>
        </is>
      </c>
      <c r="B498" s="1" t="n">
        <v>44637</v>
      </c>
      <c r="C498" s="1" t="n">
        <v>45843</v>
      </c>
      <c r="D498" t="inlineStr">
        <is>
          <t>SÖDERMANLANDS LÄN</t>
        </is>
      </c>
      <c r="E498" t="inlineStr">
        <is>
          <t>FLEN</t>
        </is>
      </c>
      <c r="G498" t="n">
        <v>3</v>
      </c>
      <c r="H498" t="n">
        <v>1</v>
      </c>
      <c r="I498" t="n">
        <v>0</v>
      </c>
      <c r="J498" t="n">
        <v>0</v>
      </c>
      <c r="K498" t="n">
        <v>0</v>
      </c>
      <c r="L498" t="n">
        <v>0</v>
      </c>
      <c r="M498" t="n">
        <v>0</v>
      </c>
      <c r="N498" t="n">
        <v>0</v>
      </c>
      <c r="O498" t="n">
        <v>0</v>
      </c>
      <c r="P498" t="n">
        <v>0</v>
      </c>
      <c r="Q498" t="n">
        <v>1</v>
      </c>
      <c r="R498" s="2" t="inlineStr">
        <is>
          <t>Järnsparv</t>
        </is>
      </c>
      <c r="S498">
        <f>HYPERLINK("https://klasma.github.io/Logging_0482/artfynd/A 12306-2022 artfynd.xlsx", "A 12306-2022")</f>
        <v/>
      </c>
      <c r="T498">
        <f>HYPERLINK("https://klasma.github.io/Logging_0482/kartor/A 12306-2022 karta.png", "A 12306-2022")</f>
        <v/>
      </c>
      <c r="V498">
        <f>HYPERLINK("https://klasma.github.io/Logging_0482/klagomål/A 12306-2022 FSC-klagomål.docx", "A 12306-2022")</f>
        <v/>
      </c>
      <c r="W498">
        <f>HYPERLINK("https://klasma.github.io/Logging_0482/klagomålsmail/A 12306-2022 FSC-klagomål mail.docx", "A 12306-2022")</f>
        <v/>
      </c>
      <c r="X498">
        <f>HYPERLINK("https://klasma.github.io/Logging_0482/tillsyn/A 12306-2022 tillsynsbegäran.docx", "A 12306-2022")</f>
        <v/>
      </c>
      <c r="Y498">
        <f>HYPERLINK("https://klasma.github.io/Logging_0482/tillsynsmail/A 12306-2022 tillsynsbegäran mail.docx", "A 12306-2022")</f>
        <v/>
      </c>
      <c r="Z498">
        <f>HYPERLINK("https://klasma.github.io/Logging_0482/fåglar/A 12306-2022 prioriterade fågelarter.docx", "A 12306-2022")</f>
        <v/>
      </c>
    </row>
    <row r="499" ht="15" customHeight="1">
      <c r="A499" t="inlineStr">
        <is>
          <t>A 12371-2022</t>
        </is>
      </c>
      <c r="B499" s="1" t="n">
        <v>44637</v>
      </c>
      <c r="C499" s="1" t="n">
        <v>45843</v>
      </c>
      <c r="D499" t="inlineStr">
        <is>
          <t>SÖDERMANLANDS LÄN</t>
        </is>
      </c>
      <c r="E499" t="inlineStr">
        <is>
          <t>FLEN</t>
        </is>
      </c>
      <c r="F499" t="inlineStr">
        <is>
          <t>Kommuner</t>
        </is>
      </c>
      <c r="G499" t="n">
        <v>2.1</v>
      </c>
      <c r="H499" t="n">
        <v>0</v>
      </c>
      <c r="I499" t="n">
        <v>0</v>
      </c>
      <c r="J499" t="n">
        <v>1</v>
      </c>
      <c r="K499" t="n">
        <v>0</v>
      </c>
      <c r="L499" t="n">
        <v>0</v>
      </c>
      <c r="M499" t="n">
        <v>0</v>
      </c>
      <c r="N499" t="n">
        <v>0</v>
      </c>
      <c r="O499" t="n">
        <v>1</v>
      </c>
      <c r="P499" t="n">
        <v>0</v>
      </c>
      <c r="Q499" t="n">
        <v>1</v>
      </c>
      <c r="R499" s="2" t="inlineStr">
        <is>
          <t>Gullklöver</t>
        </is>
      </c>
      <c r="S499">
        <f>HYPERLINK("https://klasma.github.io/Logging_0482/artfynd/A 12371-2022 artfynd.xlsx", "A 12371-2022")</f>
        <v/>
      </c>
      <c r="T499">
        <f>HYPERLINK("https://klasma.github.io/Logging_0482/kartor/A 12371-2022 karta.png", "A 12371-2022")</f>
        <v/>
      </c>
      <c r="V499">
        <f>HYPERLINK("https://klasma.github.io/Logging_0482/klagomål/A 12371-2022 FSC-klagomål.docx", "A 12371-2022")</f>
        <v/>
      </c>
      <c r="W499">
        <f>HYPERLINK("https://klasma.github.io/Logging_0482/klagomålsmail/A 12371-2022 FSC-klagomål mail.docx", "A 12371-2022")</f>
        <v/>
      </c>
      <c r="X499">
        <f>HYPERLINK("https://klasma.github.io/Logging_0482/tillsyn/A 12371-2022 tillsynsbegäran.docx", "A 12371-2022")</f>
        <v/>
      </c>
      <c r="Y499">
        <f>HYPERLINK("https://klasma.github.io/Logging_0482/tillsynsmail/A 12371-2022 tillsynsbegäran mail.docx", "A 12371-2022")</f>
        <v/>
      </c>
    </row>
    <row r="500" ht="15" customHeight="1">
      <c r="A500" t="inlineStr">
        <is>
          <t>A 13464-2022</t>
        </is>
      </c>
      <c r="B500" s="1" t="n">
        <v>44645</v>
      </c>
      <c r="C500" s="1" t="n">
        <v>45843</v>
      </c>
      <c r="D500" t="inlineStr">
        <is>
          <t>SÖDERMANLANDS LÄN</t>
        </is>
      </c>
      <c r="E500" t="inlineStr">
        <is>
          <t>NYKÖPING</t>
        </is>
      </c>
      <c r="G500" t="n">
        <v>12.6</v>
      </c>
      <c r="H500" t="n">
        <v>0</v>
      </c>
      <c r="I500" t="n">
        <v>1</v>
      </c>
      <c r="J500" t="n">
        <v>0</v>
      </c>
      <c r="K500" t="n">
        <v>0</v>
      </c>
      <c r="L500" t="n">
        <v>0</v>
      </c>
      <c r="M500" t="n">
        <v>0</v>
      </c>
      <c r="N500" t="n">
        <v>0</v>
      </c>
      <c r="O500" t="n">
        <v>0</v>
      </c>
      <c r="P500" t="n">
        <v>0</v>
      </c>
      <c r="Q500" t="n">
        <v>1</v>
      </c>
      <c r="R500" s="2" t="inlineStr">
        <is>
          <t>Grönpyrola</t>
        </is>
      </c>
      <c r="S500">
        <f>HYPERLINK("https://klasma.github.io/Logging_0480/artfynd/A 13464-2022 artfynd.xlsx", "A 13464-2022")</f>
        <v/>
      </c>
      <c r="T500">
        <f>HYPERLINK("https://klasma.github.io/Logging_0480/kartor/A 13464-2022 karta.png", "A 13464-2022")</f>
        <v/>
      </c>
      <c r="V500">
        <f>HYPERLINK("https://klasma.github.io/Logging_0480/klagomål/A 13464-2022 FSC-klagomål.docx", "A 13464-2022")</f>
        <v/>
      </c>
      <c r="W500">
        <f>HYPERLINK("https://klasma.github.io/Logging_0480/klagomålsmail/A 13464-2022 FSC-klagomål mail.docx", "A 13464-2022")</f>
        <v/>
      </c>
      <c r="X500">
        <f>HYPERLINK("https://klasma.github.io/Logging_0480/tillsyn/A 13464-2022 tillsynsbegäran.docx", "A 13464-2022")</f>
        <v/>
      </c>
      <c r="Y500">
        <f>HYPERLINK("https://klasma.github.io/Logging_0480/tillsynsmail/A 13464-2022 tillsynsbegäran mail.docx", "A 13464-2022")</f>
        <v/>
      </c>
    </row>
    <row r="501" ht="15" customHeight="1">
      <c r="A501" t="inlineStr">
        <is>
          <t>A 15960-2022</t>
        </is>
      </c>
      <c r="B501" s="1" t="n">
        <v>44664</v>
      </c>
      <c r="C501" s="1" t="n">
        <v>45843</v>
      </c>
      <c r="D501" t="inlineStr">
        <is>
          <t>SÖDERMANLANDS LÄN</t>
        </is>
      </c>
      <c r="E501" t="inlineStr">
        <is>
          <t>ESKILSTUNA</t>
        </is>
      </c>
      <c r="F501" t="inlineStr">
        <is>
          <t>Allmännings- och besparingsskogar</t>
        </is>
      </c>
      <c r="G501" t="n">
        <v>11.9</v>
      </c>
      <c r="H501" t="n">
        <v>0</v>
      </c>
      <c r="I501" t="n">
        <v>1</v>
      </c>
      <c r="J501" t="n">
        <v>0</v>
      </c>
      <c r="K501" t="n">
        <v>0</v>
      </c>
      <c r="L501" t="n">
        <v>0</v>
      </c>
      <c r="M501" t="n">
        <v>0</v>
      </c>
      <c r="N501" t="n">
        <v>0</v>
      </c>
      <c r="O501" t="n">
        <v>0</v>
      </c>
      <c r="P501" t="n">
        <v>0</v>
      </c>
      <c r="Q501" t="n">
        <v>1</v>
      </c>
      <c r="R501" s="2" t="inlineStr">
        <is>
          <t>Scharlakansvårskål agg.</t>
        </is>
      </c>
      <c r="S501">
        <f>HYPERLINK("https://klasma.github.io/Logging_0484/artfynd/A 15960-2022 artfynd.xlsx", "A 15960-2022")</f>
        <v/>
      </c>
      <c r="T501">
        <f>HYPERLINK("https://klasma.github.io/Logging_0484/kartor/A 15960-2022 karta.png", "A 15960-2022")</f>
        <v/>
      </c>
      <c r="V501">
        <f>HYPERLINK("https://klasma.github.io/Logging_0484/klagomål/A 15960-2022 FSC-klagomål.docx", "A 15960-2022")</f>
        <v/>
      </c>
      <c r="W501">
        <f>HYPERLINK("https://klasma.github.io/Logging_0484/klagomålsmail/A 15960-2022 FSC-klagomål mail.docx", "A 15960-2022")</f>
        <v/>
      </c>
      <c r="X501">
        <f>HYPERLINK("https://klasma.github.io/Logging_0484/tillsyn/A 15960-2022 tillsynsbegäran.docx", "A 15960-2022")</f>
        <v/>
      </c>
      <c r="Y501">
        <f>HYPERLINK("https://klasma.github.io/Logging_0484/tillsynsmail/A 15960-2022 tillsynsbegäran mail.docx", "A 15960-2022")</f>
        <v/>
      </c>
    </row>
    <row r="502" ht="15" customHeight="1">
      <c r="A502" t="inlineStr">
        <is>
          <t>A 16458-2022</t>
        </is>
      </c>
      <c r="B502" s="1" t="n">
        <v>44671</v>
      </c>
      <c r="C502" s="1" t="n">
        <v>45843</v>
      </c>
      <c r="D502" t="inlineStr">
        <is>
          <t>SÖDERMANLANDS LÄN</t>
        </is>
      </c>
      <c r="E502" t="inlineStr">
        <is>
          <t>KATRINEHOLM</t>
        </is>
      </c>
      <c r="G502" t="n">
        <v>16.4</v>
      </c>
      <c r="H502" t="n">
        <v>1</v>
      </c>
      <c r="I502" t="n">
        <v>0</v>
      </c>
      <c r="J502" t="n">
        <v>1</v>
      </c>
      <c r="K502" t="n">
        <v>0</v>
      </c>
      <c r="L502" t="n">
        <v>0</v>
      </c>
      <c r="M502" t="n">
        <v>0</v>
      </c>
      <c r="N502" t="n">
        <v>0</v>
      </c>
      <c r="O502" t="n">
        <v>1</v>
      </c>
      <c r="P502" t="n">
        <v>0</v>
      </c>
      <c r="Q502" t="n">
        <v>1</v>
      </c>
      <c r="R502" s="2" t="inlineStr">
        <is>
          <t>Duvhök</t>
        </is>
      </c>
      <c r="S502">
        <f>HYPERLINK("https://klasma.github.io/Logging_0483/artfynd/A 16458-2022 artfynd.xlsx", "A 16458-2022")</f>
        <v/>
      </c>
      <c r="T502">
        <f>HYPERLINK("https://klasma.github.io/Logging_0483/kartor/A 16458-2022 karta.png", "A 16458-2022")</f>
        <v/>
      </c>
      <c r="V502">
        <f>HYPERLINK("https://klasma.github.io/Logging_0483/klagomål/A 16458-2022 FSC-klagomål.docx", "A 16458-2022")</f>
        <v/>
      </c>
      <c r="W502">
        <f>HYPERLINK("https://klasma.github.io/Logging_0483/klagomålsmail/A 16458-2022 FSC-klagomål mail.docx", "A 16458-2022")</f>
        <v/>
      </c>
      <c r="X502">
        <f>HYPERLINK("https://klasma.github.io/Logging_0483/tillsyn/A 16458-2022 tillsynsbegäran.docx", "A 16458-2022")</f>
        <v/>
      </c>
      <c r="Y502">
        <f>HYPERLINK("https://klasma.github.io/Logging_0483/tillsynsmail/A 16458-2022 tillsynsbegäran mail.docx", "A 16458-2022")</f>
        <v/>
      </c>
      <c r="Z502">
        <f>HYPERLINK("https://klasma.github.io/Logging_0483/fåglar/A 16458-2022 prioriterade fågelarter.docx", "A 16458-2022")</f>
        <v/>
      </c>
    </row>
    <row r="503" ht="15" customHeight="1">
      <c r="A503" t="inlineStr">
        <is>
          <t>A 22267-2022</t>
        </is>
      </c>
      <c r="B503" s="1" t="n">
        <v>44712</v>
      </c>
      <c r="C503" s="1" t="n">
        <v>45843</v>
      </c>
      <c r="D503" t="inlineStr">
        <is>
          <t>SÖDERMANLANDS LÄN</t>
        </is>
      </c>
      <c r="E503" t="inlineStr">
        <is>
          <t>ESKILSTUNA</t>
        </is>
      </c>
      <c r="F503" t="inlineStr">
        <is>
          <t>Sveaskog</t>
        </is>
      </c>
      <c r="G503" t="n">
        <v>6.4</v>
      </c>
      <c r="H503" t="n">
        <v>1</v>
      </c>
      <c r="I503" t="n">
        <v>0</v>
      </c>
      <c r="J503" t="n">
        <v>0</v>
      </c>
      <c r="K503" t="n">
        <v>0</v>
      </c>
      <c r="L503" t="n">
        <v>0</v>
      </c>
      <c r="M503" t="n">
        <v>0</v>
      </c>
      <c r="N503" t="n">
        <v>0</v>
      </c>
      <c r="O503" t="n">
        <v>0</v>
      </c>
      <c r="P503" t="n">
        <v>0</v>
      </c>
      <c r="Q503" t="n">
        <v>1</v>
      </c>
      <c r="R503" s="2" t="inlineStr">
        <is>
          <t>Revlummer</t>
        </is>
      </c>
      <c r="S503">
        <f>HYPERLINK("https://klasma.github.io/Logging_0484/artfynd/A 22267-2022 artfynd.xlsx", "A 22267-2022")</f>
        <v/>
      </c>
      <c r="T503">
        <f>HYPERLINK("https://klasma.github.io/Logging_0484/kartor/A 22267-2022 karta.png", "A 22267-2022")</f>
        <v/>
      </c>
      <c r="V503">
        <f>HYPERLINK("https://klasma.github.io/Logging_0484/klagomål/A 22267-2022 FSC-klagomål.docx", "A 22267-2022")</f>
        <v/>
      </c>
      <c r="W503">
        <f>HYPERLINK("https://klasma.github.io/Logging_0484/klagomålsmail/A 22267-2022 FSC-klagomål mail.docx", "A 22267-2022")</f>
        <v/>
      </c>
      <c r="X503">
        <f>HYPERLINK("https://klasma.github.io/Logging_0484/tillsyn/A 22267-2022 tillsynsbegäran.docx", "A 22267-2022")</f>
        <v/>
      </c>
      <c r="Y503">
        <f>HYPERLINK("https://klasma.github.io/Logging_0484/tillsynsmail/A 22267-2022 tillsynsbegäran mail.docx", "A 22267-2022")</f>
        <v/>
      </c>
    </row>
    <row r="504" ht="15" customHeight="1">
      <c r="A504" t="inlineStr">
        <is>
          <t>A 24454-2022</t>
        </is>
      </c>
      <c r="B504" s="1" t="n">
        <v>44726</v>
      </c>
      <c r="C504" s="1" t="n">
        <v>45843</v>
      </c>
      <c r="D504" t="inlineStr">
        <is>
          <t>SÖDERMANLANDS LÄN</t>
        </is>
      </c>
      <c r="E504" t="inlineStr">
        <is>
          <t>STRÄNGNÄS</t>
        </is>
      </c>
      <c r="G504" t="n">
        <v>12.5</v>
      </c>
      <c r="H504" t="n">
        <v>1</v>
      </c>
      <c r="I504" t="n">
        <v>0</v>
      </c>
      <c r="J504" t="n">
        <v>1</v>
      </c>
      <c r="K504" t="n">
        <v>0</v>
      </c>
      <c r="L504" t="n">
        <v>0</v>
      </c>
      <c r="M504" t="n">
        <v>0</v>
      </c>
      <c r="N504" t="n">
        <v>0</v>
      </c>
      <c r="O504" t="n">
        <v>1</v>
      </c>
      <c r="P504" t="n">
        <v>0</v>
      </c>
      <c r="Q504" t="n">
        <v>1</v>
      </c>
      <c r="R504" s="2" t="inlineStr">
        <is>
          <t>Järpe</t>
        </is>
      </c>
      <c r="S504">
        <f>HYPERLINK("https://klasma.github.io/Logging_0486/artfynd/A 24454-2022 artfynd.xlsx", "A 24454-2022")</f>
        <v/>
      </c>
      <c r="T504">
        <f>HYPERLINK("https://klasma.github.io/Logging_0486/kartor/A 24454-2022 karta.png", "A 24454-2022")</f>
        <v/>
      </c>
      <c r="V504">
        <f>HYPERLINK("https://klasma.github.io/Logging_0486/klagomål/A 24454-2022 FSC-klagomål.docx", "A 24454-2022")</f>
        <v/>
      </c>
      <c r="W504">
        <f>HYPERLINK("https://klasma.github.io/Logging_0486/klagomålsmail/A 24454-2022 FSC-klagomål mail.docx", "A 24454-2022")</f>
        <v/>
      </c>
      <c r="X504">
        <f>HYPERLINK("https://klasma.github.io/Logging_0486/tillsyn/A 24454-2022 tillsynsbegäran.docx", "A 24454-2022")</f>
        <v/>
      </c>
      <c r="Y504">
        <f>HYPERLINK("https://klasma.github.io/Logging_0486/tillsynsmail/A 24454-2022 tillsynsbegäran mail.docx", "A 24454-2022")</f>
        <v/>
      </c>
      <c r="Z504">
        <f>HYPERLINK("https://klasma.github.io/Logging_0486/fåglar/A 24454-2022 prioriterade fågelarter.docx", "A 24454-2022")</f>
        <v/>
      </c>
    </row>
    <row r="505" ht="15" customHeight="1">
      <c r="A505" t="inlineStr">
        <is>
          <t>A 25233-2022</t>
        </is>
      </c>
      <c r="B505" s="1" t="n">
        <v>44729</v>
      </c>
      <c r="C505" s="1" t="n">
        <v>45843</v>
      </c>
      <c r="D505" t="inlineStr">
        <is>
          <t>SÖDERMANLANDS LÄN</t>
        </is>
      </c>
      <c r="E505" t="inlineStr">
        <is>
          <t>ESKILSTUNA</t>
        </is>
      </c>
      <c r="F505" t="inlineStr">
        <is>
          <t>Allmännings- och besparingsskogar</t>
        </is>
      </c>
      <c r="G505" t="n">
        <v>4.1</v>
      </c>
      <c r="H505" t="n">
        <v>1</v>
      </c>
      <c r="I505" t="n">
        <v>0</v>
      </c>
      <c r="J505" t="n">
        <v>1</v>
      </c>
      <c r="K505" t="n">
        <v>0</v>
      </c>
      <c r="L505" t="n">
        <v>0</v>
      </c>
      <c r="M505" t="n">
        <v>0</v>
      </c>
      <c r="N505" t="n">
        <v>0</v>
      </c>
      <c r="O505" t="n">
        <v>1</v>
      </c>
      <c r="P505" t="n">
        <v>0</v>
      </c>
      <c r="Q505" t="n">
        <v>1</v>
      </c>
      <c r="R505" s="2" t="inlineStr">
        <is>
          <t>Spillkråka</t>
        </is>
      </c>
      <c r="S505">
        <f>HYPERLINK("https://klasma.github.io/Logging_0484/artfynd/A 25233-2022 artfynd.xlsx", "A 25233-2022")</f>
        <v/>
      </c>
      <c r="T505">
        <f>HYPERLINK("https://klasma.github.io/Logging_0484/kartor/A 25233-2022 karta.png", "A 25233-2022")</f>
        <v/>
      </c>
      <c r="V505">
        <f>HYPERLINK("https://klasma.github.io/Logging_0484/klagomål/A 25233-2022 FSC-klagomål.docx", "A 25233-2022")</f>
        <v/>
      </c>
      <c r="W505">
        <f>HYPERLINK("https://klasma.github.io/Logging_0484/klagomålsmail/A 25233-2022 FSC-klagomål mail.docx", "A 25233-2022")</f>
        <v/>
      </c>
      <c r="X505">
        <f>HYPERLINK("https://klasma.github.io/Logging_0484/tillsyn/A 25233-2022 tillsynsbegäran.docx", "A 25233-2022")</f>
        <v/>
      </c>
      <c r="Y505">
        <f>HYPERLINK("https://klasma.github.io/Logging_0484/tillsynsmail/A 25233-2022 tillsynsbegäran mail.docx", "A 25233-2022")</f>
        <v/>
      </c>
      <c r="Z505">
        <f>HYPERLINK("https://klasma.github.io/Logging_0484/fåglar/A 25233-2022 prioriterade fågelarter.docx", "A 25233-2022")</f>
        <v/>
      </c>
    </row>
    <row r="506" ht="15" customHeight="1">
      <c r="A506" t="inlineStr">
        <is>
          <t>A 25724-2022</t>
        </is>
      </c>
      <c r="B506" s="1" t="n">
        <v>44733</v>
      </c>
      <c r="C506" s="1" t="n">
        <v>45843</v>
      </c>
      <c r="D506" t="inlineStr">
        <is>
          <t>SÖDERMANLANDS LÄN</t>
        </is>
      </c>
      <c r="E506" t="inlineStr">
        <is>
          <t>KATRINEHOLM</t>
        </is>
      </c>
      <c r="G506" t="n">
        <v>0.8</v>
      </c>
      <c r="H506" t="n">
        <v>0</v>
      </c>
      <c r="I506" t="n">
        <v>1</v>
      </c>
      <c r="J506" t="n">
        <v>0</v>
      </c>
      <c r="K506" t="n">
        <v>0</v>
      </c>
      <c r="L506" t="n">
        <v>0</v>
      </c>
      <c r="M506" t="n">
        <v>0</v>
      </c>
      <c r="N506" t="n">
        <v>0</v>
      </c>
      <c r="O506" t="n">
        <v>0</v>
      </c>
      <c r="P506" t="n">
        <v>0</v>
      </c>
      <c r="Q506" t="n">
        <v>1</v>
      </c>
      <c r="R506" s="2" t="inlineStr">
        <is>
          <t>Kamjordstjärna</t>
        </is>
      </c>
      <c r="S506">
        <f>HYPERLINK("https://klasma.github.io/Logging_0483/artfynd/A 25724-2022 artfynd.xlsx", "A 25724-2022")</f>
        <v/>
      </c>
      <c r="T506">
        <f>HYPERLINK("https://klasma.github.io/Logging_0483/kartor/A 25724-2022 karta.png", "A 25724-2022")</f>
        <v/>
      </c>
      <c r="V506">
        <f>HYPERLINK("https://klasma.github.io/Logging_0483/klagomål/A 25724-2022 FSC-klagomål.docx", "A 25724-2022")</f>
        <v/>
      </c>
      <c r="W506">
        <f>HYPERLINK("https://klasma.github.io/Logging_0483/klagomålsmail/A 25724-2022 FSC-klagomål mail.docx", "A 25724-2022")</f>
        <v/>
      </c>
      <c r="X506">
        <f>HYPERLINK("https://klasma.github.io/Logging_0483/tillsyn/A 25724-2022 tillsynsbegäran.docx", "A 25724-2022")</f>
        <v/>
      </c>
      <c r="Y506">
        <f>HYPERLINK("https://klasma.github.io/Logging_0483/tillsynsmail/A 25724-2022 tillsynsbegäran mail.docx", "A 25724-2022")</f>
        <v/>
      </c>
    </row>
    <row r="507" ht="15" customHeight="1">
      <c r="A507" t="inlineStr">
        <is>
          <t>A 26245-2022</t>
        </is>
      </c>
      <c r="B507" s="1" t="n">
        <v>44735</v>
      </c>
      <c r="C507" s="1" t="n">
        <v>45843</v>
      </c>
      <c r="D507" t="inlineStr">
        <is>
          <t>SÖDERMANLANDS LÄN</t>
        </is>
      </c>
      <c r="E507" t="inlineStr">
        <is>
          <t>FLEN</t>
        </is>
      </c>
      <c r="G507" t="n">
        <v>2.9</v>
      </c>
      <c r="H507" t="n">
        <v>0</v>
      </c>
      <c r="I507" t="n">
        <v>1</v>
      </c>
      <c r="J507" t="n">
        <v>0</v>
      </c>
      <c r="K507" t="n">
        <v>0</v>
      </c>
      <c r="L507" t="n">
        <v>0</v>
      </c>
      <c r="M507" t="n">
        <v>0</v>
      </c>
      <c r="N507" t="n">
        <v>0</v>
      </c>
      <c r="O507" t="n">
        <v>0</v>
      </c>
      <c r="P507" t="n">
        <v>0</v>
      </c>
      <c r="Q507" t="n">
        <v>1</v>
      </c>
      <c r="R507" s="2" t="inlineStr">
        <is>
          <t>Blanksvart trämyra</t>
        </is>
      </c>
      <c r="S507">
        <f>HYPERLINK("https://klasma.github.io/Logging_0482/artfynd/A 26245-2022 artfynd.xlsx", "A 26245-2022")</f>
        <v/>
      </c>
      <c r="T507">
        <f>HYPERLINK("https://klasma.github.io/Logging_0482/kartor/A 26245-2022 karta.png", "A 26245-2022")</f>
        <v/>
      </c>
      <c r="V507">
        <f>HYPERLINK("https://klasma.github.io/Logging_0482/klagomål/A 26245-2022 FSC-klagomål.docx", "A 26245-2022")</f>
        <v/>
      </c>
      <c r="W507">
        <f>HYPERLINK("https://klasma.github.io/Logging_0482/klagomålsmail/A 26245-2022 FSC-klagomål mail.docx", "A 26245-2022")</f>
        <v/>
      </c>
      <c r="X507">
        <f>HYPERLINK("https://klasma.github.io/Logging_0482/tillsyn/A 26245-2022 tillsynsbegäran.docx", "A 26245-2022")</f>
        <v/>
      </c>
      <c r="Y507">
        <f>HYPERLINK("https://klasma.github.io/Logging_0482/tillsynsmail/A 26245-2022 tillsynsbegäran mail.docx", "A 26245-2022")</f>
        <v/>
      </c>
    </row>
    <row r="508" ht="15" customHeight="1">
      <c r="A508" t="inlineStr">
        <is>
          <t>A 28985-2022</t>
        </is>
      </c>
      <c r="B508" s="1" t="n">
        <v>44749</v>
      </c>
      <c r="C508" s="1" t="n">
        <v>45843</v>
      </c>
      <c r="D508" t="inlineStr">
        <is>
          <t>SÖDERMANLANDS LÄN</t>
        </is>
      </c>
      <c r="E508" t="inlineStr">
        <is>
          <t>KATRINEHOLM</t>
        </is>
      </c>
      <c r="G508" t="n">
        <v>6.4</v>
      </c>
      <c r="H508" t="n">
        <v>0</v>
      </c>
      <c r="I508" t="n">
        <v>0</v>
      </c>
      <c r="J508" t="n">
        <v>1</v>
      </c>
      <c r="K508" t="n">
        <v>0</v>
      </c>
      <c r="L508" t="n">
        <v>0</v>
      </c>
      <c r="M508" t="n">
        <v>0</v>
      </c>
      <c r="N508" t="n">
        <v>0</v>
      </c>
      <c r="O508" t="n">
        <v>1</v>
      </c>
      <c r="P508" t="n">
        <v>0</v>
      </c>
      <c r="Q508" t="n">
        <v>1</v>
      </c>
      <c r="R508" s="2" t="inlineStr">
        <is>
          <t>Igelkott</t>
        </is>
      </c>
      <c r="S508">
        <f>HYPERLINK("https://klasma.github.io/Logging_0483/artfynd/A 28985-2022 artfynd.xlsx", "A 28985-2022")</f>
        <v/>
      </c>
      <c r="T508">
        <f>HYPERLINK("https://klasma.github.io/Logging_0483/kartor/A 28985-2022 karta.png", "A 28985-2022")</f>
        <v/>
      </c>
      <c r="V508">
        <f>HYPERLINK("https://klasma.github.io/Logging_0483/klagomål/A 28985-2022 FSC-klagomål.docx", "A 28985-2022")</f>
        <v/>
      </c>
      <c r="W508">
        <f>HYPERLINK("https://klasma.github.io/Logging_0483/klagomålsmail/A 28985-2022 FSC-klagomål mail.docx", "A 28985-2022")</f>
        <v/>
      </c>
      <c r="X508">
        <f>HYPERLINK("https://klasma.github.io/Logging_0483/tillsyn/A 28985-2022 tillsynsbegäran.docx", "A 28985-2022")</f>
        <v/>
      </c>
      <c r="Y508">
        <f>HYPERLINK("https://klasma.github.io/Logging_0483/tillsynsmail/A 28985-2022 tillsynsbegäran mail.docx", "A 28985-2022")</f>
        <v/>
      </c>
    </row>
    <row r="509" ht="15" customHeight="1">
      <c r="A509" t="inlineStr">
        <is>
          <t>A 30727-2022</t>
        </is>
      </c>
      <c r="B509" s="1" t="n">
        <v>44763</v>
      </c>
      <c r="C509" s="1" t="n">
        <v>45843</v>
      </c>
      <c r="D509" t="inlineStr">
        <is>
          <t>SÖDERMANLANDS LÄN</t>
        </is>
      </c>
      <c r="E509" t="inlineStr">
        <is>
          <t>KATRINEHOLM</t>
        </is>
      </c>
      <c r="F509" t="inlineStr">
        <is>
          <t>Allmännings- och besparingsskogar</t>
        </is>
      </c>
      <c r="G509" t="n">
        <v>6.6</v>
      </c>
      <c r="H509" t="n">
        <v>1</v>
      </c>
      <c r="I509" t="n">
        <v>0</v>
      </c>
      <c r="J509" t="n">
        <v>0</v>
      </c>
      <c r="K509" t="n">
        <v>1</v>
      </c>
      <c r="L509" t="n">
        <v>0</v>
      </c>
      <c r="M509" t="n">
        <v>0</v>
      </c>
      <c r="N509" t="n">
        <v>0</v>
      </c>
      <c r="O509" t="n">
        <v>1</v>
      </c>
      <c r="P509" t="n">
        <v>1</v>
      </c>
      <c r="Q509" t="n">
        <v>1</v>
      </c>
      <c r="R509" s="2" t="inlineStr">
        <is>
          <t>Knärot</t>
        </is>
      </c>
      <c r="S509">
        <f>HYPERLINK("https://klasma.github.io/Logging_0483/artfynd/A 30727-2022 artfynd.xlsx", "A 30727-2022")</f>
        <v/>
      </c>
      <c r="T509">
        <f>HYPERLINK("https://klasma.github.io/Logging_0483/kartor/A 30727-2022 karta.png", "A 30727-2022")</f>
        <v/>
      </c>
      <c r="U509">
        <f>HYPERLINK("https://klasma.github.io/Logging_0483/knärot/A 30727-2022 karta knärot.png", "A 30727-2022")</f>
        <v/>
      </c>
      <c r="V509">
        <f>HYPERLINK("https://klasma.github.io/Logging_0483/klagomål/A 30727-2022 FSC-klagomål.docx", "A 30727-2022")</f>
        <v/>
      </c>
      <c r="W509">
        <f>HYPERLINK("https://klasma.github.io/Logging_0483/klagomålsmail/A 30727-2022 FSC-klagomål mail.docx", "A 30727-2022")</f>
        <v/>
      </c>
      <c r="X509">
        <f>HYPERLINK("https://klasma.github.io/Logging_0483/tillsyn/A 30727-2022 tillsynsbegäran.docx", "A 30727-2022")</f>
        <v/>
      </c>
      <c r="Y509">
        <f>HYPERLINK("https://klasma.github.io/Logging_0483/tillsynsmail/A 30727-2022 tillsynsbegäran mail.docx", "A 30727-2022")</f>
        <v/>
      </c>
    </row>
    <row r="510" ht="15" customHeight="1">
      <c r="A510" t="inlineStr">
        <is>
          <t>A 32252-2022</t>
        </is>
      </c>
      <c r="B510" s="1" t="n">
        <v>44781</v>
      </c>
      <c r="C510" s="1" t="n">
        <v>45843</v>
      </c>
      <c r="D510" t="inlineStr">
        <is>
          <t>SÖDERMANLANDS LÄN</t>
        </is>
      </c>
      <c r="E510" t="inlineStr">
        <is>
          <t>GNESTA</t>
        </is>
      </c>
      <c r="G510" t="n">
        <v>17</v>
      </c>
      <c r="H510" t="n">
        <v>0</v>
      </c>
      <c r="I510" t="n">
        <v>1</v>
      </c>
      <c r="J510" t="n">
        <v>0</v>
      </c>
      <c r="K510" t="n">
        <v>0</v>
      </c>
      <c r="L510" t="n">
        <v>0</v>
      </c>
      <c r="M510" t="n">
        <v>0</v>
      </c>
      <c r="N510" t="n">
        <v>0</v>
      </c>
      <c r="O510" t="n">
        <v>0</v>
      </c>
      <c r="P510" t="n">
        <v>0</v>
      </c>
      <c r="Q510" t="n">
        <v>1</v>
      </c>
      <c r="R510" s="2" t="inlineStr">
        <is>
          <t>Svavelriska</t>
        </is>
      </c>
      <c r="S510">
        <f>HYPERLINK("https://klasma.github.io/Logging_0461/artfynd/A 32252-2022 artfynd.xlsx", "A 32252-2022")</f>
        <v/>
      </c>
      <c r="T510">
        <f>HYPERLINK("https://klasma.github.io/Logging_0461/kartor/A 32252-2022 karta.png", "A 32252-2022")</f>
        <v/>
      </c>
      <c r="V510">
        <f>HYPERLINK("https://klasma.github.io/Logging_0461/klagomål/A 32252-2022 FSC-klagomål.docx", "A 32252-2022")</f>
        <v/>
      </c>
      <c r="W510">
        <f>HYPERLINK("https://klasma.github.io/Logging_0461/klagomålsmail/A 32252-2022 FSC-klagomål mail.docx", "A 32252-2022")</f>
        <v/>
      </c>
      <c r="X510">
        <f>HYPERLINK("https://klasma.github.io/Logging_0461/tillsyn/A 32252-2022 tillsynsbegäran.docx", "A 32252-2022")</f>
        <v/>
      </c>
      <c r="Y510">
        <f>HYPERLINK("https://klasma.github.io/Logging_0461/tillsynsmail/A 32252-2022 tillsynsbegäran mail.docx", "A 32252-2022")</f>
        <v/>
      </c>
    </row>
    <row r="511" ht="15" customHeight="1">
      <c r="A511" t="inlineStr">
        <is>
          <t>A 33825-2022</t>
        </is>
      </c>
      <c r="B511" s="1" t="n">
        <v>44790</v>
      </c>
      <c r="C511" s="1" t="n">
        <v>45843</v>
      </c>
      <c r="D511" t="inlineStr">
        <is>
          <t>SÖDERMANLANDS LÄN</t>
        </is>
      </c>
      <c r="E511" t="inlineStr">
        <is>
          <t>GNESTA</t>
        </is>
      </c>
      <c r="G511" t="n">
        <v>5.7</v>
      </c>
      <c r="H511" t="n">
        <v>1</v>
      </c>
      <c r="I511" t="n">
        <v>0</v>
      </c>
      <c r="J511" t="n">
        <v>0</v>
      </c>
      <c r="K511" t="n">
        <v>0</v>
      </c>
      <c r="L511" t="n">
        <v>0</v>
      </c>
      <c r="M511" t="n">
        <v>0</v>
      </c>
      <c r="N511" t="n">
        <v>0</v>
      </c>
      <c r="O511" t="n">
        <v>0</v>
      </c>
      <c r="P511" t="n">
        <v>0</v>
      </c>
      <c r="Q511" t="n">
        <v>1</v>
      </c>
      <c r="R511" s="2" t="inlineStr">
        <is>
          <t>Mattlummer</t>
        </is>
      </c>
      <c r="S511">
        <f>HYPERLINK("https://klasma.github.io/Logging_0461/artfynd/A 33825-2022 artfynd.xlsx", "A 33825-2022")</f>
        <v/>
      </c>
      <c r="T511">
        <f>HYPERLINK("https://klasma.github.io/Logging_0461/kartor/A 33825-2022 karta.png", "A 33825-2022")</f>
        <v/>
      </c>
      <c r="V511">
        <f>HYPERLINK("https://klasma.github.io/Logging_0461/klagomål/A 33825-2022 FSC-klagomål.docx", "A 33825-2022")</f>
        <v/>
      </c>
      <c r="W511">
        <f>HYPERLINK("https://klasma.github.io/Logging_0461/klagomålsmail/A 33825-2022 FSC-klagomål mail.docx", "A 33825-2022")</f>
        <v/>
      </c>
      <c r="X511">
        <f>HYPERLINK("https://klasma.github.io/Logging_0461/tillsyn/A 33825-2022 tillsynsbegäran.docx", "A 33825-2022")</f>
        <v/>
      </c>
      <c r="Y511">
        <f>HYPERLINK("https://klasma.github.io/Logging_0461/tillsynsmail/A 33825-2022 tillsynsbegäran mail.docx", "A 33825-2022")</f>
        <v/>
      </c>
    </row>
    <row r="512" ht="15" customHeight="1">
      <c r="A512" t="inlineStr">
        <is>
          <t>A 34029-2022</t>
        </is>
      </c>
      <c r="B512" s="1" t="n">
        <v>44791</v>
      </c>
      <c r="C512" s="1" t="n">
        <v>45843</v>
      </c>
      <c r="D512" t="inlineStr">
        <is>
          <t>SÖDERMANLANDS LÄN</t>
        </is>
      </c>
      <c r="E512" t="inlineStr">
        <is>
          <t>GNESTA</t>
        </is>
      </c>
      <c r="G512" t="n">
        <v>4.3</v>
      </c>
      <c r="H512" t="n">
        <v>0</v>
      </c>
      <c r="I512" t="n">
        <v>0</v>
      </c>
      <c r="J512" t="n">
        <v>1</v>
      </c>
      <c r="K512" t="n">
        <v>0</v>
      </c>
      <c r="L512" t="n">
        <v>0</v>
      </c>
      <c r="M512" t="n">
        <v>0</v>
      </c>
      <c r="N512" t="n">
        <v>0</v>
      </c>
      <c r="O512" t="n">
        <v>1</v>
      </c>
      <c r="P512" t="n">
        <v>0</v>
      </c>
      <c r="Q512" t="n">
        <v>1</v>
      </c>
      <c r="R512" s="2" t="inlineStr">
        <is>
          <t>Ullticka</t>
        </is>
      </c>
      <c r="S512">
        <f>HYPERLINK("https://klasma.github.io/Logging_0461/artfynd/A 34029-2022 artfynd.xlsx", "A 34029-2022")</f>
        <v/>
      </c>
      <c r="T512">
        <f>HYPERLINK("https://klasma.github.io/Logging_0461/kartor/A 34029-2022 karta.png", "A 34029-2022")</f>
        <v/>
      </c>
      <c r="V512">
        <f>HYPERLINK("https://klasma.github.io/Logging_0461/klagomål/A 34029-2022 FSC-klagomål.docx", "A 34029-2022")</f>
        <v/>
      </c>
      <c r="W512">
        <f>HYPERLINK("https://klasma.github.io/Logging_0461/klagomålsmail/A 34029-2022 FSC-klagomål mail.docx", "A 34029-2022")</f>
        <v/>
      </c>
      <c r="X512">
        <f>HYPERLINK("https://klasma.github.io/Logging_0461/tillsyn/A 34029-2022 tillsynsbegäran.docx", "A 34029-2022")</f>
        <v/>
      </c>
      <c r="Y512">
        <f>HYPERLINK("https://klasma.github.io/Logging_0461/tillsynsmail/A 34029-2022 tillsynsbegäran mail.docx", "A 34029-2022")</f>
        <v/>
      </c>
    </row>
    <row r="513" ht="15" customHeight="1">
      <c r="A513" t="inlineStr">
        <is>
          <t>A 34498-2022</t>
        </is>
      </c>
      <c r="B513" s="1" t="n">
        <v>44792</v>
      </c>
      <c r="C513" s="1" t="n">
        <v>45843</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Gullklöver</t>
        </is>
      </c>
      <c r="S513">
        <f>HYPERLINK("https://klasma.github.io/Logging_0482/artfynd/A 34498-2022 artfynd.xlsx", "A 34498-2022")</f>
        <v/>
      </c>
      <c r="T513">
        <f>HYPERLINK("https://klasma.github.io/Logging_0482/kartor/A 34498-2022 karta.png", "A 34498-2022")</f>
        <v/>
      </c>
      <c r="V513">
        <f>HYPERLINK("https://klasma.github.io/Logging_0482/klagomål/A 34498-2022 FSC-klagomål.docx", "A 34498-2022")</f>
        <v/>
      </c>
      <c r="W513">
        <f>HYPERLINK("https://klasma.github.io/Logging_0482/klagomålsmail/A 34498-2022 FSC-klagomål mail.docx", "A 34498-2022")</f>
        <v/>
      </c>
      <c r="X513">
        <f>HYPERLINK("https://klasma.github.io/Logging_0482/tillsyn/A 34498-2022 tillsynsbegäran.docx", "A 34498-2022")</f>
        <v/>
      </c>
      <c r="Y513">
        <f>HYPERLINK("https://klasma.github.io/Logging_0482/tillsynsmail/A 34498-2022 tillsynsbegäran mail.docx", "A 34498-2022")</f>
        <v/>
      </c>
    </row>
    <row r="514" ht="15" customHeight="1">
      <c r="A514" t="inlineStr">
        <is>
          <t>A 35278-2022</t>
        </is>
      </c>
      <c r="B514" s="1" t="n">
        <v>44798</v>
      </c>
      <c r="C514" s="1" t="n">
        <v>45843</v>
      </c>
      <c r="D514" t="inlineStr">
        <is>
          <t>SÖDERMANLANDS LÄN</t>
        </is>
      </c>
      <c r="E514" t="inlineStr">
        <is>
          <t>FLEN</t>
        </is>
      </c>
      <c r="G514" t="n">
        <v>2.3</v>
      </c>
      <c r="H514" t="n">
        <v>1</v>
      </c>
      <c r="I514" t="n">
        <v>0</v>
      </c>
      <c r="J514" t="n">
        <v>0</v>
      </c>
      <c r="K514" t="n">
        <v>0</v>
      </c>
      <c r="L514" t="n">
        <v>0</v>
      </c>
      <c r="M514" t="n">
        <v>0</v>
      </c>
      <c r="N514" t="n">
        <v>0</v>
      </c>
      <c r="O514" t="n">
        <v>0</v>
      </c>
      <c r="P514" t="n">
        <v>0</v>
      </c>
      <c r="Q514" t="n">
        <v>1</v>
      </c>
      <c r="R514" s="2" t="inlineStr">
        <is>
          <t>Grönvit nattviol</t>
        </is>
      </c>
      <c r="S514">
        <f>HYPERLINK("https://klasma.github.io/Logging_0482/artfynd/A 35278-2022 artfynd.xlsx", "A 35278-2022")</f>
        <v/>
      </c>
      <c r="T514">
        <f>HYPERLINK("https://klasma.github.io/Logging_0482/kartor/A 35278-2022 karta.png", "A 35278-2022")</f>
        <v/>
      </c>
      <c r="V514">
        <f>HYPERLINK("https://klasma.github.io/Logging_0482/klagomål/A 35278-2022 FSC-klagomål.docx", "A 35278-2022")</f>
        <v/>
      </c>
      <c r="W514">
        <f>HYPERLINK("https://klasma.github.io/Logging_0482/klagomålsmail/A 35278-2022 FSC-klagomål mail.docx", "A 35278-2022")</f>
        <v/>
      </c>
      <c r="X514">
        <f>HYPERLINK("https://klasma.github.io/Logging_0482/tillsyn/A 35278-2022 tillsynsbegäran.docx", "A 35278-2022")</f>
        <v/>
      </c>
      <c r="Y514">
        <f>HYPERLINK("https://klasma.github.io/Logging_0482/tillsynsmail/A 35278-2022 tillsynsbegäran mail.docx", "A 35278-2022")</f>
        <v/>
      </c>
    </row>
    <row r="515" ht="15" customHeight="1">
      <c r="A515" t="inlineStr">
        <is>
          <t>A 36220-2022</t>
        </is>
      </c>
      <c r="B515" s="1" t="n">
        <v>44803</v>
      </c>
      <c r="C515" s="1" t="n">
        <v>45843</v>
      </c>
      <c r="D515" t="inlineStr">
        <is>
          <t>SÖDERMANLANDS LÄN</t>
        </is>
      </c>
      <c r="E515" t="inlineStr">
        <is>
          <t>KATRINEHOLM</t>
        </is>
      </c>
      <c r="G515" t="n">
        <v>3.1</v>
      </c>
      <c r="H515" t="n">
        <v>0</v>
      </c>
      <c r="I515" t="n">
        <v>1</v>
      </c>
      <c r="J515" t="n">
        <v>0</v>
      </c>
      <c r="K515" t="n">
        <v>0</v>
      </c>
      <c r="L515" t="n">
        <v>0</v>
      </c>
      <c r="M515" t="n">
        <v>0</v>
      </c>
      <c r="N515" t="n">
        <v>0</v>
      </c>
      <c r="O515" t="n">
        <v>0</v>
      </c>
      <c r="P515" t="n">
        <v>0</v>
      </c>
      <c r="Q515" t="n">
        <v>1</v>
      </c>
      <c r="R515" s="2" t="inlineStr">
        <is>
          <t>Granbräken</t>
        </is>
      </c>
      <c r="S515">
        <f>HYPERLINK("https://klasma.github.io/Logging_0483/artfynd/A 36220-2022 artfynd.xlsx", "A 36220-2022")</f>
        <v/>
      </c>
      <c r="T515">
        <f>HYPERLINK("https://klasma.github.io/Logging_0483/kartor/A 36220-2022 karta.png", "A 36220-2022")</f>
        <v/>
      </c>
      <c r="V515">
        <f>HYPERLINK("https://klasma.github.io/Logging_0483/klagomål/A 36220-2022 FSC-klagomål.docx", "A 36220-2022")</f>
        <v/>
      </c>
      <c r="W515">
        <f>HYPERLINK("https://klasma.github.io/Logging_0483/klagomålsmail/A 36220-2022 FSC-klagomål mail.docx", "A 36220-2022")</f>
        <v/>
      </c>
      <c r="X515">
        <f>HYPERLINK("https://klasma.github.io/Logging_0483/tillsyn/A 36220-2022 tillsynsbegäran.docx", "A 36220-2022")</f>
        <v/>
      </c>
      <c r="Y515">
        <f>HYPERLINK("https://klasma.github.io/Logging_0483/tillsynsmail/A 36220-2022 tillsynsbegäran mail.docx", "A 36220-2022")</f>
        <v/>
      </c>
    </row>
    <row r="516" ht="15" customHeight="1">
      <c r="A516" t="inlineStr">
        <is>
          <t>A 36140-2022</t>
        </is>
      </c>
      <c r="B516" s="1" t="n">
        <v>44803</v>
      </c>
      <c r="C516" s="1" t="n">
        <v>45843</v>
      </c>
      <c r="D516" t="inlineStr">
        <is>
          <t>SÖDERMANLANDS LÄN</t>
        </is>
      </c>
      <c r="E516" t="inlineStr">
        <is>
          <t>ESKILSTUNA</t>
        </is>
      </c>
      <c r="G516" t="n">
        <v>5</v>
      </c>
      <c r="H516" t="n">
        <v>1</v>
      </c>
      <c r="I516" t="n">
        <v>0</v>
      </c>
      <c r="J516" t="n">
        <v>0</v>
      </c>
      <c r="K516" t="n">
        <v>0</v>
      </c>
      <c r="L516" t="n">
        <v>0</v>
      </c>
      <c r="M516" t="n">
        <v>0</v>
      </c>
      <c r="N516" t="n">
        <v>0</v>
      </c>
      <c r="O516" t="n">
        <v>0</v>
      </c>
      <c r="P516" t="n">
        <v>0</v>
      </c>
      <c r="Q516" t="n">
        <v>1</v>
      </c>
      <c r="R516" s="2" t="inlineStr">
        <is>
          <t>Blåsippa</t>
        </is>
      </c>
      <c r="S516">
        <f>HYPERLINK("https://klasma.github.io/Logging_0484/artfynd/A 36140-2022 artfynd.xlsx", "A 36140-2022")</f>
        <v/>
      </c>
      <c r="T516">
        <f>HYPERLINK("https://klasma.github.io/Logging_0484/kartor/A 36140-2022 karta.png", "A 36140-2022")</f>
        <v/>
      </c>
      <c r="V516">
        <f>HYPERLINK("https://klasma.github.io/Logging_0484/klagomål/A 36140-2022 FSC-klagomål.docx", "A 36140-2022")</f>
        <v/>
      </c>
      <c r="W516">
        <f>HYPERLINK("https://klasma.github.io/Logging_0484/klagomålsmail/A 36140-2022 FSC-klagomål mail.docx", "A 36140-2022")</f>
        <v/>
      </c>
      <c r="X516">
        <f>HYPERLINK("https://klasma.github.io/Logging_0484/tillsyn/A 36140-2022 tillsynsbegäran.docx", "A 36140-2022")</f>
        <v/>
      </c>
      <c r="Y516">
        <f>HYPERLINK("https://klasma.github.io/Logging_0484/tillsynsmail/A 36140-2022 tillsynsbegäran mail.docx", "A 36140-2022")</f>
        <v/>
      </c>
    </row>
    <row r="517" ht="15" customHeight="1">
      <c r="A517" t="inlineStr">
        <is>
          <t>A 36155-2022</t>
        </is>
      </c>
      <c r="B517" s="1" t="n">
        <v>44803</v>
      </c>
      <c r="C517" s="1" t="n">
        <v>45843</v>
      </c>
      <c r="D517" t="inlineStr">
        <is>
          <t>SÖDERMANLANDS LÄN</t>
        </is>
      </c>
      <c r="E517" t="inlineStr">
        <is>
          <t>ESKILSTUNA</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HYPERLINK("https://klasma.github.io/Logging_0484/artfynd/A 36155-2022 artfynd.xlsx", "A 36155-2022")</f>
        <v/>
      </c>
      <c r="T517">
        <f>HYPERLINK("https://klasma.github.io/Logging_0484/kartor/A 36155-2022 karta.png", "A 36155-2022")</f>
        <v/>
      </c>
      <c r="V517">
        <f>HYPERLINK("https://klasma.github.io/Logging_0484/klagomål/A 36155-2022 FSC-klagomål.docx", "A 36155-2022")</f>
        <v/>
      </c>
      <c r="W517">
        <f>HYPERLINK("https://klasma.github.io/Logging_0484/klagomålsmail/A 36155-2022 FSC-klagomål mail.docx", "A 36155-2022")</f>
        <v/>
      </c>
      <c r="X517">
        <f>HYPERLINK("https://klasma.github.io/Logging_0484/tillsyn/A 36155-2022 tillsynsbegäran.docx", "A 36155-2022")</f>
        <v/>
      </c>
      <c r="Y517">
        <f>HYPERLINK("https://klasma.github.io/Logging_0484/tillsynsmail/A 36155-2022 tillsynsbegäran mail.docx", "A 36155-2022")</f>
        <v/>
      </c>
    </row>
    <row r="518" ht="15" customHeight="1">
      <c r="A518" t="inlineStr">
        <is>
          <t>A 36996-2022</t>
        </is>
      </c>
      <c r="B518" s="1" t="n">
        <v>44806</v>
      </c>
      <c r="C518" s="1" t="n">
        <v>45843</v>
      </c>
      <c r="D518" t="inlineStr">
        <is>
          <t>SÖDERMANLANDS LÄN</t>
        </is>
      </c>
      <c r="E518" t="inlineStr">
        <is>
          <t>NYKÖPING</t>
        </is>
      </c>
      <c r="F518" t="inlineStr">
        <is>
          <t>Kommuner</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HYPERLINK("https://klasma.github.io/Logging_0480/artfynd/A 36996-2022 artfynd.xlsx", "A 36996-2022")</f>
        <v/>
      </c>
      <c r="T518">
        <f>HYPERLINK("https://klasma.github.io/Logging_0480/kartor/A 36996-2022 karta.png", "A 36996-2022")</f>
        <v/>
      </c>
      <c r="V518">
        <f>HYPERLINK("https://klasma.github.io/Logging_0480/klagomål/A 36996-2022 FSC-klagomål.docx", "A 36996-2022")</f>
        <v/>
      </c>
      <c r="W518">
        <f>HYPERLINK("https://klasma.github.io/Logging_0480/klagomålsmail/A 36996-2022 FSC-klagomål mail.docx", "A 36996-2022")</f>
        <v/>
      </c>
      <c r="X518">
        <f>HYPERLINK("https://klasma.github.io/Logging_0480/tillsyn/A 36996-2022 tillsynsbegäran.docx", "A 36996-2022")</f>
        <v/>
      </c>
      <c r="Y518">
        <f>HYPERLINK("https://klasma.github.io/Logging_0480/tillsynsmail/A 36996-2022 tillsynsbegäran mail.docx", "A 36996-2022")</f>
        <v/>
      </c>
    </row>
    <row r="519" ht="15" customHeight="1">
      <c r="A519" t="inlineStr">
        <is>
          <t>A 39740-2022</t>
        </is>
      </c>
      <c r="B519" s="1" t="n">
        <v>44817</v>
      </c>
      <c r="C519" s="1" t="n">
        <v>45843</v>
      </c>
      <c r="D519" t="inlineStr">
        <is>
          <t>SÖDERMANLANDS LÄN</t>
        </is>
      </c>
      <c r="E519" t="inlineStr">
        <is>
          <t>NYKÖPING</t>
        </is>
      </c>
      <c r="F519" t="inlineStr">
        <is>
          <t>Kommuner</t>
        </is>
      </c>
      <c r="G519" t="n">
        <v>3.4</v>
      </c>
      <c r="H519" t="n">
        <v>1</v>
      </c>
      <c r="I519" t="n">
        <v>0</v>
      </c>
      <c r="J519" t="n">
        <v>0</v>
      </c>
      <c r="K519" t="n">
        <v>0</v>
      </c>
      <c r="L519" t="n">
        <v>0</v>
      </c>
      <c r="M519" t="n">
        <v>0</v>
      </c>
      <c r="N519" t="n">
        <v>0</v>
      </c>
      <c r="O519" t="n">
        <v>0</v>
      </c>
      <c r="P519" t="n">
        <v>0</v>
      </c>
      <c r="Q519" t="n">
        <v>1</v>
      </c>
      <c r="R519" s="2" t="inlineStr">
        <is>
          <t>Blåsippa</t>
        </is>
      </c>
      <c r="S519">
        <f>HYPERLINK("https://klasma.github.io/Logging_0480/artfynd/A 39740-2022 artfynd.xlsx", "A 39740-2022")</f>
        <v/>
      </c>
      <c r="T519">
        <f>HYPERLINK("https://klasma.github.io/Logging_0480/kartor/A 39740-2022 karta.png", "A 39740-2022")</f>
        <v/>
      </c>
      <c r="V519">
        <f>HYPERLINK("https://klasma.github.io/Logging_0480/klagomål/A 39740-2022 FSC-klagomål.docx", "A 39740-2022")</f>
        <v/>
      </c>
      <c r="W519">
        <f>HYPERLINK("https://klasma.github.io/Logging_0480/klagomålsmail/A 39740-2022 FSC-klagomål mail.docx", "A 39740-2022")</f>
        <v/>
      </c>
      <c r="X519">
        <f>HYPERLINK("https://klasma.github.io/Logging_0480/tillsyn/A 39740-2022 tillsynsbegäran.docx", "A 39740-2022")</f>
        <v/>
      </c>
      <c r="Y519">
        <f>HYPERLINK("https://klasma.github.io/Logging_0480/tillsynsmail/A 39740-2022 tillsynsbegäran mail.docx", "A 39740-2022")</f>
        <v/>
      </c>
    </row>
    <row r="520" ht="15" customHeight="1">
      <c r="A520" t="inlineStr">
        <is>
          <t>A 41242-2022</t>
        </is>
      </c>
      <c r="B520" s="1" t="n">
        <v>44826</v>
      </c>
      <c r="C520" s="1" t="n">
        <v>45843</v>
      </c>
      <c r="D520" t="inlineStr">
        <is>
          <t>SÖDERMANLANDS LÄN</t>
        </is>
      </c>
      <c r="E520" t="inlineStr">
        <is>
          <t>NYKÖPING</t>
        </is>
      </c>
      <c r="G520" t="n">
        <v>17.2</v>
      </c>
      <c r="H520" t="n">
        <v>1</v>
      </c>
      <c r="I520" t="n">
        <v>0</v>
      </c>
      <c r="J520" t="n">
        <v>0</v>
      </c>
      <c r="K520" t="n">
        <v>0</v>
      </c>
      <c r="L520" t="n">
        <v>0</v>
      </c>
      <c r="M520" t="n">
        <v>0</v>
      </c>
      <c r="N520" t="n">
        <v>0</v>
      </c>
      <c r="O520" t="n">
        <v>0</v>
      </c>
      <c r="P520" t="n">
        <v>0</v>
      </c>
      <c r="Q520" t="n">
        <v>1</v>
      </c>
      <c r="R520" s="2" t="inlineStr">
        <is>
          <t>Gullviva</t>
        </is>
      </c>
      <c r="S520">
        <f>HYPERLINK("https://klasma.github.io/Logging_0480/artfynd/A 41242-2022 artfynd.xlsx", "A 41242-2022")</f>
        <v/>
      </c>
      <c r="T520">
        <f>HYPERLINK("https://klasma.github.io/Logging_0480/kartor/A 41242-2022 karta.png", "A 41242-2022")</f>
        <v/>
      </c>
      <c r="V520">
        <f>HYPERLINK("https://klasma.github.io/Logging_0480/klagomål/A 41242-2022 FSC-klagomål.docx", "A 41242-2022")</f>
        <v/>
      </c>
      <c r="W520">
        <f>HYPERLINK("https://klasma.github.io/Logging_0480/klagomålsmail/A 41242-2022 FSC-klagomål mail.docx", "A 41242-2022")</f>
        <v/>
      </c>
      <c r="X520">
        <f>HYPERLINK("https://klasma.github.io/Logging_0480/tillsyn/A 41242-2022 tillsynsbegäran.docx", "A 41242-2022")</f>
        <v/>
      </c>
      <c r="Y520">
        <f>HYPERLINK("https://klasma.github.io/Logging_0480/tillsynsmail/A 41242-2022 tillsynsbegäran mail.docx", "A 41242-2022")</f>
        <v/>
      </c>
    </row>
    <row r="521" ht="15" customHeight="1">
      <c r="A521" t="inlineStr">
        <is>
          <t>A 41511-2022</t>
        </is>
      </c>
      <c r="B521" s="1" t="n">
        <v>44827</v>
      </c>
      <c r="C521" s="1" t="n">
        <v>45843</v>
      </c>
      <c r="D521" t="inlineStr">
        <is>
          <t>SÖDERMANLANDS LÄN</t>
        </is>
      </c>
      <c r="E521" t="inlineStr">
        <is>
          <t>STRÄNGNÄS</t>
        </is>
      </c>
      <c r="F521" t="inlineStr">
        <is>
          <t>Övriga Aktiebolag</t>
        </is>
      </c>
      <c r="G521" t="n">
        <v>5</v>
      </c>
      <c r="H521" t="n">
        <v>0</v>
      </c>
      <c r="I521" t="n">
        <v>0</v>
      </c>
      <c r="J521" t="n">
        <v>1</v>
      </c>
      <c r="K521" t="n">
        <v>0</v>
      </c>
      <c r="L521" t="n">
        <v>0</v>
      </c>
      <c r="M521" t="n">
        <v>0</v>
      </c>
      <c r="N521" t="n">
        <v>0</v>
      </c>
      <c r="O521" t="n">
        <v>1</v>
      </c>
      <c r="P521" t="n">
        <v>0</v>
      </c>
      <c r="Q521" t="n">
        <v>1</v>
      </c>
      <c r="R521" s="2" t="inlineStr">
        <is>
          <t>Tallticka</t>
        </is>
      </c>
      <c r="S521">
        <f>HYPERLINK("https://klasma.github.io/Logging_0486/artfynd/A 41511-2022 artfynd.xlsx", "A 41511-2022")</f>
        <v/>
      </c>
      <c r="T521">
        <f>HYPERLINK("https://klasma.github.io/Logging_0486/kartor/A 41511-2022 karta.png", "A 41511-2022")</f>
        <v/>
      </c>
      <c r="V521">
        <f>HYPERLINK("https://klasma.github.io/Logging_0486/klagomål/A 41511-2022 FSC-klagomål.docx", "A 41511-2022")</f>
        <v/>
      </c>
      <c r="W521">
        <f>HYPERLINK("https://klasma.github.io/Logging_0486/klagomålsmail/A 41511-2022 FSC-klagomål mail.docx", "A 41511-2022")</f>
        <v/>
      </c>
      <c r="X521">
        <f>HYPERLINK("https://klasma.github.io/Logging_0486/tillsyn/A 41511-2022 tillsynsbegäran.docx", "A 41511-2022")</f>
        <v/>
      </c>
      <c r="Y521">
        <f>HYPERLINK("https://klasma.github.io/Logging_0486/tillsynsmail/A 41511-2022 tillsynsbegäran mail.docx", "A 41511-2022")</f>
        <v/>
      </c>
    </row>
    <row r="522" ht="15" customHeight="1">
      <c r="A522" t="inlineStr">
        <is>
          <t>A 42227-2022</t>
        </is>
      </c>
      <c r="B522" s="1" t="n">
        <v>44830</v>
      </c>
      <c r="C522" s="1" t="n">
        <v>45843</v>
      </c>
      <c r="D522" t="inlineStr">
        <is>
          <t>SÖDERMANLANDS LÄN</t>
        </is>
      </c>
      <c r="E522" t="inlineStr">
        <is>
          <t>GNESTA</t>
        </is>
      </c>
      <c r="G522" t="n">
        <v>4.8</v>
      </c>
      <c r="H522" t="n">
        <v>0</v>
      </c>
      <c r="I522" t="n">
        <v>1</v>
      </c>
      <c r="J522" t="n">
        <v>0</v>
      </c>
      <c r="K522" t="n">
        <v>0</v>
      </c>
      <c r="L522" t="n">
        <v>0</v>
      </c>
      <c r="M522" t="n">
        <v>0</v>
      </c>
      <c r="N522" t="n">
        <v>0</v>
      </c>
      <c r="O522" t="n">
        <v>0</v>
      </c>
      <c r="P522" t="n">
        <v>0</v>
      </c>
      <c r="Q522" t="n">
        <v>1</v>
      </c>
      <c r="R522" s="2" t="inlineStr">
        <is>
          <t>Sotlav</t>
        </is>
      </c>
      <c r="S522">
        <f>HYPERLINK("https://klasma.github.io/Logging_0461/artfynd/A 42227-2022 artfynd.xlsx", "A 42227-2022")</f>
        <v/>
      </c>
      <c r="T522">
        <f>HYPERLINK("https://klasma.github.io/Logging_0461/kartor/A 42227-2022 karta.png", "A 42227-2022")</f>
        <v/>
      </c>
      <c r="V522">
        <f>HYPERLINK("https://klasma.github.io/Logging_0461/klagomål/A 42227-2022 FSC-klagomål.docx", "A 42227-2022")</f>
        <v/>
      </c>
      <c r="W522">
        <f>HYPERLINK("https://klasma.github.io/Logging_0461/klagomålsmail/A 42227-2022 FSC-klagomål mail.docx", "A 42227-2022")</f>
        <v/>
      </c>
      <c r="X522">
        <f>HYPERLINK("https://klasma.github.io/Logging_0461/tillsyn/A 42227-2022 tillsynsbegäran.docx", "A 42227-2022")</f>
        <v/>
      </c>
      <c r="Y522">
        <f>HYPERLINK("https://klasma.github.io/Logging_0461/tillsynsmail/A 42227-2022 tillsynsbegäran mail.docx", "A 42227-2022")</f>
        <v/>
      </c>
    </row>
    <row r="523" ht="15" customHeight="1">
      <c r="A523" t="inlineStr">
        <is>
          <t>A 42745-2022</t>
        </is>
      </c>
      <c r="B523" s="1" t="n">
        <v>44831</v>
      </c>
      <c r="C523" s="1" t="n">
        <v>45843</v>
      </c>
      <c r="D523" t="inlineStr">
        <is>
          <t>SÖDERMANLANDS LÄN</t>
        </is>
      </c>
      <c r="E523" t="inlineStr">
        <is>
          <t>KATRINEHOLM</t>
        </is>
      </c>
      <c r="G523" t="n">
        <v>4.6</v>
      </c>
      <c r="H523" t="n">
        <v>0</v>
      </c>
      <c r="I523" t="n">
        <v>0</v>
      </c>
      <c r="J523" t="n">
        <v>1</v>
      </c>
      <c r="K523" t="n">
        <v>0</v>
      </c>
      <c r="L523" t="n">
        <v>0</v>
      </c>
      <c r="M523" t="n">
        <v>0</v>
      </c>
      <c r="N523" t="n">
        <v>0</v>
      </c>
      <c r="O523" t="n">
        <v>1</v>
      </c>
      <c r="P523" t="n">
        <v>0</v>
      </c>
      <c r="Q523" t="n">
        <v>1</v>
      </c>
      <c r="R523" s="2" t="inlineStr">
        <is>
          <t>Svedjenäva</t>
        </is>
      </c>
      <c r="S523">
        <f>HYPERLINK("https://klasma.github.io/Logging_0483/artfynd/A 42745-2022 artfynd.xlsx", "A 42745-2022")</f>
        <v/>
      </c>
      <c r="T523">
        <f>HYPERLINK("https://klasma.github.io/Logging_0483/kartor/A 42745-2022 karta.png", "A 42745-2022")</f>
        <v/>
      </c>
      <c r="V523">
        <f>HYPERLINK("https://klasma.github.io/Logging_0483/klagomål/A 42745-2022 FSC-klagomål.docx", "A 42745-2022")</f>
        <v/>
      </c>
      <c r="W523">
        <f>HYPERLINK("https://klasma.github.io/Logging_0483/klagomålsmail/A 42745-2022 FSC-klagomål mail.docx", "A 42745-2022")</f>
        <v/>
      </c>
      <c r="X523">
        <f>HYPERLINK("https://klasma.github.io/Logging_0483/tillsyn/A 42745-2022 tillsynsbegäran.docx", "A 42745-2022")</f>
        <v/>
      </c>
      <c r="Y523">
        <f>HYPERLINK("https://klasma.github.io/Logging_0483/tillsynsmail/A 42745-2022 tillsynsbegäran mail.docx", "A 42745-2022")</f>
        <v/>
      </c>
    </row>
    <row r="524" ht="15" customHeight="1">
      <c r="A524" t="inlineStr">
        <is>
          <t>A 43547-2022</t>
        </is>
      </c>
      <c r="B524" s="1" t="n">
        <v>44834</v>
      </c>
      <c r="C524" s="1" t="n">
        <v>45843</v>
      </c>
      <c r="D524" t="inlineStr">
        <is>
          <t>SÖDERMANLANDS LÄN</t>
        </is>
      </c>
      <c r="E524" t="inlineStr">
        <is>
          <t>ESKILSTUNA</t>
        </is>
      </c>
      <c r="G524" t="n">
        <v>3.2</v>
      </c>
      <c r="H524" t="n">
        <v>1</v>
      </c>
      <c r="I524" t="n">
        <v>0</v>
      </c>
      <c r="J524" t="n">
        <v>0</v>
      </c>
      <c r="K524" t="n">
        <v>1</v>
      </c>
      <c r="L524" t="n">
        <v>0</v>
      </c>
      <c r="M524" t="n">
        <v>0</v>
      </c>
      <c r="N524" t="n">
        <v>0</v>
      </c>
      <c r="O524" t="n">
        <v>1</v>
      </c>
      <c r="P524" t="n">
        <v>1</v>
      </c>
      <c r="Q524" t="n">
        <v>1</v>
      </c>
      <c r="R524" s="2" t="inlineStr">
        <is>
          <t>Knärot</t>
        </is>
      </c>
      <c r="S524">
        <f>HYPERLINK("https://klasma.github.io/Logging_0484/artfynd/A 43547-2022 artfynd.xlsx", "A 43547-2022")</f>
        <v/>
      </c>
      <c r="T524">
        <f>HYPERLINK("https://klasma.github.io/Logging_0484/kartor/A 43547-2022 karta.png", "A 43547-2022")</f>
        <v/>
      </c>
      <c r="U524">
        <f>HYPERLINK("https://klasma.github.io/Logging_0484/knärot/A 43547-2022 karta knärot.png", "A 43547-2022")</f>
        <v/>
      </c>
      <c r="V524">
        <f>HYPERLINK("https://klasma.github.io/Logging_0484/klagomål/A 43547-2022 FSC-klagomål.docx", "A 43547-2022")</f>
        <v/>
      </c>
      <c r="W524">
        <f>HYPERLINK("https://klasma.github.io/Logging_0484/klagomålsmail/A 43547-2022 FSC-klagomål mail.docx", "A 43547-2022")</f>
        <v/>
      </c>
      <c r="X524">
        <f>HYPERLINK("https://klasma.github.io/Logging_0484/tillsyn/A 43547-2022 tillsynsbegäran.docx", "A 43547-2022")</f>
        <v/>
      </c>
      <c r="Y524">
        <f>HYPERLINK("https://klasma.github.io/Logging_0484/tillsynsmail/A 43547-2022 tillsynsbegäran mail.docx", "A 43547-2022")</f>
        <v/>
      </c>
    </row>
    <row r="525" ht="15" customHeight="1">
      <c r="A525" t="inlineStr">
        <is>
          <t>A 43666-2022</t>
        </is>
      </c>
      <c r="B525" s="1" t="n">
        <v>44834</v>
      </c>
      <c r="C525" s="1" t="n">
        <v>45843</v>
      </c>
      <c r="D525" t="inlineStr">
        <is>
          <t>SÖDERMANLANDS LÄN</t>
        </is>
      </c>
      <c r="E525" t="inlineStr">
        <is>
          <t>STRÄNGNÄS</t>
        </is>
      </c>
      <c r="G525" t="n">
        <v>4.6</v>
      </c>
      <c r="H525" t="n">
        <v>0</v>
      </c>
      <c r="I525" t="n">
        <v>0</v>
      </c>
      <c r="J525" t="n">
        <v>1</v>
      </c>
      <c r="K525" t="n">
        <v>0</v>
      </c>
      <c r="L525" t="n">
        <v>0</v>
      </c>
      <c r="M525" t="n">
        <v>0</v>
      </c>
      <c r="N525" t="n">
        <v>0</v>
      </c>
      <c r="O525" t="n">
        <v>1</v>
      </c>
      <c r="P525" t="n">
        <v>0</v>
      </c>
      <c r="Q525" t="n">
        <v>1</v>
      </c>
      <c r="R525" s="2" t="inlineStr">
        <is>
          <t>Igelkott</t>
        </is>
      </c>
      <c r="S525">
        <f>HYPERLINK("https://klasma.github.io/Logging_0486/artfynd/A 43666-2022 artfynd.xlsx", "A 43666-2022")</f>
        <v/>
      </c>
      <c r="T525">
        <f>HYPERLINK("https://klasma.github.io/Logging_0486/kartor/A 43666-2022 karta.png", "A 43666-2022")</f>
        <v/>
      </c>
      <c r="V525">
        <f>HYPERLINK("https://klasma.github.io/Logging_0486/klagomål/A 43666-2022 FSC-klagomål.docx", "A 43666-2022")</f>
        <v/>
      </c>
      <c r="W525">
        <f>HYPERLINK("https://klasma.github.io/Logging_0486/klagomålsmail/A 43666-2022 FSC-klagomål mail.docx", "A 43666-2022")</f>
        <v/>
      </c>
      <c r="X525">
        <f>HYPERLINK("https://klasma.github.io/Logging_0486/tillsyn/A 43666-2022 tillsynsbegäran.docx", "A 43666-2022")</f>
        <v/>
      </c>
      <c r="Y525">
        <f>HYPERLINK("https://klasma.github.io/Logging_0486/tillsynsmail/A 43666-2022 tillsynsbegäran mail.docx", "A 43666-2022")</f>
        <v/>
      </c>
    </row>
    <row r="526" ht="15" customHeight="1">
      <c r="A526" t="inlineStr">
        <is>
          <t>A 44563-2022</t>
        </is>
      </c>
      <c r="B526" s="1" t="n">
        <v>44838</v>
      </c>
      <c r="C526" s="1" t="n">
        <v>45843</v>
      </c>
      <c r="D526" t="inlineStr">
        <is>
          <t>SÖDERMANLANDS LÄN</t>
        </is>
      </c>
      <c r="E526" t="inlineStr">
        <is>
          <t>FLEN</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HYPERLINK("https://klasma.github.io/Logging_0482/artfynd/A 44563-2022 artfynd.xlsx", "A 44563-2022")</f>
        <v/>
      </c>
      <c r="T526">
        <f>HYPERLINK("https://klasma.github.io/Logging_0482/kartor/A 44563-2022 karta.png", "A 44563-2022")</f>
        <v/>
      </c>
      <c r="V526">
        <f>HYPERLINK("https://klasma.github.io/Logging_0482/klagomål/A 44563-2022 FSC-klagomål.docx", "A 44563-2022")</f>
        <v/>
      </c>
      <c r="W526">
        <f>HYPERLINK("https://klasma.github.io/Logging_0482/klagomålsmail/A 44563-2022 FSC-klagomål mail.docx", "A 44563-2022")</f>
        <v/>
      </c>
      <c r="X526">
        <f>HYPERLINK("https://klasma.github.io/Logging_0482/tillsyn/A 44563-2022 tillsynsbegäran.docx", "A 44563-2022")</f>
        <v/>
      </c>
      <c r="Y526">
        <f>HYPERLINK("https://klasma.github.io/Logging_0482/tillsynsmail/A 44563-2022 tillsynsbegäran mail.docx", "A 44563-2022")</f>
        <v/>
      </c>
    </row>
    <row r="527" ht="15" customHeight="1">
      <c r="A527" t="inlineStr">
        <is>
          <t>A 44262-2022</t>
        </is>
      </c>
      <c r="B527" s="1" t="n">
        <v>44839</v>
      </c>
      <c r="C527" s="1" t="n">
        <v>45843</v>
      </c>
      <c r="D527" t="inlineStr">
        <is>
          <t>SÖDERMANLANDS LÄN</t>
        </is>
      </c>
      <c r="E527" t="inlineStr">
        <is>
          <t>KATRINEHOLM</t>
        </is>
      </c>
      <c r="G527" t="n">
        <v>0.1</v>
      </c>
      <c r="H527" t="n">
        <v>1</v>
      </c>
      <c r="I527" t="n">
        <v>0</v>
      </c>
      <c r="J527" t="n">
        <v>0</v>
      </c>
      <c r="K527" t="n">
        <v>1</v>
      </c>
      <c r="L527" t="n">
        <v>0</v>
      </c>
      <c r="M527" t="n">
        <v>0</v>
      </c>
      <c r="N527" t="n">
        <v>0</v>
      </c>
      <c r="O527" t="n">
        <v>1</v>
      </c>
      <c r="P527" t="n">
        <v>1</v>
      </c>
      <c r="Q527" t="n">
        <v>1</v>
      </c>
      <c r="R527" s="2" t="inlineStr">
        <is>
          <t>Bombmurkla</t>
        </is>
      </c>
      <c r="S527">
        <f>HYPERLINK("https://klasma.github.io/Logging_0483/artfynd/A 44262-2022 artfynd.xlsx", "A 44262-2022")</f>
        <v/>
      </c>
      <c r="T527">
        <f>HYPERLINK("https://klasma.github.io/Logging_0483/kartor/A 44262-2022 karta.png", "A 44262-2022")</f>
        <v/>
      </c>
      <c r="V527">
        <f>HYPERLINK("https://klasma.github.io/Logging_0483/klagomål/A 44262-2022 FSC-klagomål.docx", "A 44262-2022")</f>
        <v/>
      </c>
      <c r="W527">
        <f>HYPERLINK("https://klasma.github.io/Logging_0483/klagomålsmail/A 44262-2022 FSC-klagomål mail.docx", "A 44262-2022")</f>
        <v/>
      </c>
      <c r="X527">
        <f>HYPERLINK("https://klasma.github.io/Logging_0483/tillsyn/A 44262-2022 tillsynsbegäran.docx", "A 44262-2022")</f>
        <v/>
      </c>
      <c r="Y527">
        <f>HYPERLINK("https://klasma.github.io/Logging_0483/tillsynsmail/A 44262-2022 tillsynsbegäran mail.docx", "A 44262-2022")</f>
        <v/>
      </c>
    </row>
    <row r="528" ht="15" customHeight="1">
      <c r="A528" t="inlineStr">
        <is>
          <t>A 44782-2022</t>
        </is>
      </c>
      <c r="B528" s="1" t="n">
        <v>44839</v>
      </c>
      <c r="C528" s="1" t="n">
        <v>45843</v>
      </c>
      <c r="D528" t="inlineStr">
        <is>
          <t>SÖDERMANLANDS LÄN</t>
        </is>
      </c>
      <c r="E528" t="inlineStr">
        <is>
          <t>GNESTA</t>
        </is>
      </c>
      <c r="G528" t="n">
        <v>5.6</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HYPERLINK("https://klasma.github.io/Logging_0461/artfynd/A 44782-2022 artfynd.xlsx", "A 44782-2022")</f>
        <v/>
      </c>
      <c r="T528">
        <f>HYPERLINK("https://klasma.github.io/Logging_0461/kartor/A 44782-2022 karta.png", "A 44782-2022")</f>
        <v/>
      </c>
      <c r="V528">
        <f>HYPERLINK("https://klasma.github.io/Logging_0461/klagomål/A 44782-2022 FSC-klagomål.docx", "A 44782-2022")</f>
        <v/>
      </c>
      <c r="W528">
        <f>HYPERLINK("https://klasma.github.io/Logging_0461/klagomålsmail/A 44782-2022 FSC-klagomål mail.docx", "A 44782-2022")</f>
        <v/>
      </c>
      <c r="X528">
        <f>HYPERLINK("https://klasma.github.io/Logging_0461/tillsyn/A 44782-2022 tillsynsbegäran.docx", "A 44782-2022")</f>
        <v/>
      </c>
      <c r="Y528">
        <f>HYPERLINK("https://klasma.github.io/Logging_0461/tillsynsmail/A 44782-2022 tillsynsbegäran mail.docx", "A 44782-2022")</f>
        <v/>
      </c>
    </row>
    <row r="529" ht="15" customHeight="1">
      <c r="A529" t="inlineStr">
        <is>
          <t>A 44664-2022</t>
        </is>
      </c>
      <c r="B529" s="1" t="n">
        <v>44840</v>
      </c>
      <c r="C529" s="1" t="n">
        <v>45843</v>
      </c>
      <c r="D529" t="inlineStr">
        <is>
          <t>SÖDERMANLANDS LÄN</t>
        </is>
      </c>
      <c r="E529" t="inlineStr">
        <is>
          <t>ESKILSTUNA</t>
        </is>
      </c>
      <c r="G529" t="n">
        <v>20.8</v>
      </c>
      <c r="H529" t="n">
        <v>1</v>
      </c>
      <c r="I529" t="n">
        <v>0</v>
      </c>
      <c r="J529" t="n">
        <v>0</v>
      </c>
      <c r="K529" t="n">
        <v>1</v>
      </c>
      <c r="L529" t="n">
        <v>0</v>
      </c>
      <c r="M529" t="n">
        <v>0</v>
      </c>
      <c r="N529" t="n">
        <v>0</v>
      </c>
      <c r="O529" t="n">
        <v>1</v>
      </c>
      <c r="P529" t="n">
        <v>1</v>
      </c>
      <c r="Q529" t="n">
        <v>1</v>
      </c>
      <c r="R529" s="2" t="inlineStr">
        <is>
          <t>Knärot</t>
        </is>
      </c>
      <c r="S529">
        <f>HYPERLINK("https://klasma.github.io/Logging_0484/artfynd/A 44664-2022 artfynd.xlsx", "A 44664-2022")</f>
        <v/>
      </c>
      <c r="T529">
        <f>HYPERLINK("https://klasma.github.io/Logging_0484/kartor/A 44664-2022 karta.png", "A 44664-2022")</f>
        <v/>
      </c>
      <c r="U529">
        <f>HYPERLINK("https://klasma.github.io/Logging_0484/knärot/A 44664-2022 karta knärot.png", "A 44664-2022")</f>
        <v/>
      </c>
      <c r="V529">
        <f>HYPERLINK("https://klasma.github.io/Logging_0484/klagomål/A 44664-2022 FSC-klagomål.docx", "A 44664-2022")</f>
        <v/>
      </c>
      <c r="W529">
        <f>HYPERLINK("https://klasma.github.io/Logging_0484/klagomålsmail/A 44664-2022 FSC-klagomål mail.docx", "A 44664-2022")</f>
        <v/>
      </c>
      <c r="X529">
        <f>HYPERLINK("https://klasma.github.io/Logging_0484/tillsyn/A 44664-2022 tillsynsbegäran.docx", "A 44664-2022")</f>
        <v/>
      </c>
      <c r="Y529">
        <f>HYPERLINK("https://klasma.github.io/Logging_0484/tillsynsmail/A 44664-2022 tillsynsbegäran mail.docx", "A 44664-2022")</f>
        <v/>
      </c>
    </row>
    <row r="530" ht="15" customHeight="1">
      <c r="A530" t="inlineStr">
        <is>
          <t>A 45656-2022</t>
        </is>
      </c>
      <c r="B530" s="1" t="n">
        <v>44841</v>
      </c>
      <c r="C530" s="1" t="n">
        <v>45843</v>
      </c>
      <c r="D530" t="inlineStr">
        <is>
          <t>SÖDERMANLANDS LÄN</t>
        </is>
      </c>
      <c r="E530" t="inlineStr">
        <is>
          <t>GNESTA</t>
        </is>
      </c>
      <c r="G530" t="n">
        <v>3.8</v>
      </c>
      <c r="H530" t="n">
        <v>1</v>
      </c>
      <c r="I530" t="n">
        <v>0</v>
      </c>
      <c r="J530" t="n">
        <v>0</v>
      </c>
      <c r="K530" t="n">
        <v>0</v>
      </c>
      <c r="L530" t="n">
        <v>0</v>
      </c>
      <c r="M530" t="n">
        <v>0</v>
      </c>
      <c r="N530" t="n">
        <v>0</v>
      </c>
      <c r="O530" t="n">
        <v>0</v>
      </c>
      <c r="P530" t="n">
        <v>0</v>
      </c>
      <c r="Q530" t="n">
        <v>1</v>
      </c>
      <c r="R530" s="2" t="inlineStr">
        <is>
          <t>Mattlummer</t>
        </is>
      </c>
      <c r="S530">
        <f>HYPERLINK("https://klasma.github.io/Logging_0461/artfynd/A 45656-2022 artfynd.xlsx", "A 45656-2022")</f>
        <v/>
      </c>
      <c r="T530">
        <f>HYPERLINK("https://klasma.github.io/Logging_0461/kartor/A 45656-2022 karta.png", "A 45656-2022")</f>
        <v/>
      </c>
      <c r="V530">
        <f>HYPERLINK("https://klasma.github.io/Logging_0461/klagomål/A 45656-2022 FSC-klagomål.docx", "A 45656-2022")</f>
        <v/>
      </c>
      <c r="W530">
        <f>HYPERLINK("https://klasma.github.io/Logging_0461/klagomålsmail/A 45656-2022 FSC-klagomål mail.docx", "A 45656-2022")</f>
        <v/>
      </c>
      <c r="X530">
        <f>HYPERLINK("https://klasma.github.io/Logging_0461/tillsyn/A 45656-2022 tillsynsbegäran.docx", "A 45656-2022")</f>
        <v/>
      </c>
      <c r="Y530">
        <f>HYPERLINK("https://klasma.github.io/Logging_0461/tillsynsmail/A 45656-2022 tillsynsbegäran mail.docx", "A 45656-2022")</f>
        <v/>
      </c>
    </row>
    <row r="531" ht="15" customHeight="1">
      <c r="A531" t="inlineStr">
        <is>
          <t>A 47648-2022</t>
        </is>
      </c>
      <c r="B531" s="1" t="n">
        <v>44854</v>
      </c>
      <c r="C531" s="1" t="n">
        <v>45843</v>
      </c>
      <c r="D531" t="inlineStr">
        <is>
          <t>SÖDERMANLANDS LÄN</t>
        </is>
      </c>
      <c r="E531" t="inlineStr">
        <is>
          <t>ESKILSTUNA</t>
        </is>
      </c>
      <c r="G531" t="n">
        <v>1.8</v>
      </c>
      <c r="H531" t="n">
        <v>1</v>
      </c>
      <c r="I531" t="n">
        <v>0</v>
      </c>
      <c r="J531" t="n">
        <v>1</v>
      </c>
      <c r="K531" t="n">
        <v>0</v>
      </c>
      <c r="L531" t="n">
        <v>0</v>
      </c>
      <c r="M531" t="n">
        <v>0</v>
      </c>
      <c r="N531" t="n">
        <v>0</v>
      </c>
      <c r="O531" t="n">
        <v>1</v>
      </c>
      <c r="P531" t="n">
        <v>0</v>
      </c>
      <c r="Q531" t="n">
        <v>1</v>
      </c>
      <c r="R531" s="2" t="inlineStr">
        <is>
          <t>Grönsångare</t>
        </is>
      </c>
      <c r="S531">
        <f>HYPERLINK("https://klasma.github.io/Logging_0484/artfynd/A 47648-2022 artfynd.xlsx", "A 47648-2022")</f>
        <v/>
      </c>
      <c r="T531">
        <f>HYPERLINK("https://klasma.github.io/Logging_0484/kartor/A 47648-2022 karta.png", "A 47648-2022")</f>
        <v/>
      </c>
      <c r="V531">
        <f>HYPERLINK("https://klasma.github.io/Logging_0484/klagomål/A 47648-2022 FSC-klagomål.docx", "A 47648-2022")</f>
        <v/>
      </c>
      <c r="W531">
        <f>HYPERLINK("https://klasma.github.io/Logging_0484/klagomålsmail/A 47648-2022 FSC-klagomål mail.docx", "A 47648-2022")</f>
        <v/>
      </c>
      <c r="X531">
        <f>HYPERLINK("https://klasma.github.io/Logging_0484/tillsyn/A 47648-2022 tillsynsbegäran.docx", "A 47648-2022")</f>
        <v/>
      </c>
      <c r="Y531">
        <f>HYPERLINK("https://klasma.github.io/Logging_0484/tillsynsmail/A 47648-2022 tillsynsbegäran mail.docx", "A 47648-2022")</f>
        <v/>
      </c>
      <c r="Z531">
        <f>HYPERLINK("https://klasma.github.io/Logging_0484/fåglar/A 47648-2022 prioriterade fågelarter.docx", "A 47648-2022")</f>
        <v/>
      </c>
    </row>
    <row r="532" ht="15" customHeight="1">
      <c r="A532" t="inlineStr">
        <is>
          <t>A 47756-2022</t>
        </is>
      </c>
      <c r="B532" s="1" t="n">
        <v>44854</v>
      </c>
      <c r="C532" s="1" t="n">
        <v>45843</v>
      </c>
      <c r="D532" t="inlineStr">
        <is>
          <t>SÖDERMANLANDS LÄN</t>
        </is>
      </c>
      <c r="E532" t="inlineStr">
        <is>
          <t>FLEN</t>
        </is>
      </c>
      <c r="G532" t="n">
        <v>2.4</v>
      </c>
      <c r="H532" t="n">
        <v>0</v>
      </c>
      <c r="I532" t="n">
        <v>0</v>
      </c>
      <c r="J532" t="n">
        <v>1</v>
      </c>
      <c r="K532" t="n">
        <v>0</v>
      </c>
      <c r="L532" t="n">
        <v>0</v>
      </c>
      <c r="M532" t="n">
        <v>0</v>
      </c>
      <c r="N532" t="n">
        <v>0</v>
      </c>
      <c r="O532" t="n">
        <v>1</v>
      </c>
      <c r="P532" t="n">
        <v>0</v>
      </c>
      <c r="Q532" t="n">
        <v>1</v>
      </c>
      <c r="R532" s="2" t="inlineStr">
        <is>
          <t>Svinrot</t>
        </is>
      </c>
      <c r="S532">
        <f>HYPERLINK("https://klasma.github.io/Logging_0482/artfynd/A 47756-2022 artfynd.xlsx", "A 47756-2022")</f>
        <v/>
      </c>
      <c r="T532">
        <f>HYPERLINK("https://klasma.github.io/Logging_0482/kartor/A 47756-2022 karta.png", "A 47756-2022")</f>
        <v/>
      </c>
      <c r="V532">
        <f>HYPERLINK("https://klasma.github.io/Logging_0482/klagomål/A 47756-2022 FSC-klagomål.docx", "A 47756-2022")</f>
        <v/>
      </c>
      <c r="W532">
        <f>HYPERLINK("https://klasma.github.io/Logging_0482/klagomålsmail/A 47756-2022 FSC-klagomål mail.docx", "A 47756-2022")</f>
        <v/>
      </c>
      <c r="X532">
        <f>HYPERLINK("https://klasma.github.io/Logging_0482/tillsyn/A 47756-2022 tillsynsbegäran.docx", "A 47756-2022")</f>
        <v/>
      </c>
      <c r="Y532">
        <f>HYPERLINK("https://klasma.github.io/Logging_0482/tillsynsmail/A 47756-2022 tillsynsbegäran mail.docx", "A 47756-2022")</f>
        <v/>
      </c>
    </row>
    <row r="533" ht="15" customHeight="1">
      <c r="A533" t="inlineStr">
        <is>
          <t>A 48822-2022</t>
        </is>
      </c>
      <c r="B533" s="1" t="n">
        <v>44854</v>
      </c>
      <c r="C533" s="1" t="n">
        <v>45843</v>
      </c>
      <c r="D533" t="inlineStr">
        <is>
          <t>SÖDERMANLANDS LÄN</t>
        </is>
      </c>
      <c r="E533" t="inlineStr">
        <is>
          <t>KATRINEHOLM</t>
        </is>
      </c>
      <c r="G533" t="n">
        <v>8.6</v>
      </c>
      <c r="H533" t="n">
        <v>0</v>
      </c>
      <c r="I533" t="n">
        <v>1</v>
      </c>
      <c r="J533" t="n">
        <v>0</v>
      </c>
      <c r="K533" t="n">
        <v>0</v>
      </c>
      <c r="L533" t="n">
        <v>0</v>
      </c>
      <c r="M533" t="n">
        <v>0</v>
      </c>
      <c r="N533" t="n">
        <v>0</v>
      </c>
      <c r="O533" t="n">
        <v>0</v>
      </c>
      <c r="P533" t="n">
        <v>0</v>
      </c>
      <c r="Q533" t="n">
        <v>1</v>
      </c>
      <c r="R533" s="2" t="inlineStr">
        <is>
          <t>Vågbandad barkbock</t>
        </is>
      </c>
      <c r="S533">
        <f>HYPERLINK("https://klasma.github.io/Logging_0483/artfynd/A 48822-2022 artfynd.xlsx", "A 48822-2022")</f>
        <v/>
      </c>
      <c r="T533">
        <f>HYPERLINK("https://klasma.github.io/Logging_0483/kartor/A 48822-2022 karta.png", "A 48822-2022")</f>
        <v/>
      </c>
      <c r="V533">
        <f>HYPERLINK("https://klasma.github.io/Logging_0483/klagomål/A 48822-2022 FSC-klagomål.docx", "A 48822-2022")</f>
        <v/>
      </c>
      <c r="W533">
        <f>HYPERLINK("https://klasma.github.io/Logging_0483/klagomålsmail/A 48822-2022 FSC-klagomål mail.docx", "A 48822-2022")</f>
        <v/>
      </c>
      <c r="X533">
        <f>HYPERLINK("https://klasma.github.io/Logging_0483/tillsyn/A 48822-2022 tillsynsbegäran.docx", "A 48822-2022")</f>
        <v/>
      </c>
      <c r="Y533">
        <f>HYPERLINK("https://klasma.github.io/Logging_0483/tillsynsmail/A 48822-2022 tillsynsbegäran mail.docx", "A 48822-2022")</f>
        <v/>
      </c>
    </row>
    <row r="534" ht="15" customHeight="1">
      <c r="A534" t="inlineStr">
        <is>
          <t>A 49460-2022</t>
        </is>
      </c>
      <c r="B534" s="1" t="n">
        <v>44861</v>
      </c>
      <c r="C534" s="1" t="n">
        <v>45843</v>
      </c>
      <c r="D534" t="inlineStr">
        <is>
          <t>SÖDERMANLANDS LÄN</t>
        </is>
      </c>
      <c r="E534" t="inlineStr">
        <is>
          <t>GNESTA</t>
        </is>
      </c>
      <c r="G534" t="n">
        <v>8.5</v>
      </c>
      <c r="H534" t="n">
        <v>0</v>
      </c>
      <c r="I534" t="n">
        <v>0</v>
      </c>
      <c r="J534" t="n">
        <v>1</v>
      </c>
      <c r="K534" t="n">
        <v>0</v>
      </c>
      <c r="L534" t="n">
        <v>0</v>
      </c>
      <c r="M534" t="n">
        <v>0</v>
      </c>
      <c r="N534" t="n">
        <v>0</v>
      </c>
      <c r="O534" t="n">
        <v>1</v>
      </c>
      <c r="P534" t="n">
        <v>0</v>
      </c>
      <c r="Q534" t="n">
        <v>1</v>
      </c>
      <c r="R534" s="2" t="inlineStr">
        <is>
          <t>Slåtterfibbla</t>
        </is>
      </c>
      <c r="S534">
        <f>HYPERLINK("https://klasma.github.io/Logging_0461/artfynd/A 49460-2022 artfynd.xlsx", "A 49460-2022")</f>
        <v/>
      </c>
      <c r="T534">
        <f>HYPERLINK("https://klasma.github.io/Logging_0461/kartor/A 49460-2022 karta.png", "A 49460-2022")</f>
        <v/>
      </c>
      <c r="V534">
        <f>HYPERLINK("https://klasma.github.io/Logging_0461/klagomål/A 49460-2022 FSC-klagomål.docx", "A 49460-2022")</f>
        <v/>
      </c>
      <c r="W534">
        <f>HYPERLINK("https://klasma.github.io/Logging_0461/klagomålsmail/A 49460-2022 FSC-klagomål mail.docx", "A 49460-2022")</f>
        <v/>
      </c>
      <c r="X534">
        <f>HYPERLINK("https://klasma.github.io/Logging_0461/tillsyn/A 49460-2022 tillsynsbegäran.docx", "A 49460-2022")</f>
        <v/>
      </c>
      <c r="Y534">
        <f>HYPERLINK("https://klasma.github.io/Logging_0461/tillsynsmail/A 49460-2022 tillsynsbegäran mail.docx", "A 49460-2022")</f>
        <v/>
      </c>
    </row>
    <row r="535" ht="15" customHeight="1">
      <c r="A535" t="inlineStr">
        <is>
          <t>A 49442-2022</t>
        </is>
      </c>
      <c r="B535" s="1" t="n">
        <v>44861</v>
      </c>
      <c r="C535" s="1" t="n">
        <v>45843</v>
      </c>
      <c r="D535" t="inlineStr">
        <is>
          <t>SÖDERMANLANDS LÄN</t>
        </is>
      </c>
      <c r="E535" t="inlineStr">
        <is>
          <t>GNESTA</t>
        </is>
      </c>
      <c r="G535" t="n">
        <v>3.6</v>
      </c>
      <c r="H535" t="n">
        <v>0</v>
      </c>
      <c r="I535" t="n">
        <v>0</v>
      </c>
      <c r="J535" t="n">
        <v>0</v>
      </c>
      <c r="K535" t="n">
        <v>1</v>
      </c>
      <c r="L535" t="n">
        <v>0</v>
      </c>
      <c r="M535" t="n">
        <v>0</v>
      </c>
      <c r="N535" t="n">
        <v>0</v>
      </c>
      <c r="O535" t="n">
        <v>1</v>
      </c>
      <c r="P535" t="n">
        <v>1</v>
      </c>
      <c r="Q535" t="n">
        <v>1</v>
      </c>
      <c r="R535" s="2" t="inlineStr">
        <is>
          <t>Streckvaxskivling</t>
        </is>
      </c>
      <c r="S535">
        <f>HYPERLINK("https://klasma.github.io/Logging_0461/artfynd/A 49442-2022 artfynd.xlsx", "A 49442-2022")</f>
        <v/>
      </c>
      <c r="T535">
        <f>HYPERLINK("https://klasma.github.io/Logging_0461/kartor/A 49442-2022 karta.png", "A 49442-2022")</f>
        <v/>
      </c>
      <c r="V535">
        <f>HYPERLINK("https://klasma.github.io/Logging_0461/klagomål/A 49442-2022 FSC-klagomål.docx", "A 49442-2022")</f>
        <v/>
      </c>
      <c r="W535">
        <f>HYPERLINK("https://klasma.github.io/Logging_0461/klagomålsmail/A 49442-2022 FSC-klagomål mail.docx", "A 49442-2022")</f>
        <v/>
      </c>
      <c r="X535">
        <f>HYPERLINK("https://klasma.github.io/Logging_0461/tillsyn/A 49442-2022 tillsynsbegäran.docx", "A 49442-2022")</f>
        <v/>
      </c>
      <c r="Y535">
        <f>HYPERLINK("https://klasma.github.io/Logging_0461/tillsynsmail/A 49442-2022 tillsynsbegäran mail.docx", "A 49442-2022")</f>
        <v/>
      </c>
    </row>
    <row r="536" ht="15" customHeight="1">
      <c r="A536" t="inlineStr">
        <is>
          <t>A 50202-2022</t>
        </is>
      </c>
      <c r="B536" s="1" t="n">
        <v>44865</v>
      </c>
      <c r="C536" s="1" t="n">
        <v>45843</v>
      </c>
      <c r="D536" t="inlineStr">
        <is>
          <t>SÖDERMANLANDS LÄN</t>
        </is>
      </c>
      <c r="E536" t="inlineStr">
        <is>
          <t>FLEN</t>
        </is>
      </c>
      <c r="F536" t="inlineStr">
        <is>
          <t>Kyrkan</t>
        </is>
      </c>
      <c r="G536" t="n">
        <v>5.8</v>
      </c>
      <c r="H536" t="n">
        <v>0</v>
      </c>
      <c r="I536" t="n">
        <v>0</v>
      </c>
      <c r="J536" t="n">
        <v>1</v>
      </c>
      <c r="K536" t="n">
        <v>0</v>
      </c>
      <c r="L536" t="n">
        <v>0</v>
      </c>
      <c r="M536" t="n">
        <v>0</v>
      </c>
      <c r="N536" t="n">
        <v>0</v>
      </c>
      <c r="O536" t="n">
        <v>1</v>
      </c>
      <c r="P536" t="n">
        <v>0</v>
      </c>
      <c r="Q536" t="n">
        <v>1</v>
      </c>
      <c r="R536" s="2" t="inlineStr">
        <is>
          <t>Gullklöver</t>
        </is>
      </c>
      <c r="S536">
        <f>HYPERLINK("https://klasma.github.io/Logging_0482/artfynd/A 50202-2022 artfynd.xlsx", "A 50202-2022")</f>
        <v/>
      </c>
      <c r="T536">
        <f>HYPERLINK("https://klasma.github.io/Logging_0482/kartor/A 50202-2022 karta.png", "A 50202-2022")</f>
        <v/>
      </c>
      <c r="V536">
        <f>HYPERLINK("https://klasma.github.io/Logging_0482/klagomål/A 50202-2022 FSC-klagomål.docx", "A 50202-2022")</f>
        <v/>
      </c>
      <c r="W536">
        <f>HYPERLINK("https://klasma.github.io/Logging_0482/klagomålsmail/A 50202-2022 FSC-klagomål mail.docx", "A 50202-2022")</f>
        <v/>
      </c>
      <c r="X536">
        <f>HYPERLINK("https://klasma.github.io/Logging_0482/tillsyn/A 50202-2022 tillsynsbegäran.docx", "A 50202-2022")</f>
        <v/>
      </c>
      <c r="Y536">
        <f>HYPERLINK("https://klasma.github.io/Logging_0482/tillsynsmail/A 50202-2022 tillsynsbegäran mail.docx", "A 50202-2022")</f>
        <v/>
      </c>
    </row>
    <row r="537" ht="15" customHeight="1">
      <c r="A537" t="inlineStr">
        <is>
          <t>A 52095-2022</t>
        </is>
      </c>
      <c r="B537" s="1" t="n">
        <v>44873</v>
      </c>
      <c r="C537" s="1" t="n">
        <v>45843</v>
      </c>
      <c r="D537" t="inlineStr">
        <is>
          <t>SÖDERMANLANDS LÄN</t>
        </is>
      </c>
      <c r="E537" t="inlineStr">
        <is>
          <t>NYKÖPING</t>
        </is>
      </c>
      <c r="G537" t="n">
        <v>1.8</v>
      </c>
      <c r="H537" t="n">
        <v>1</v>
      </c>
      <c r="I537" t="n">
        <v>0</v>
      </c>
      <c r="J537" t="n">
        <v>1</v>
      </c>
      <c r="K537" t="n">
        <v>0</v>
      </c>
      <c r="L537" t="n">
        <v>0</v>
      </c>
      <c r="M537" t="n">
        <v>0</v>
      </c>
      <c r="N537" t="n">
        <v>0</v>
      </c>
      <c r="O537" t="n">
        <v>1</v>
      </c>
      <c r="P537" t="n">
        <v>0</v>
      </c>
      <c r="Q537" t="n">
        <v>1</v>
      </c>
      <c r="R537" s="2" t="inlineStr">
        <is>
          <t>Drillsnäppa</t>
        </is>
      </c>
      <c r="S537">
        <f>HYPERLINK("https://klasma.github.io/Logging_0480/artfynd/A 52095-2022 artfynd.xlsx", "A 52095-2022")</f>
        <v/>
      </c>
      <c r="T537">
        <f>HYPERLINK("https://klasma.github.io/Logging_0480/kartor/A 52095-2022 karta.png", "A 52095-2022")</f>
        <v/>
      </c>
      <c r="V537">
        <f>HYPERLINK("https://klasma.github.io/Logging_0480/klagomål/A 52095-2022 FSC-klagomål.docx", "A 52095-2022")</f>
        <v/>
      </c>
      <c r="W537">
        <f>HYPERLINK("https://klasma.github.io/Logging_0480/klagomålsmail/A 52095-2022 FSC-klagomål mail.docx", "A 52095-2022")</f>
        <v/>
      </c>
      <c r="X537">
        <f>HYPERLINK("https://klasma.github.io/Logging_0480/tillsyn/A 52095-2022 tillsynsbegäran.docx", "A 52095-2022")</f>
        <v/>
      </c>
      <c r="Y537">
        <f>HYPERLINK("https://klasma.github.io/Logging_0480/tillsynsmail/A 52095-2022 tillsynsbegäran mail.docx", "A 52095-2022")</f>
        <v/>
      </c>
    </row>
    <row r="538" ht="15" customHeight="1">
      <c r="A538" t="inlineStr">
        <is>
          <t>A 53871-2022</t>
        </is>
      </c>
      <c r="B538" s="1" t="n">
        <v>44876</v>
      </c>
      <c r="C538" s="1" t="n">
        <v>45843</v>
      </c>
      <c r="D538" t="inlineStr">
        <is>
          <t>SÖDERMANLANDS LÄN</t>
        </is>
      </c>
      <c r="E538" t="inlineStr">
        <is>
          <t>KATRINEHOLM</t>
        </is>
      </c>
      <c r="G538" t="n">
        <v>5.3</v>
      </c>
      <c r="H538" t="n">
        <v>1</v>
      </c>
      <c r="I538" t="n">
        <v>0</v>
      </c>
      <c r="J538" t="n">
        <v>0</v>
      </c>
      <c r="K538" t="n">
        <v>0</v>
      </c>
      <c r="L538" t="n">
        <v>0</v>
      </c>
      <c r="M538" t="n">
        <v>0</v>
      </c>
      <c r="N538" t="n">
        <v>0</v>
      </c>
      <c r="O538" t="n">
        <v>0</v>
      </c>
      <c r="P538" t="n">
        <v>0</v>
      </c>
      <c r="Q538" t="n">
        <v>1</v>
      </c>
      <c r="R538" s="2" t="inlineStr">
        <is>
          <t>Törnskata</t>
        </is>
      </c>
      <c r="S538">
        <f>HYPERLINK("https://klasma.github.io/Logging_0483/artfynd/A 53871-2022 artfynd.xlsx", "A 53871-2022")</f>
        <v/>
      </c>
      <c r="T538">
        <f>HYPERLINK("https://klasma.github.io/Logging_0483/kartor/A 53871-2022 karta.png", "A 53871-2022")</f>
        <v/>
      </c>
      <c r="V538">
        <f>HYPERLINK("https://klasma.github.io/Logging_0483/klagomål/A 53871-2022 FSC-klagomål.docx", "A 53871-2022")</f>
        <v/>
      </c>
      <c r="W538">
        <f>HYPERLINK("https://klasma.github.io/Logging_0483/klagomålsmail/A 53871-2022 FSC-klagomål mail.docx", "A 53871-2022")</f>
        <v/>
      </c>
      <c r="X538">
        <f>HYPERLINK("https://klasma.github.io/Logging_0483/tillsyn/A 53871-2022 tillsynsbegäran.docx", "A 53871-2022")</f>
        <v/>
      </c>
      <c r="Y538">
        <f>HYPERLINK("https://klasma.github.io/Logging_0483/tillsynsmail/A 53871-2022 tillsynsbegäran mail.docx", "A 53871-2022")</f>
        <v/>
      </c>
      <c r="Z538">
        <f>HYPERLINK("https://klasma.github.io/Logging_0483/fåglar/A 53871-2022 prioriterade fågelarter.docx", "A 53871-2022")</f>
        <v/>
      </c>
    </row>
    <row r="539" ht="15" customHeight="1">
      <c r="A539" t="inlineStr">
        <is>
          <t>A 56074-2022</t>
        </is>
      </c>
      <c r="B539" s="1" t="n">
        <v>44889</v>
      </c>
      <c r="C539" s="1" t="n">
        <v>45843</v>
      </c>
      <c r="D539" t="inlineStr">
        <is>
          <t>SÖDERMANLANDS LÄN</t>
        </is>
      </c>
      <c r="E539" t="inlineStr">
        <is>
          <t>KATRINEHOLM</t>
        </is>
      </c>
      <c r="G539" t="n">
        <v>13.6</v>
      </c>
      <c r="H539" t="n">
        <v>1</v>
      </c>
      <c r="I539" t="n">
        <v>0</v>
      </c>
      <c r="J539" t="n">
        <v>0</v>
      </c>
      <c r="K539" t="n">
        <v>0</v>
      </c>
      <c r="L539" t="n">
        <v>0</v>
      </c>
      <c r="M539" t="n">
        <v>0</v>
      </c>
      <c r="N539" t="n">
        <v>0</v>
      </c>
      <c r="O539" t="n">
        <v>0</v>
      </c>
      <c r="P539" t="n">
        <v>0</v>
      </c>
      <c r="Q539" t="n">
        <v>1</v>
      </c>
      <c r="R539" s="2" t="inlineStr">
        <is>
          <t>Revlummer</t>
        </is>
      </c>
      <c r="S539">
        <f>HYPERLINK("https://klasma.github.io/Logging_0483/artfynd/A 56074-2022 artfynd.xlsx", "A 56074-2022")</f>
        <v/>
      </c>
      <c r="T539">
        <f>HYPERLINK("https://klasma.github.io/Logging_0483/kartor/A 56074-2022 karta.png", "A 56074-2022")</f>
        <v/>
      </c>
      <c r="V539">
        <f>HYPERLINK("https://klasma.github.io/Logging_0483/klagomål/A 56074-2022 FSC-klagomål.docx", "A 56074-2022")</f>
        <v/>
      </c>
      <c r="W539">
        <f>HYPERLINK("https://klasma.github.io/Logging_0483/klagomålsmail/A 56074-2022 FSC-klagomål mail.docx", "A 56074-2022")</f>
        <v/>
      </c>
      <c r="X539">
        <f>HYPERLINK("https://klasma.github.io/Logging_0483/tillsyn/A 56074-2022 tillsynsbegäran.docx", "A 56074-2022")</f>
        <v/>
      </c>
      <c r="Y539">
        <f>HYPERLINK("https://klasma.github.io/Logging_0483/tillsynsmail/A 56074-2022 tillsynsbegäran mail.docx", "A 56074-2022")</f>
        <v/>
      </c>
    </row>
    <row r="540" ht="15" customHeight="1">
      <c r="A540" t="inlineStr">
        <is>
          <t>A 56791-2022</t>
        </is>
      </c>
      <c r="B540" s="1" t="n">
        <v>44894</v>
      </c>
      <c r="C540" s="1" t="n">
        <v>45843</v>
      </c>
      <c r="D540" t="inlineStr">
        <is>
          <t>SÖDERMANLANDS LÄN</t>
        </is>
      </c>
      <c r="E540" t="inlineStr">
        <is>
          <t>GNESTA</t>
        </is>
      </c>
      <c r="G540" t="n">
        <v>3</v>
      </c>
      <c r="H540" t="n">
        <v>0</v>
      </c>
      <c r="I540" t="n">
        <v>0</v>
      </c>
      <c r="J540" t="n">
        <v>1</v>
      </c>
      <c r="K540" t="n">
        <v>0</v>
      </c>
      <c r="L540" t="n">
        <v>0</v>
      </c>
      <c r="M540" t="n">
        <v>0</v>
      </c>
      <c r="N540" t="n">
        <v>0</v>
      </c>
      <c r="O540" t="n">
        <v>1</v>
      </c>
      <c r="P540" t="n">
        <v>0</v>
      </c>
      <c r="Q540" t="n">
        <v>1</v>
      </c>
      <c r="R540" s="2" t="inlineStr">
        <is>
          <t>Vedtrappmossa</t>
        </is>
      </c>
      <c r="S540">
        <f>HYPERLINK("https://klasma.github.io/Logging_0461/artfynd/A 56791-2022 artfynd.xlsx", "A 56791-2022")</f>
        <v/>
      </c>
      <c r="T540">
        <f>HYPERLINK("https://klasma.github.io/Logging_0461/kartor/A 56791-2022 karta.png", "A 56791-2022")</f>
        <v/>
      </c>
      <c r="V540">
        <f>HYPERLINK("https://klasma.github.io/Logging_0461/klagomål/A 56791-2022 FSC-klagomål.docx", "A 56791-2022")</f>
        <v/>
      </c>
      <c r="W540">
        <f>HYPERLINK("https://klasma.github.io/Logging_0461/klagomålsmail/A 56791-2022 FSC-klagomål mail.docx", "A 56791-2022")</f>
        <v/>
      </c>
      <c r="X540">
        <f>HYPERLINK("https://klasma.github.io/Logging_0461/tillsyn/A 56791-2022 tillsynsbegäran.docx", "A 56791-2022")</f>
        <v/>
      </c>
      <c r="Y540">
        <f>HYPERLINK("https://klasma.github.io/Logging_0461/tillsynsmail/A 56791-2022 tillsynsbegäran mail.docx", "A 56791-2022")</f>
        <v/>
      </c>
    </row>
    <row r="541" ht="15" customHeight="1">
      <c r="A541" t="inlineStr">
        <is>
          <t>A 59070-2022</t>
        </is>
      </c>
      <c r="B541" s="1" t="n">
        <v>44904</v>
      </c>
      <c r="C541" s="1" t="n">
        <v>45843</v>
      </c>
      <c r="D541" t="inlineStr">
        <is>
          <t>SÖDERMANLANDS LÄN</t>
        </is>
      </c>
      <c r="E541" t="inlineStr">
        <is>
          <t>ESKILSTUNA</t>
        </is>
      </c>
      <c r="G541" t="n">
        <v>6.6</v>
      </c>
      <c r="H541" t="n">
        <v>0</v>
      </c>
      <c r="I541" t="n">
        <v>0</v>
      </c>
      <c r="J541" t="n">
        <v>1</v>
      </c>
      <c r="K541" t="n">
        <v>0</v>
      </c>
      <c r="L541" t="n">
        <v>0</v>
      </c>
      <c r="M541" t="n">
        <v>0</v>
      </c>
      <c r="N541" t="n">
        <v>0</v>
      </c>
      <c r="O541" t="n">
        <v>1</v>
      </c>
      <c r="P541" t="n">
        <v>0</v>
      </c>
      <c r="Q541" t="n">
        <v>1</v>
      </c>
      <c r="R541" s="2" t="inlineStr">
        <is>
          <t>Igelkott</t>
        </is>
      </c>
      <c r="S541">
        <f>HYPERLINK("https://klasma.github.io/Logging_0484/artfynd/A 59070-2022 artfynd.xlsx", "A 59070-2022")</f>
        <v/>
      </c>
      <c r="T541">
        <f>HYPERLINK("https://klasma.github.io/Logging_0484/kartor/A 59070-2022 karta.png", "A 59070-2022")</f>
        <v/>
      </c>
      <c r="V541">
        <f>HYPERLINK("https://klasma.github.io/Logging_0484/klagomål/A 59070-2022 FSC-klagomål.docx", "A 59070-2022")</f>
        <v/>
      </c>
      <c r="W541">
        <f>HYPERLINK("https://klasma.github.io/Logging_0484/klagomålsmail/A 59070-2022 FSC-klagomål mail.docx", "A 59070-2022")</f>
        <v/>
      </c>
      <c r="X541">
        <f>HYPERLINK("https://klasma.github.io/Logging_0484/tillsyn/A 59070-2022 tillsynsbegäran.docx", "A 59070-2022")</f>
        <v/>
      </c>
      <c r="Y541">
        <f>HYPERLINK("https://klasma.github.io/Logging_0484/tillsynsmail/A 59070-2022 tillsynsbegäran mail.docx", "A 59070-2022")</f>
        <v/>
      </c>
    </row>
    <row r="542" ht="15" customHeight="1">
      <c r="A542" t="inlineStr">
        <is>
          <t>A 59607-2022</t>
        </is>
      </c>
      <c r="B542" s="1" t="n">
        <v>44907</v>
      </c>
      <c r="C542" s="1" t="n">
        <v>45843</v>
      </c>
      <c r="D542" t="inlineStr">
        <is>
          <t>SÖDERMANLANDS LÄN</t>
        </is>
      </c>
      <c r="E542" t="inlineStr">
        <is>
          <t>FLEN</t>
        </is>
      </c>
      <c r="G542" t="n">
        <v>1</v>
      </c>
      <c r="H542" t="n">
        <v>0</v>
      </c>
      <c r="I542" t="n">
        <v>0</v>
      </c>
      <c r="J542" t="n">
        <v>1</v>
      </c>
      <c r="K542" t="n">
        <v>0</v>
      </c>
      <c r="L542" t="n">
        <v>0</v>
      </c>
      <c r="M542" t="n">
        <v>0</v>
      </c>
      <c r="N542" t="n">
        <v>0</v>
      </c>
      <c r="O542" t="n">
        <v>1</v>
      </c>
      <c r="P542" t="n">
        <v>0</v>
      </c>
      <c r="Q542" t="n">
        <v>1</v>
      </c>
      <c r="R542" s="2" t="inlineStr">
        <is>
          <t>Svinrot</t>
        </is>
      </c>
      <c r="S542">
        <f>HYPERLINK("https://klasma.github.io/Logging_0482/artfynd/A 59607-2022 artfynd.xlsx", "A 59607-2022")</f>
        <v/>
      </c>
      <c r="T542">
        <f>HYPERLINK("https://klasma.github.io/Logging_0482/kartor/A 59607-2022 karta.png", "A 59607-2022")</f>
        <v/>
      </c>
      <c r="V542">
        <f>HYPERLINK("https://klasma.github.io/Logging_0482/klagomål/A 59607-2022 FSC-klagomål.docx", "A 59607-2022")</f>
        <v/>
      </c>
      <c r="W542">
        <f>HYPERLINK("https://klasma.github.io/Logging_0482/klagomålsmail/A 59607-2022 FSC-klagomål mail.docx", "A 59607-2022")</f>
        <v/>
      </c>
      <c r="X542">
        <f>HYPERLINK("https://klasma.github.io/Logging_0482/tillsyn/A 59607-2022 tillsynsbegäran.docx", "A 59607-2022")</f>
        <v/>
      </c>
      <c r="Y542">
        <f>HYPERLINK("https://klasma.github.io/Logging_0482/tillsynsmail/A 59607-2022 tillsynsbegäran mail.docx", "A 59607-2022")</f>
        <v/>
      </c>
    </row>
    <row r="543" ht="15" customHeight="1">
      <c r="A543" t="inlineStr">
        <is>
          <t>A 60591-2022</t>
        </is>
      </c>
      <c r="B543" s="1" t="n">
        <v>44911</v>
      </c>
      <c r="C543" s="1" t="n">
        <v>45843</v>
      </c>
      <c r="D543" t="inlineStr">
        <is>
          <t>SÖDERMANLANDS LÄN</t>
        </is>
      </c>
      <c r="E543" t="inlineStr">
        <is>
          <t>FLEN</t>
        </is>
      </c>
      <c r="F543" t="inlineStr">
        <is>
          <t>Holmen skog AB</t>
        </is>
      </c>
      <c r="G543" t="n">
        <v>1.3</v>
      </c>
      <c r="H543" t="n">
        <v>0</v>
      </c>
      <c r="I543" t="n">
        <v>1</v>
      </c>
      <c r="J543" t="n">
        <v>0</v>
      </c>
      <c r="K543" t="n">
        <v>0</v>
      </c>
      <c r="L543" t="n">
        <v>0</v>
      </c>
      <c r="M543" t="n">
        <v>0</v>
      </c>
      <c r="N543" t="n">
        <v>0</v>
      </c>
      <c r="O543" t="n">
        <v>0</v>
      </c>
      <c r="P543" t="n">
        <v>0</v>
      </c>
      <c r="Q543" t="n">
        <v>1</v>
      </c>
      <c r="R543" s="2" t="inlineStr">
        <is>
          <t>Grönpyrola</t>
        </is>
      </c>
      <c r="S543">
        <f>HYPERLINK("https://klasma.github.io/Logging_0482/artfynd/A 60591-2022 artfynd.xlsx", "A 60591-2022")</f>
        <v/>
      </c>
      <c r="T543">
        <f>HYPERLINK("https://klasma.github.io/Logging_0482/kartor/A 60591-2022 karta.png", "A 60591-2022")</f>
        <v/>
      </c>
      <c r="V543">
        <f>HYPERLINK("https://klasma.github.io/Logging_0482/klagomål/A 60591-2022 FSC-klagomål.docx", "A 60591-2022")</f>
        <v/>
      </c>
      <c r="W543">
        <f>HYPERLINK("https://klasma.github.io/Logging_0482/klagomålsmail/A 60591-2022 FSC-klagomål mail.docx", "A 60591-2022")</f>
        <v/>
      </c>
      <c r="X543">
        <f>HYPERLINK("https://klasma.github.io/Logging_0482/tillsyn/A 60591-2022 tillsynsbegäran.docx", "A 60591-2022")</f>
        <v/>
      </c>
      <c r="Y543">
        <f>HYPERLINK("https://klasma.github.io/Logging_0482/tillsynsmail/A 60591-2022 tillsynsbegäran mail.docx", "A 60591-2022")</f>
        <v/>
      </c>
    </row>
    <row r="544" ht="15" customHeight="1">
      <c r="A544" t="inlineStr">
        <is>
          <t>A 61870-2022</t>
        </is>
      </c>
      <c r="B544" s="1" t="n">
        <v>44917</v>
      </c>
      <c r="C544" s="1" t="n">
        <v>45843</v>
      </c>
      <c r="D544" t="inlineStr">
        <is>
          <t>SÖDERMANLANDS LÄN</t>
        </is>
      </c>
      <c r="E544" t="inlineStr">
        <is>
          <t>FLEN</t>
        </is>
      </c>
      <c r="G544" t="n">
        <v>1.5</v>
      </c>
      <c r="H544" t="n">
        <v>0</v>
      </c>
      <c r="I544" t="n">
        <v>0</v>
      </c>
      <c r="J544" t="n">
        <v>1</v>
      </c>
      <c r="K544" t="n">
        <v>0</v>
      </c>
      <c r="L544" t="n">
        <v>0</v>
      </c>
      <c r="M544" t="n">
        <v>0</v>
      </c>
      <c r="N544" t="n">
        <v>0</v>
      </c>
      <c r="O544" t="n">
        <v>1</v>
      </c>
      <c r="P544" t="n">
        <v>0</v>
      </c>
      <c r="Q544" t="n">
        <v>1</v>
      </c>
      <c r="R544" s="2" t="inlineStr">
        <is>
          <t>Svedjenäva</t>
        </is>
      </c>
      <c r="S544">
        <f>HYPERLINK("https://klasma.github.io/Logging_0482/artfynd/A 61870-2022 artfynd.xlsx", "A 61870-2022")</f>
        <v/>
      </c>
      <c r="T544">
        <f>HYPERLINK("https://klasma.github.io/Logging_0482/kartor/A 61870-2022 karta.png", "A 61870-2022")</f>
        <v/>
      </c>
      <c r="V544">
        <f>HYPERLINK("https://klasma.github.io/Logging_0482/klagomål/A 61870-2022 FSC-klagomål.docx", "A 61870-2022")</f>
        <v/>
      </c>
      <c r="W544">
        <f>HYPERLINK("https://klasma.github.io/Logging_0482/klagomålsmail/A 61870-2022 FSC-klagomål mail.docx", "A 61870-2022")</f>
        <v/>
      </c>
      <c r="X544">
        <f>HYPERLINK("https://klasma.github.io/Logging_0482/tillsyn/A 61870-2022 tillsynsbegäran.docx", "A 61870-2022")</f>
        <v/>
      </c>
      <c r="Y544">
        <f>HYPERLINK("https://klasma.github.io/Logging_0482/tillsynsmail/A 61870-2022 tillsynsbegäran mail.docx", "A 61870-2022")</f>
        <v/>
      </c>
    </row>
    <row r="545" ht="15" customHeight="1">
      <c r="A545" t="inlineStr">
        <is>
          <t>A 61987-2022</t>
        </is>
      </c>
      <c r="B545" s="1" t="n">
        <v>44918</v>
      </c>
      <c r="C545" s="1" t="n">
        <v>45843</v>
      </c>
      <c r="D545" t="inlineStr">
        <is>
          <t>SÖDERMANLANDS LÄN</t>
        </is>
      </c>
      <c r="E545" t="inlineStr">
        <is>
          <t>ESKILSTUNA</t>
        </is>
      </c>
      <c r="G545" t="n">
        <v>4.3</v>
      </c>
      <c r="H545" t="n">
        <v>0</v>
      </c>
      <c r="I545" t="n">
        <v>0</v>
      </c>
      <c r="J545" t="n">
        <v>1</v>
      </c>
      <c r="K545" t="n">
        <v>0</v>
      </c>
      <c r="L545" t="n">
        <v>0</v>
      </c>
      <c r="M545" t="n">
        <v>0</v>
      </c>
      <c r="N545" t="n">
        <v>0</v>
      </c>
      <c r="O545" t="n">
        <v>1</v>
      </c>
      <c r="P545" t="n">
        <v>0</v>
      </c>
      <c r="Q545" t="n">
        <v>1</v>
      </c>
      <c r="R545" s="2" t="inlineStr">
        <is>
          <t>Svinrot</t>
        </is>
      </c>
      <c r="S545">
        <f>HYPERLINK("https://klasma.github.io/Logging_0484/artfynd/A 61987-2022 artfynd.xlsx", "A 61987-2022")</f>
        <v/>
      </c>
      <c r="T545">
        <f>HYPERLINK("https://klasma.github.io/Logging_0484/kartor/A 61987-2022 karta.png", "A 61987-2022")</f>
        <v/>
      </c>
      <c r="V545">
        <f>HYPERLINK("https://klasma.github.io/Logging_0484/klagomål/A 61987-2022 FSC-klagomål.docx", "A 61987-2022")</f>
        <v/>
      </c>
      <c r="W545">
        <f>HYPERLINK("https://klasma.github.io/Logging_0484/klagomålsmail/A 61987-2022 FSC-klagomål mail.docx", "A 61987-2022")</f>
        <v/>
      </c>
      <c r="X545">
        <f>HYPERLINK("https://klasma.github.io/Logging_0484/tillsyn/A 61987-2022 tillsynsbegäran.docx", "A 61987-2022")</f>
        <v/>
      </c>
      <c r="Y545">
        <f>HYPERLINK("https://klasma.github.io/Logging_0484/tillsynsmail/A 61987-2022 tillsynsbegäran mail.docx", "A 61987-2022")</f>
        <v/>
      </c>
    </row>
    <row r="546" ht="15" customHeight="1">
      <c r="A546" t="inlineStr">
        <is>
          <t>A 61986-2022</t>
        </is>
      </c>
      <c r="B546" s="1" t="n">
        <v>44918</v>
      </c>
      <c r="C546" s="1" t="n">
        <v>45843</v>
      </c>
      <c r="D546" t="inlineStr">
        <is>
          <t>SÖDERMANLANDS LÄN</t>
        </is>
      </c>
      <c r="E546" t="inlineStr">
        <is>
          <t>GNESTA</t>
        </is>
      </c>
      <c r="F546" t="inlineStr">
        <is>
          <t>Kommuner</t>
        </is>
      </c>
      <c r="G546" t="n">
        <v>7.5</v>
      </c>
      <c r="H546" t="n">
        <v>1</v>
      </c>
      <c r="I546" t="n">
        <v>0</v>
      </c>
      <c r="J546" t="n">
        <v>0</v>
      </c>
      <c r="K546" t="n">
        <v>0</v>
      </c>
      <c r="L546" t="n">
        <v>0</v>
      </c>
      <c r="M546" t="n">
        <v>0</v>
      </c>
      <c r="N546" t="n">
        <v>0</v>
      </c>
      <c r="O546" t="n">
        <v>0</v>
      </c>
      <c r="P546" t="n">
        <v>0</v>
      </c>
      <c r="Q546" t="n">
        <v>1</v>
      </c>
      <c r="R546" s="2" t="inlineStr">
        <is>
          <t>Mattlummer</t>
        </is>
      </c>
      <c r="S546">
        <f>HYPERLINK("https://klasma.github.io/Logging_0461/artfynd/A 61986-2022 artfynd.xlsx", "A 61986-2022")</f>
        <v/>
      </c>
      <c r="T546">
        <f>HYPERLINK("https://klasma.github.io/Logging_0461/kartor/A 61986-2022 karta.png", "A 61986-2022")</f>
        <v/>
      </c>
      <c r="V546">
        <f>HYPERLINK("https://klasma.github.io/Logging_0461/klagomål/A 61986-2022 FSC-klagomål.docx", "A 61986-2022")</f>
        <v/>
      </c>
      <c r="W546">
        <f>HYPERLINK("https://klasma.github.io/Logging_0461/klagomålsmail/A 61986-2022 FSC-klagomål mail.docx", "A 61986-2022")</f>
        <v/>
      </c>
      <c r="X546">
        <f>HYPERLINK("https://klasma.github.io/Logging_0461/tillsyn/A 61986-2022 tillsynsbegäran.docx", "A 61986-2022")</f>
        <v/>
      </c>
      <c r="Y546">
        <f>HYPERLINK("https://klasma.github.io/Logging_0461/tillsynsmail/A 61986-2022 tillsynsbegäran mail.docx", "A 61986-2022")</f>
        <v/>
      </c>
    </row>
    <row r="547" ht="15" customHeight="1">
      <c r="A547" t="inlineStr">
        <is>
          <t>A 62007-2022</t>
        </is>
      </c>
      <c r="B547" s="1" t="n">
        <v>44918</v>
      </c>
      <c r="C547" s="1" t="n">
        <v>45843</v>
      </c>
      <c r="D547" t="inlineStr">
        <is>
          <t>SÖDERMANLANDS LÄN</t>
        </is>
      </c>
      <c r="E547" t="inlineStr">
        <is>
          <t>GNESTA</t>
        </is>
      </c>
      <c r="F547" t="inlineStr">
        <is>
          <t>Kommuner</t>
        </is>
      </c>
      <c r="G547" t="n">
        <v>0.6</v>
      </c>
      <c r="H547" t="n">
        <v>0</v>
      </c>
      <c r="I547" t="n">
        <v>0</v>
      </c>
      <c r="J547" t="n">
        <v>1</v>
      </c>
      <c r="K547" t="n">
        <v>0</v>
      </c>
      <c r="L547" t="n">
        <v>0</v>
      </c>
      <c r="M547" t="n">
        <v>0</v>
      </c>
      <c r="N547" t="n">
        <v>0</v>
      </c>
      <c r="O547" t="n">
        <v>1</v>
      </c>
      <c r="P547" t="n">
        <v>0</v>
      </c>
      <c r="Q547" t="n">
        <v>1</v>
      </c>
      <c r="R547" s="2" t="inlineStr">
        <is>
          <t>Orange taggsvamp</t>
        </is>
      </c>
      <c r="S547">
        <f>HYPERLINK("https://klasma.github.io/Logging_0461/artfynd/A 62007-2022 artfynd.xlsx", "A 62007-2022")</f>
        <v/>
      </c>
      <c r="T547">
        <f>HYPERLINK("https://klasma.github.io/Logging_0461/kartor/A 62007-2022 karta.png", "A 62007-2022")</f>
        <v/>
      </c>
      <c r="V547">
        <f>HYPERLINK("https://klasma.github.io/Logging_0461/klagomål/A 62007-2022 FSC-klagomål.docx", "A 62007-2022")</f>
        <v/>
      </c>
      <c r="W547">
        <f>HYPERLINK("https://klasma.github.io/Logging_0461/klagomålsmail/A 62007-2022 FSC-klagomål mail.docx", "A 62007-2022")</f>
        <v/>
      </c>
      <c r="X547">
        <f>HYPERLINK("https://klasma.github.io/Logging_0461/tillsyn/A 62007-2022 tillsynsbegäran.docx", "A 62007-2022")</f>
        <v/>
      </c>
      <c r="Y547">
        <f>HYPERLINK("https://klasma.github.io/Logging_0461/tillsynsmail/A 62007-2022 tillsynsbegäran mail.docx", "A 62007-2022")</f>
        <v/>
      </c>
    </row>
    <row r="548" ht="15" customHeight="1">
      <c r="A548" t="inlineStr">
        <is>
          <t>A 692-2023</t>
        </is>
      </c>
      <c r="B548" s="1" t="n">
        <v>44930</v>
      </c>
      <c r="C548" s="1" t="n">
        <v>45843</v>
      </c>
      <c r="D548" t="inlineStr">
        <is>
          <t>SÖDERMANLANDS LÄN</t>
        </is>
      </c>
      <c r="E548" t="inlineStr">
        <is>
          <t>STRÄNGNÄS</t>
        </is>
      </c>
      <c r="F548" t="inlineStr">
        <is>
          <t>Övriga Aktiebolag</t>
        </is>
      </c>
      <c r="G548" t="n">
        <v>19.8</v>
      </c>
      <c r="H548" t="n">
        <v>0</v>
      </c>
      <c r="I548" t="n">
        <v>1</v>
      </c>
      <c r="J548" t="n">
        <v>0</v>
      </c>
      <c r="K548" t="n">
        <v>0</v>
      </c>
      <c r="L548" t="n">
        <v>0</v>
      </c>
      <c r="M548" t="n">
        <v>0</v>
      </c>
      <c r="N548" t="n">
        <v>0</v>
      </c>
      <c r="O548" t="n">
        <v>0</v>
      </c>
      <c r="P548" t="n">
        <v>0</v>
      </c>
      <c r="Q548" t="n">
        <v>1</v>
      </c>
      <c r="R548" s="2" t="inlineStr">
        <is>
          <t>Åttafläckig praktbagge</t>
        </is>
      </c>
      <c r="S548">
        <f>HYPERLINK("https://klasma.github.io/Logging_0486/artfynd/A 692-2023 artfynd.xlsx", "A 692-2023")</f>
        <v/>
      </c>
      <c r="T548">
        <f>HYPERLINK("https://klasma.github.io/Logging_0486/kartor/A 692-2023 karta.png", "A 692-2023")</f>
        <v/>
      </c>
      <c r="V548">
        <f>HYPERLINK("https://klasma.github.io/Logging_0486/klagomål/A 692-2023 FSC-klagomål.docx", "A 692-2023")</f>
        <v/>
      </c>
      <c r="W548">
        <f>HYPERLINK("https://klasma.github.io/Logging_0486/klagomålsmail/A 692-2023 FSC-klagomål mail.docx", "A 692-2023")</f>
        <v/>
      </c>
      <c r="X548">
        <f>HYPERLINK("https://klasma.github.io/Logging_0486/tillsyn/A 692-2023 tillsynsbegäran.docx", "A 692-2023")</f>
        <v/>
      </c>
      <c r="Y548">
        <f>HYPERLINK("https://klasma.github.io/Logging_0486/tillsynsmail/A 692-2023 tillsynsbegäran mail.docx", "A 692-2023")</f>
        <v/>
      </c>
    </row>
    <row r="549" ht="15" customHeight="1">
      <c r="A549" t="inlineStr">
        <is>
          <t>A 882-2023</t>
        </is>
      </c>
      <c r="B549" s="1" t="n">
        <v>44931</v>
      </c>
      <c r="C549" s="1" t="n">
        <v>45843</v>
      </c>
      <c r="D549" t="inlineStr">
        <is>
          <t>SÖDERMANLANDS LÄN</t>
        </is>
      </c>
      <c r="E549" t="inlineStr">
        <is>
          <t>FLEN</t>
        </is>
      </c>
      <c r="F549" t="inlineStr">
        <is>
          <t>Holmen skog AB</t>
        </is>
      </c>
      <c r="G549" t="n">
        <v>0.9</v>
      </c>
      <c r="H549" t="n">
        <v>0</v>
      </c>
      <c r="I549" t="n">
        <v>1</v>
      </c>
      <c r="J549" t="n">
        <v>0</v>
      </c>
      <c r="K549" t="n">
        <v>0</v>
      </c>
      <c r="L549" t="n">
        <v>0</v>
      </c>
      <c r="M549" t="n">
        <v>0</v>
      </c>
      <c r="N549" t="n">
        <v>0</v>
      </c>
      <c r="O549" t="n">
        <v>0</v>
      </c>
      <c r="P549" t="n">
        <v>0</v>
      </c>
      <c r="Q549" t="n">
        <v>1</v>
      </c>
      <c r="R549" s="2" t="inlineStr">
        <is>
          <t>Aspvedgnagare</t>
        </is>
      </c>
      <c r="S549">
        <f>HYPERLINK("https://klasma.github.io/Logging_0482/artfynd/A 882-2023 artfynd.xlsx", "A 882-2023")</f>
        <v/>
      </c>
      <c r="T549">
        <f>HYPERLINK("https://klasma.github.io/Logging_0482/kartor/A 882-2023 karta.png", "A 882-2023")</f>
        <v/>
      </c>
      <c r="V549">
        <f>HYPERLINK("https://klasma.github.io/Logging_0482/klagomål/A 882-2023 FSC-klagomål.docx", "A 882-2023")</f>
        <v/>
      </c>
      <c r="W549">
        <f>HYPERLINK("https://klasma.github.io/Logging_0482/klagomålsmail/A 882-2023 FSC-klagomål mail.docx", "A 882-2023")</f>
        <v/>
      </c>
      <c r="X549">
        <f>HYPERLINK("https://klasma.github.io/Logging_0482/tillsyn/A 882-2023 tillsynsbegäran.docx", "A 882-2023")</f>
        <v/>
      </c>
      <c r="Y549">
        <f>HYPERLINK("https://klasma.github.io/Logging_0482/tillsynsmail/A 882-2023 tillsynsbegäran mail.docx", "A 882-2023")</f>
        <v/>
      </c>
    </row>
    <row r="550" ht="15" customHeight="1">
      <c r="A550" t="inlineStr">
        <is>
          <t>A 2303-2023</t>
        </is>
      </c>
      <c r="B550" s="1" t="n">
        <v>44942</v>
      </c>
      <c r="C550" s="1" t="n">
        <v>45843</v>
      </c>
      <c r="D550" t="inlineStr">
        <is>
          <t>SÖDERMANLANDS LÄN</t>
        </is>
      </c>
      <c r="E550" t="inlineStr">
        <is>
          <t>STRÄNGNÄS</t>
        </is>
      </c>
      <c r="F550" t="inlineStr">
        <is>
          <t>Övriga Aktiebolag</t>
        </is>
      </c>
      <c r="G550" t="n">
        <v>7.1</v>
      </c>
      <c r="H550" t="n">
        <v>1</v>
      </c>
      <c r="I550" t="n">
        <v>0</v>
      </c>
      <c r="J550" t="n">
        <v>0</v>
      </c>
      <c r="K550" t="n">
        <v>0</v>
      </c>
      <c r="L550" t="n">
        <v>0</v>
      </c>
      <c r="M550" t="n">
        <v>0</v>
      </c>
      <c r="N550" t="n">
        <v>0</v>
      </c>
      <c r="O550" t="n">
        <v>0</v>
      </c>
      <c r="P550" t="n">
        <v>0</v>
      </c>
      <c r="Q550" t="n">
        <v>1</v>
      </c>
      <c r="R550" s="2" t="inlineStr">
        <is>
          <t>Grönvit nattviol</t>
        </is>
      </c>
      <c r="S550">
        <f>HYPERLINK("https://klasma.github.io/Logging_0486/artfynd/A 2303-2023 artfynd.xlsx", "A 2303-2023")</f>
        <v/>
      </c>
      <c r="T550">
        <f>HYPERLINK("https://klasma.github.io/Logging_0486/kartor/A 2303-2023 karta.png", "A 2303-2023")</f>
        <v/>
      </c>
      <c r="V550">
        <f>HYPERLINK("https://klasma.github.io/Logging_0486/klagomål/A 2303-2023 FSC-klagomål.docx", "A 2303-2023")</f>
        <v/>
      </c>
      <c r="W550">
        <f>HYPERLINK("https://klasma.github.io/Logging_0486/klagomålsmail/A 2303-2023 FSC-klagomål mail.docx", "A 2303-2023")</f>
        <v/>
      </c>
      <c r="X550">
        <f>HYPERLINK("https://klasma.github.io/Logging_0486/tillsyn/A 2303-2023 tillsynsbegäran.docx", "A 2303-2023")</f>
        <v/>
      </c>
      <c r="Y550">
        <f>HYPERLINK("https://klasma.github.io/Logging_0486/tillsynsmail/A 2303-2023 tillsynsbegäran mail.docx", "A 2303-2023")</f>
        <v/>
      </c>
    </row>
    <row r="551" ht="15" customHeight="1">
      <c r="A551" t="inlineStr">
        <is>
          <t>A 2842-2023</t>
        </is>
      </c>
      <c r="B551" s="1" t="n">
        <v>44945</v>
      </c>
      <c r="C551" s="1" t="n">
        <v>45843</v>
      </c>
      <c r="D551" t="inlineStr">
        <is>
          <t>SÖDERMANLANDS LÄN</t>
        </is>
      </c>
      <c r="E551" t="inlineStr">
        <is>
          <t>NYKÖPING</t>
        </is>
      </c>
      <c r="G551" t="n">
        <v>6.7</v>
      </c>
      <c r="H551" t="n">
        <v>0</v>
      </c>
      <c r="I551" t="n">
        <v>1</v>
      </c>
      <c r="J551" t="n">
        <v>0</v>
      </c>
      <c r="K551" t="n">
        <v>0</v>
      </c>
      <c r="L551" t="n">
        <v>0</v>
      </c>
      <c r="M551" t="n">
        <v>0</v>
      </c>
      <c r="N551" t="n">
        <v>0</v>
      </c>
      <c r="O551" t="n">
        <v>0</v>
      </c>
      <c r="P551" t="n">
        <v>0</v>
      </c>
      <c r="Q551" t="n">
        <v>1</v>
      </c>
      <c r="R551" s="2" t="inlineStr">
        <is>
          <t>Svavelriska</t>
        </is>
      </c>
      <c r="S551">
        <f>HYPERLINK("https://klasma.github.io/Logging_0480/artfynd/A 2842-2023 artfynd.xlsx", "A 2842-2023")</f>
        <v/>
      </c>
      <c r="T551">
        <f>HYPERLINK("https://klasma.github.io/Logging_0480/kartor/A 2842-2023 karta.png", "A 2842-2023")</f>
        <v/>
      </c>
      <c r="V551">
        <f>HYPERLINK("https://klasma.github.io/Logging_0480/klagomål/A 2842-2023 FSC-klagomål.docx", "A 2842-2023")</f>
        <v/>
      </c>
      <c r="W551">
        <f>HYPERLINK("https://klasma.github.io/Logging_0480/klagomålsmail/A 2842-2023 FSC-klagomål mail.docx", "A 2842-2023")</f>
        <v/>
      </c>
      <c r="X551">
        <f>HYPERLINK("https://klasma.github.io/Logging_0480/tillsyn/A 2842-2023 tillsynsbegäran.docx", "A 2842-2023")</f>
        <v/>
      </c>
      <c r="Y551">
        <f>HYPERLINK("https://klasma.github.io/Logging_0480/tillsynsmail/A 2842-2023 tillsynsbegäran mail.docx", "A 2842-2023")</f>
        <v/>
      </c>
    </row>
    <row r="552" ht="15" customHeight="1">
      <c r="A552" t="inlineStr">
        <is>
          <t>A 4699-2023</t>
        </is>
      </c>
      <c r="B552" s="1" t="n">
        <v>44957</v>
      </c>
      <c r="C552" s="1" t="n">
        <v>45843</v>
      </c>
      <c r="D552" t="inlineStr">
        <is>
          <t>SÖDERMANLANDS LÄN</t>
        </is>
      </c>
      <c r="E552" t="inlineStr">
        <is>
          <t>FLEN</t>
        </is>
      </c>
      <c r="G552" t="n">
        <v>1.4</v>
      </c>
      <c r="H552" t="n">
        <v>1</v>
      </c>
      <c r="I552" t="n">
        <v>0</v>
      </c>
      <c r="J552" t="n">
        <v>0</v>
      </c>
      <c r="K552" t="n">
        <v>0</v>
      </c>
      <c r="L552" t="n">
        <v>0</v>
      </c>
      <c r="M552" t="n">
        <v>0</v>
      </c>
      <c r="N552" t="n">
        <v>0</v>
      </c>
      <c r="O552" t="n">
        <v>0</v>
      </c>
      <c r="P552" t="n">
        <v>0</v>
      </c>
      <c r="Q552" t="n">
        <v>1</v>
      </c>
      <c r="R552" s="2" t="inlineStr">
        <is>
          <t>Gullviva</t>
        </is>
      </c>
      <c r="S552">
        <f>HYPERLINK("https://klasma.github.io/Logging_0482/artfynd/A 4699-2023 artfynd.xlsx", "A 4699-2023")</f>
        <v/>
      </c>
      <c r="T552">
        <f>HYPERLINK("https://klasma.github.io/Logging_0482/kartor/A 4699-2023 karta.png", "A 4699-2023")</f>
        <v/>
      </c>
      <c r="V552">
        <f>HYPERLINK("https://klasma.github.io/Logging_0482/klagomål/A 4699-2023 FSC-klagomål.docx", "A 4699-2023")</f>
        <v/>
      </c>
      <c r="W552">
        <f>HYPERLINK("https://klasma.github.io/Logging_0482/klagomålsmail/A 4699-2023 FSC-klagomål mail.docx", "A 4699-2023")</f>
        <v/>
      </c>
      <c r="X552">
        <f>HYPERLINK("https://klasma.github.io/Logging_0482/tillsyn/A 4699-2023 tillsynsbegäran.docx", "A 4699-2023")</f>
        <v/>
      </c>
      <c r="Y552">
        <f>HYPERLINK("https://klasma.github.io/Logging_0482/tillsynsmail/A 4699-2023 tillsynsbegäran mail.docx", "A 4699-2023")</f>
        <v/>
      </c>
    </row>
    <row r="553" ht="15" customHeight="1">
      <c r="A553" t="inlineStr">
        <is>
          <t>A 6000-2023</t>
        </is>
      </c>
      <c r="B553" s="1" t="n">
        <v>44959</v>
      </c>
      <c r="C553" s="1" t="n">
        <v>45843</v>
      </c>
      <c r="D553" t="inlineStr">
        <is>
          <t>SÖDERMANLANDS LÄN</t>
        </is>
      </c>
      <c r="E553" t="inlineStr">
        <is>
          <t>ESKILSTUNA</t>
        </is>
      </c>
      <c r="G553" t="n">
        <v>11.7</v>
      </c>
      <c r="H553" t="n">
        <v>0</v>
      </c>
      <c r="I553" t="n">
        <v>0</v>
      </c>
      <c r="J553" t="n">
        <v>0</v>
      </c>
      <c r="K553" t="n">
        <v>1</v>
      </c>
      <c r="L553" t="n">
        <v>0</v>
      </c>
      <c r="M553" t="n">
        <v>0</v>
      </c>
      <c r="N553" t="n">
        <v>0</v>
      </c>
      <c r="O553" t="n">
        <v>1</v>
      </c>
      <c r="P553" t="n">
        <v>1</v>
      </c>
      <c r="Q553" t="n">
        <v>1</v>
      </c>
      <c r="R553" s="2" t="inlineStr">
        <is>
          <t>Lungrot</t>
        </is>
      </c>
      <c r="S553">
        <f>HYPERLINK("https://klasma.github.io/Logging_0484/artfynd/A 6000-2023 artfynd.xlsx", "A 6000-2023")</f>
        <v/>
      </c>
      <c r="T553">
        <f>HYPERLINK("https://klasma.github.io/Logging_0484/kartor/A 6000-2023 karta.png", "A 6000-2023")</f>
        <v/>
      </c>
      <c r="V553">
        <f>HYPERLINK("https://klasma.github.io/Logging_0484/klagomål/A 6000-2023 FSC-klagomål.docx", "A 6000-2023")</f>
        <v/>
      </c>
      <c r="W553">
        <f>HYPERLINK("https://klasma.github.io/Logging_0484/klagomålsmail/A 6000-2023 FSC-klagomål mail.docx", "A 6000-2023")</f>
        <v/>
      </c>
      <c r="X553">
        <f>HYPERLINK("https://klasma.github.io/Logging_0484/tillsyn/A 6000-2023 tillsynsbegäran.docx", "A 6000-2023")</f>
        <v/>
      </c>
      <c r="Y553">
        <f>HYPERLINK("https://klasma.github.io/Logging_0484/tillsynsmail/A 6000-2023 tillsynsbegäran mail.docx", "A 6000-2023")</f>
        <v/>
      </c>
    </row>
    <row r="554" ht="15" customHeight="1">
      <c r="A554" t="inlineStr">
        <is>
          <t>A 6570-2023</t>
        </is>
      </c>
      <c r="B554" s="1" t="n">
        <v>44963</v>
      </c>
      <c r="C554" s="1" t="n">
        <v>45843</v>
      </c>
      <c r="D554" t="inlineStr">
        <is>
          <t>SÖDERMANLANDS LÄN</t>
        </is>
      </c>
      <c r="E554" t="inlineStr">
        <is>
          <t>STRÄNGNÄS</t>
        </is>
      </c>
      <c r="G554" t="n">
        <v>1</v>
      </c>
      <c r="H554" t="n">
        <v>1</v>
      </c>
      <c r="I554" t="n">
        <v>0</v>
      </c>
      <c r="J554" t="n">
        <v>1</v>
      </c>
      <c r="K554" t="n">
        <v>0</v>
      </c>
      <c r="L554" t="n">
        <v>0</v>
      </c>
      <c r="M554" t="n">
        <v>0</v>
      </c>
      <c r="N554" t="n">
        <v>0</v>
      </c>
      <c r="O554" t="n">
        <v>1</v>
      </c>
      <c r="P554" t="n">
        <v>0</v>
      </c>
      <c r="Q554" t="n">
        <v>1</v>
      </c>
      <c r="R554" s="2" t="inlineStr">
        <is>
          <t>Nordfladdermus</t>
        </is>
      </c>
      <c r="S554">
        <f>HYPERLINK("https://klasma.github.io/Logging_0486/artfynd/A 6570-2023 artfynd.xlsx", "A 6570-2023")</f>
        <v/>
      </c>
      <c r="T554">
        <f>HYPERLINK("https://klasma.github.io/Logging_0486/kartor/A 6570-2023 karta.png", "A 6570-2023")</f>
        <v/>
      </c>
      <c r="U554">
        <f>HYPERLINK("https://klasma.github.io/Logging_0486/knärot/A 6570-2023 karta knärot.png", "A 6570-2023")</f>
        <v/>
      </c>
      <c r="V554">
        <f>HYPERLINK("https://klasma.github.io/Logging_0486/klagomål/A 6570-2023 FSC-klagomål.docx", "A 6570-2023")</f>
        <v/>
      </c>
      <c r="W554">
        <f>HYPERLINK("https://klasma.github.io/Logging_0486/klagomålsmail/A 6570-2023 FSC-klagomål mail.docx", "A 6570-2023")</f>
        <v/>
      </c>
      <c r="X554">
        <f>HYPERLINK("https://klasma.github.io/Logging_0486/tillsyn/A 6570-2023 tillsynsbegäran.docx", "A 6570-2023")</f>
        <v/>
      </c>
      <c r="Y554">
        <f>HYPERLINK("https://klasma.github.io/Logging_0486/tillsynsmail/A 6570-2023 tillsynsbegäran mail.docx", "A 6570-2023")</f>
        <v/>
      </c>
    </row>
    <row r="555" ht="15" customHeight="1">
      <c r="A555" t="inlineStr">
        <is>
          <t>A 6395-2023</t>
        </is>
      </c>
      <c r="B555" s="1" t="n">
        <v>44965</v>
      </c>
      <c r="C555" s="1" t="n">
        <v>45843</v>
      </c>
      <c r="D555" t="inlineStr">
        <is>
          <t>SÖDERMANLANDS LÄN</t>
        </is>
      </c>
      <c r="E555" t="inlineStr">
        <is>
          <t>GNESTA</t>
        </is>
      </c>
      <c r="G555" t="n">
        <v>5.1</v>
      </c>
      <c r="H555" t="n">
        <v>0</v>
      </c>
      <c r="I555" t="n">
        <v>0</v>
      </c>
      <c r="J555" t="n">
        <v>1</v>
      </c>
      <c r="K555" t="n">
        <v>0</v>
      </c>
      <c r="L555" t="n">
        <v>0</v>
      </c>
      <c r="M555" t="n">
        <v>0</v>
      </c>
      <c r="N555" t="n">
        <v>0</v>
      </c>
      <c r="O555" t="n">
        <v>1</v>
      </c>
      <c r="P555" t="n">
        <v>0</v>
      </c>
      <c r="Q555" t="n">
        <v>1</v>
      </c>
      <c r="R555" s="2" t="inlineStr">
        <is>
          <t>Svinrot</t>
        </is>
      </c>
      <c r="S555">
        <f>HYPERLINK("https://klasma.github.io/Logging_0461/artfynd/A 6395-2023 artfynd.xlsx", "A 6395-2023")</f>
        <v/>
      </c>
      <c r="T555">
        <f>HYPERLINK("https://klasma.github.io/Logging_0461/kartor/A 6395-2023 karta.png", "A 6395-2023")</f>
        <v/>
      </c>
      <c r="V555">
        <f>HYPERLINK("https://klasma.github.io/Logging_0461/klagomål/A 6395-2023 FSC-klagomål.docx", "A 6395-2023")</f>
        <v/>
      </c>
      <c r="W555">
        <f>HYPERLINK("https://klasma.github.io/Logging_0461/klagomålsmail/A 6395-2023 FSC-klagomål mail.docx", "A 6395-2023")</f>
        <v/>
      </c>
      <c r="X555">
        <f>HYPERLINK("https://klasma.github.io/Logging_0461/tillsyn/A 6395-2023 tillsynsbegäran.docx", "A 6395-2023")</f>
        <v/>
      </c>
      <c r="Y555">
        <f>HYPERLINK("https://klasma.github.io/Logging_0461/tillsynsmail/A 6395-2023 tillsynsbegäran mail.docx", "A 6395-2023")</f>
        <v/>
      </c>
    </row>
    <row r="556" ht="15" customHeight="1">
      <c r="A556" t="inlineStr">
        <is>
          <t>A 7506-2023</t>
        </is>
      </c>
      <c r="B556" s="1" t="n">
        <v>44971</v>
      </c>
      <c r="C556" s="1" t="n">
        <v>45843</v>
      </c>
      <c r="D556" t="inlineStr">
        <is>
          <t>SÖDERMANLANDS LÄN</t>
        </is>
      </c>
      <c r="E556" t="inlineStr">
        <is>
          <t>FLEN</t>
        </is>
      </c>
      <c r="G556" t="n">
        <v>3.3</v>
      </c>
      <c r="H556" t="n">
        <v>0</v>
      </c>
      <c r="I556" t="n">
        <v>0</v>
      </c>
      <c r="J556" t="n">
        <v>1</v>
      </c>
      <c r="K556" t="n">
        <v>0</v>
      </c>
      <c r="L556" t="n">
        <v>0</v>
      </c>
      <c r="M556" t="n">
        <v>0</v>
      </c>
      <c r="N556" t="n">
        <v>0</v>
      </c>
      <c r="O556" t="n">
        <v>1</v>
      </c>
      <c r="P556" t="n">
        <v>0</v>
      </c>
      <c r="Q556" t="n">
        <v>1</v>
      </c>
      <c r="R556" s="2" t="inlineStr">
        <is>
          <t>Svinrot</t>
        </is>
      </c>
      <c r="S556">
        <f>HYPERLINK("https://klasma.github.io/Logging_0482/artfynd/A 7506-2023 artfynd.xlsx", "A 7506-2023")</f>
        <v/>
      </c>
      <c r="T556">
        <f>HYPERLINK("https://klasma.github.io/Logging_0482/kartor/A 7506-2023 karta.png", "A 7506-2023")</f>
        <v/>
      </c>
      <c r="V556">
        <f>HYPERLINK("https://klasma.github.io/Logging_0482/klagomål/A 7506-2023 FSC-klagomål.docx", "A 7506-2023")</f>
        <v/>
      </c>
      <c r="W556">
        <f>HYPERLINK("https://klasma.github.io/Logging_0482/klagomålsmail/A 7506-2023 FSC-klagomål mail.docx", "A 7506-2023")</f>
        <v/>
      </c>
      <c r="X556">
        <f>HYPERLINK("https://klasma.github.io/Logging_0482/tillsyn/A 7506-2023 tillsynsbegäran.docx", "A 7506-2023")</f>
        <v/>
      </c>
      <c r="Y556">
        <f>HYPERLINK("https://klasma.github.io/Logging_0482/tillsynsmail/A 7506-2023 tillsynsbegäran mail.docx", "A 7506-2023")</f>
        <v/>
      </c>
    </row>
    <row r="557" ht="15" customHeight="1">
      <c r="A557" t="inlineStr">
        <is>
          <t>A 7681-2023</t>
        </is>
      </c>
      <c r="B557" s="1" t="n">
        <v>44972</v>
      </c>
      <c r="C557" s="1" t="n">
        <v>45843</v>
      </c>
      <c r="D557" t="inlineStr">
        <is>
          <t>SÖDERMANLANDS LÄN</t>
        </is>
      </c>
      <c r="E557" t="inlineStr">
        <is>
          <t>GNESTA</t>
        </is>
      </c>
      <c r="G557" t="n">
        <v>2.3</v>
      </c>
      <c r="H557" t="n">
        <v>0</v>
      </c>
      <c r="I557" t="n">
        <v>0</v>
      </c>
      <c r="J557" t="n">
        <v>1</v>
      </c>
      <c r="K557" t="n">
        <v>0</v>
      </c>
      <c r="L557" t="n">
        <v>0</v>
      </c>
      <c r="M557" t="n">
        <v>0</v>
      </c>
      <c r="N557" t="n">
        <v>0</v>
      </c>
      <c r="O557" t="n">
        <v>1</v>
      </c>
      <c r="P557" t="n">
        <v>0</v>
      </c>
      <c r="Q557" t="n">
        <v>1</v>
      </c>
      <c r="R557" s="2" t="inlineStr">
        <is>
          <t>Gullklöver</t>
        </is>
      </c>
      <c r="S557">
        <f>HYPERLINK("https://klasma.github.io/Logging_0461/artfynd/A 7681-2023 artfynd.xlsx", "A 7681-2023")</f>
        <v/>
      </c>
      <c r="T557">
        <f>HYPERLINK("https://klasma.github.io/Logging_0461/kartor/A 7681-2023 karta.png", "A 7681-2023")</f>
        <v/>
      </c>
      <c r="V557">
        <f>HYPERLINK("https://klasma.github.io/Logging_0461/klagomål/A 7681-2023 FSC-klagomål.docx", "A 7681-2023")</f>
        <v/>
      </c>
      <c r="W557">
        <f>HYPERLINK("https://klasma.github.io/Logging_0461/klagomålsmail/A 7681-2023 FSC-klagomål mail.docx", "A 7681-2023")</f>
        <v/>
      </c>
      <c r="X557">
        <f>HYPERLINK("https://klasma.github.io/Logging_0461/tillsyn/A 7681-2023 tillsynsbegäran.docx", "A 7681-2023")</f>
        <v/>
      </c>
      <c r="Y557">
        <f>HYPERLINK("https://klasma.github.io/Logging_0461/tillsynsmail/A 7681-2023 tillsynsbegäran mail.docx", "A 7681-2023")</f>
        <v/>
      </c>
    </row>
    <row r="558" ht="15" customHeight="1">
      <c r="A558" t="inlineStr">
        <is>
          <t>A 7661-2023</t>
        </is>
      </c>
      <c r="B558" s="1" t="n">
        <v>44972</v>
      </c>
      <c r="C558" s="1" t="n">
        <v>45843</v>
      </c>
      <c r="D558" t="inlineStr">
        <is>
          <t>SÖDERMANLANDS LÄN</t>
        </is>
      </c>
      <c r="E558" t="inlineStr">
        <is>
          <t>GNESTA</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HYPERLINK("https://klasma.github.io/Logging_0461/artfynd/A 7661-2023 artfynd.xlsx", "A 7661-2023")</f>
        <v/>
      </c>
      <c r="T558">
        <f>HYPERLINK("https://klasma.github.io/Logging_0461/kartor/A 7661-2023 karta.png", "A 7661-2023")</f>
        <v/>
      </c>
      <c r="V558">
        <f>HYPERLINK("https://klasma.github.io/Logging_0461/klagomål/A 7661-2023 FSC-klagomål.docx", "A 7661-2023")</f>
        <v/>
      </c>
      <c r="W558">
        <f>HYPERLINK("https://klasma.github.io/Logging_0461/klagomålsmail/A 7661-2023 FSC-klagomål mail.docx", "A 7661-2023")</f>
        <v/>
      </c>
      <c r="X558">
        <f>HYPERLINK("https://klasma.github.io/Logging_0461/tillsyn/A 7661-2023 tillsynsbegäran.docx", "A 7661-2023")</f>
        <v/>
      </c>
      <c r="Y558">
        <f>HYPERLINK("https://klasma.github.io/Logging_0461/tillsynsmail/A 7661-2023 tillsynsbegäran mail.docx", "A 7661-2023")</f>
        <v/>
      </c>
    </row>
    <row r="559" ht="15" customHeight="1">
      <c r="A559" t="inlineStr">
        <is>
          <t>A 7741-2023</t>
        </is>
      </c>
      <c r="B559" s="1" t="n">
        <v>44973</v>
      </c>
      <c r="C559" s="1" t="n">
        <v>45843</v>
      </c>
      <c r="D559" t="inlineStr">
        <is>
          <t>SÖDERMANLANDS LÄN</t>
        </is>
      </c>
      <c r="E559" t="inlineStr">
        <is>
          <t>GNESTA</t>
        </is>
      </c>
      <c r="G559" t="n">
        <v>3.4</v>
      </c>
      <c r="H559" t="n">
        <v>1</v>
      </c>
      <c r="I559" t="n">
        <v>0</v>
      </c>
      <c r="J559" t="n">
        <v>0</v>
      </c>
      <c r="K559" t="n">
        <v>0</v>
      </c>
      <c r="L559" t="n">
        <v>0</v>
      </c>
      <c r="M559" t="n">
        <v>0</v>
      </c>
      <c r="N559" t="n">
        <v>0</v>
      </c>
      <c r="O559" t="n">
        <v>0</v>
      </c>
      <c r="P559" t="n">
        <v>0</v>
      </c>
      <c r="Q559" t="n">
        <v>1</v>
      </c>
      <c r="R559" s="2" t="inlineStr">
        <is>
          <t>Blåsippa</t>
        </is>
      </c>
      <c r="S559">
        <f>HYPERLINK("https://klasma.github.io/Logging_0461/artfynd/A 7741-2023 artfynd.xlsx", "A 7741-2023")</f>
        <v/>
      </c>
      <c r="T559">
        <f>HYPERLINK("https://klasma.github.io/Logging_0461/kartor/A 7741-2023 karta.png", "A 7741-2023")</f>
        <v/>
      </c>
      <c r="V559">
        <f>HYPERLINK("https://klasma.github.io/Logging_0461/klagomål/A 7741-2023 FSC-klagomål.docx", "A 7741-2023")</f>
        <v/>
      </c>
      <c r="W559">
        <f>HYPERLINK("https://klasma.github.io/Logging_0461/klagomålsmail/A 7741-2023 FSC-klagomål mail.docx", "A 7741-2023")</f>
        <v/>
      </c>
      <c r="X559">
        <f>HYPERLINK("https://klasma.github.io/Logging_0461/tillsyn/A 7741-2023 tillsynsbegäran.docx", "A 7741-2023")</f>
        <v/>
      </c>
      <c r="Y559">
        <f>HYPERLINK("https://klasma.github.io/Logging_0461/tillsynsmail/A 7741-2023 tillsynsbegäran mail.docx", "A 7741-2023")</f>
        <v/>
      </c>
    </row>
    <row r="560" ht="15" customHeight="1">
      <c r="A560" t="inlineStr">
        <is>
          <t>A 8019-2023</t>
        </is>
      </c>
      <c r="B560" s="1" t="n">
        <v>44973</v>
      </c>
      <c r="C560" s="1" t="n">
        <v>45843</v>
      </c>
      <c r="D560" t="inlineStr">
        <is>
          <t>SÖDERMANLANDS LÄN</t>
        </is>
      </c>
      <c r="E560" t="inlineStr">
        <is>
          <t>GNESTA</t>
        </is>
      </c>
      <c r="G560" t="n">
        <v>3.9</v>
      </c>
      <c r="H560" t="n">
        <v>0</v>
      </c>
      <c r="I560" t="n">
        <v>0</v>
      </c>
      <c r="J560" t="n">
        <v>1</v>
      </c>
      <c r="K560" t="n">
        <v>0</v>
      </c>
      <c r="L560" t="n">
        <v>0</v>
      </c>
      <c r="M560" t="n">
        <v>0</v>
      </c>
      <c r="N560" t="n">
        <v>0</v>
      </c>
      <c r="O560" t="n">
        <v>1</v>
      </c>
      <c r="P560" t="n">
        <v>0</v>
      </c>
      <c r="Q560" t="n">
        <v>1</v>
      </c>
      <c r="R560" s="2" t="inlineStr">
        <is>
          <t>Klasefibbla</t>
        </is>
      </c>
      <c r="S560">
        <f>HYPERLINK("https://klasma.github.io/Logging_0461/artfynd/A 8019-2023 artfynd.xlsx", "A 8019-2023")</f>
        <v/>
      </c>
      <c r="T560">
        <f>HYPERLINK("https://klasma.github.io/Logging_0461/kartor/A 8019-2023 karta.png", "A 8019-2023")</f>
        <v/>
      </c>
      <c r="V560">
        <f>HYPERLINK("https://klasma.github.io/Logging_0461/klagomål/A 8019-2023 FSC-klagomål.docx", "A 8019-2023")</f>
        <v/>
      </c>
      <c r="W560">
        <f>HYPERLINK("https://klasma.github.io/Logging_0461/klagomålsmail/A 8019-2023 FSC-klagomål mail.docx", "A 8019-2023")</f>
        <v/>
      </c>
      <c r="X560">
        <f>HYPERLINK("https://klasma.github.io/Logging_0461/tillsyn/A 8019-2023 tillsynsbegäran.docx", "A 8019-2023")</f>
        <v/>
      </c>
      <c r="Y560">
        <f>HYPERLINK("https://klasma.github.io/Logging_0461/tillsynsmail/A 8019-2023 tillsynsbegäran mail.docx", "A 8019-2023")</f>
        <v/>
      </c>
    </row>
    <row r="561" ht="15" customHeight="1">
      <c r="A561" t="inlineStr">
        <is>
          <t>A 9221-2023</t>
        </is>
      </c>
      <c r="B561" s="1" t="n">
        <v>44977</v>
      </c>
      <c r="C561" s="1" t="n">
        <v>45843</v>
      </c>
      <c r="D561" t="inlineStr">
        <is>
          <t>SÖDERMANLANDS LÄN</t>
        </is>
      </c>
      <c r="E561" t="inlineStr">
        <is>
          <t>NYKÖPING</t>
        </is>
      </c>
      <c r="F561" t="inlineStr">
        <is>
          <t>Allmännings- och besparingsskogar</t>
        </is>
      </c>
      <c r="G561" t="n">
        <v>20.4</v>
      </c>
      <c r="H561" t="n">
        <v>0</v>
      </c>
      <c r="I561" t="n">
        <v>0</v>
      </c>
      <c r="J561" t="n">
        <v>1</v>
      </c>
      <c r="K561" t="n">
        <v>0</v>
      </c>
      <c r="L561" t="n">
        <v>0</v>
      </c>
      <c r="M561" t="n">
        <v>0</v>
      </c>
      <c r="N561" t="n">
        <v>0</v>
      </c>
      <c r="O561" t="n">
        <v>1</v>
      </c>
      <c r="P561" t="n">
        <v>0</v>
      </c>
      <c r="Q561" t="n">
        <v>1</v>
      </c>
      <c r="R561" s="2" t="inlineStr">
        <is>
          <t>Igelkott</t>
        </is>
      </c>
      <c r="S561">
        <f>HYPERLINK("https://klasma.github.io/Logging_0480/artfynd/A 9221-2023 artfynd.xlsx", "A 9221-2023")</f>
        <v/>
      </c>
      <c r="T561">
        <f>HYPERLINK("https://klasma.github.io/Logging_0480/kartor/A 9221-2023 karta.png", "A 9221-2023")</f>
        <v/>
      </c>
      <c r="V561">
        <f>HYPERLINK("https://klasma.github.io/Logging_0480/klagomål/A 9221-2023 FSC-klagomål.docx", "A 9221-2023")</f>
        <v/>
      </c>
      <c r="W561">
        <f>HYPERLINK("https://klasma.github.io/Logging_0480/klagomålsmail/A 9221-2023 FSC-klagomål mail.docx", "A 9221-2023")</f>
        <v/>
      </c>
      <c r="X561">
        <f>HYPERLINK("https://klasma.github.io/Logging_0480/tillsyn/A 9221-2023 tillsynsbegäran.docx", "A 9221-2023")</f>
        <v/>
      </c>
      <c r="Y561">
        <f>HYPERLINK("https://klasma.github.io/Logging_0480/tillsynsmail/A 9221-2023 tillsynsbegäran mail.docx", "A 9221-2023")</f>
        <v/>
      </c>
    </row>
    <row r="562" ht="15" customHeight="1">
      <c r="A562" t="inlineStr">
        <is>
          <t>A 9303-2023</t>
        </is>
      </c>
      <c r="B562" s="1" t="n">
        <v>44980</v>
      </c>
      <c r="C562" s="1" t="n">
        <v>45843</v>
      </c>
      <c r="D562" t="inlineStr">
        <is>
          <t>SÖDERMANLANDS LÄN</t>
        </is>
      </c>
      <c r="E562" t="inlineStr">
        <is>
          <t>GNESTA</t>
        </is>
      </c>
      <c r="G562" t="n">
        <v>0.7</v>
      </c>
      <c r="H562" t="n">
        <v>0</v>
      </c>
      <c r="I562" t="n">
        <v>1</v>
      </c>
      <c r="J562" t="n">
        <v>0</v>
      </c>
      <c r="K562" t="n">
        <v>0</v>
      </c>
      <c r="L562" t="n">
        <v>0</v>
      </c>
      <c r="M562" t="n">
        <v>0</v>
      </c>
      <c r="N562" t="n">
        <v>0</v>
      </c>
      <c r="O562" t="n">
        <v>0</v>
      </c>
      <c r="P562" t="n">
        <v>0</v>
      </c>
      <c r="Q562" t="n">
        <v>1</v>
      </c>
      <c r="R562" s="2" t="inlineStr">
        <is>
          <t>Zontaggsvamp</t>
        </is>
      </c>
      <c r="S562">
        <f>HYPERLINK("https://klasma.github.io/Logging_0461/artfynd/A 9303-2023 artfynd.xlsx", "A 9303-2023")</f>
        <v/>
      </c>
      <c r="T562">
        <f>HYPERLINK("https://klasma.github.io/Logging_0461/kartor/A 9303-2023 karta.png", "A 9303-2023")</f>
        <v/>
      </c>
      <c r="V562">
        <f>HYPERLINK("https://klasma.github.io/Logging_0461/klagomål/A 9303-2023 FSC-klagomål.docx", "A 9303-2023")</f>
        <v/>
      </c>
      <c r="W562">
        <f>HYPERLINK("https://klasma.github.io/Logging_0461/klagomålsmail/A 9303-2023 FSC-klagomål mail.docx", "A 9303-2023")</f>
        <v/>
      </c>
      <c r="X562">
        <f>HYPERLINK("https://klasma.github.io/Logging_0461/tillsyn/A 9303-2023 tillsynsbegäran.docx", "A 9303-2023")</f>
        <v/>
      </c>
      <c r="Y562">
        <f>HYPERLINK("https://klasma.github.io/Logging_0461/tillsynsmail/A 9303-2023 tillsynsbegäran mail.docx", "A 9303-2023")</f>
        <v/>
      </c>
    </row>
    <row r="563" ht="15" customHeight="1">
      <c r="A563" t="inlineStr">
        <is>
          <t>A 9645-2023</t>
        </is>
      </c>
      <c r="B563" s="1" t="n">
        <v>44984</v>
      </c>
      <c r="C563" s="1" t="n">
        <v>45843</v>
      </c>
      <c r="D563" t="inlineStr">
        <is>
          <t>SÖDERMANLANDS LÄN</t>
        </is>
      </c>
      <c r="E563" t="inlineStr">
        <is>
          <t>ESKILSTUNA</t>
        </is>
      </c>
      <c r="G563" t="n">
        <v>2.3</v>
      </c>
      <c r="H563" t="n">
        <v>1</v>
      </c>
      <c r="I563" t="n">
        <v>0</v>
      </c>
      <c r="J563" t="n">
        <v>0</v>
      </c>
      <c r="K563" t="n">
        <v>0</v>
      </c>
      <c r="L563" t="n">
        <v>0</v>
      </c>
      <c r="M563" t="n">
        <v>0</v>
      </c>
      <c r="N563" t="n">
        <v>0</v>
      </c>
      <c r="O563" t="n">
        <v>0</v>
      </c>
      <c r="P563" t="n">
        <v>0</v>
      </c>
      <c r="Q563" t="n">
        <v>1</v>
      </c>
      <c r="R563" s="2" t="inlineStr">
        <is>
          <t>Skogsduva</t>
        </is>
      </c>
      <c r="S563">
        <f>HYPERLINK("https://klasma.github.io/Logging_0484/artfynd/A 9645-2023 artfynd.xlsx", "A 9645-2023")</f>
        <v/>
      </c>
      <c r="T563">
        <f>HYPERLINK("https://klasma.github.io/Logging_0484/kartor/A 9645-2023 karta.png", "A 9645-2023")</f>
        <v/>
      </c>
      <c r="V563">
        <f>HYPERLINK("https://klasma.github.io/Logging_0484/klagomål/A 9645-2023 FSC-klagomål.docx", "A 9645-2023")</f>
        <v/>
      </c>
      <c r="W563">
        <f>HYPERLINK("https://klasma.github.io/Logging_0484/klagomålsmail/A 9645-2023 FSC-klagomål mail.docx", "A 9645-2023")</f>
        <v/>
      </c>
      <c r="X563">
        <f>HYPERLINK("https://klasma.github.io/Logging_0484/tillsyn/A 9645-2023 tillsynsbegäran.docx", "A 9645-2023")</f>
        <v/>
      </c>
      <c r="Y563">
        <f>HYPERLINK("https://klasma.github.io/Logging_0484/tillsynsmail/A 9645-2023 tillsynsbegäran mail.docx", "A 9645-2023")</f>
        <v/>
      </c>
      <c r="Z563">
        <f>HYPERLINK("https://klasma.github.io/Logging_0484/fåglar/A 9645-2023 prioriterade fågelarter.docx", "A 9645-2023")</f>
        <v/>
      </c>
    </row>
    <row r="564" ht="15" customHeight="1">
      <c r="A564" t="inlineStr">
        <is>
          <t>A 11123-2023</t>
        </is>
      </c>
      <c r="B564" s="1" t="n">
        <v>44986</v>
      </c>
      <c r="C564" s="1" t="n">
        <v>45843</v>
      </c>
      <c r="D564" t="inlineStr">
        <is>
          <t>SÖDERMANLANDS LÄN</t>
        </is>
      </c>
      <c r="E564" t="inlineStr">
        <is>
          <t>TROSA</t>
        </is>
      </c>
      <c r="F564" t="inlineStr">
        <is>
          <t>Övriga statliga verk och myndigheter</t>
        </is>
      </c>
      <c r="G564" t="n">
        <v>9.4</v>
      </c>
      <c r="H564" t="n">
        <v>1</v>
      </c>
      <c r="I564" t="n">
        <v>0</v>
      </c>
      <c r="J564" t="n">
        <v>0</v>
      </c>
      <c r="K564" t="n">
        <v>0</v>
      </c>
      <c r="L564" t="n">
        <v>0</v>
      </c>
      <c r="M564" t="n">
        <v>0</v>
      </c>
      <c r="N564" t="n">
        <v>0</v>
      </c>
      <c r="O564" t="n">
        <v>0</v>
      </c>
      <c r="P564" t="n">
        <v>0</v>
      </c>
      <c r="Q564" t="n">
        <v>1</v>
      </c>
      <c r="R564" s="2" t="inlineStr">
        <is>
          <t>Kungsfågel</t>
        </is>
      </c>
      <c r="S564">
        <f>HYPERLINK("https://klasma.github.io/Logging_0488/artfynd/A 11123-2023 artfynd.xlsx", "A 11123-2023")</f>
        <v/>
      </c>
      <c r="T564">
        <f>HYPERLINK("https://klasma.github.io/Logging_0488/kartor/A 11123-2023 karta.png", "A 11123-2023")</f>
        <v/>
      </c>
      <c r="V564">
        <f>HYPERLINK("https://klasma.github.io/Logging_0488/klagomål/A 11123-2023 FSC-klagomål.docx", "A 11123-2023")</f>
        <v/>
      </c>
      <c r="W564">
        <f>HYPERLINK("https://klasma.github.io/Logging_0488/klagomålsmail/A 11123-2023 FSC-klagomål mail.docx", "A 11123-2023")</f>
        <v/>
      </c>
      <c r="X564">
        <f>HYPERLINK("https://klasma.github.io/Logging_0488/tillsyn/A 11123-2023 tillsynsbegäran.docx", "A 11123-2023")</f>
        <v/>
      </c>
      <c r="Y564">
        <f>HYPERLINK("https://klasma.github.io/Logging_0488/tillsynsmail/A 11123-2023 tillsynsbegäran mail.docx", "A 11123-2023")</f>
        <v/>
      </c>
      <c r="Z564">
        <f>HYPERLINK("https://klasma.github.io/Logging_0488/fåglar/A 11123-2023 prioriterade fågelarter.docx", "A 11123-2023")</f>
        <v/>
      </c>
    </row>
    <row r="565" ht="15" customHeight="1">
      <c r="A565" t="inlineStr">
        <is>
          <t>A 12238-2023</t>
        </is>
      </c>
      <c r="B565" s="1" t="n">
        <v>44995</v>
      </c>
      <c r="C565" s="1" t="n">
        <v>45843</v>
      </c>
      <c r="D565" t="inlineStr">
        <is>
          <t>SÖDERMANLANDS LÄN</t>
        </is>
      </c>
      <c r="E565" t="inlineStr">
        <is>
          <t>KATRINEHOLM</t>
        </is>
      </c>
      <c r="F565" t="inlineStr">
        <is>
          <t>Övriga Aktiebolag</t>
        </is>
      </c>
      <c r="G565" t="n">
        <v>58</v>
      </c>
      <c r="H565" t="n">
        <v>0</v>
      </c>
      <c r="I565" t="n">
        <v>0</v>
      </c>
      <c r="J565" t="n">
        <v>1</v>
      </c>
      <c r="K565" t="n">
        <v>0</v>
      </c>
      <c r="L565" t="n">
        <v>0</v>
      </c>
      <c r="M565" t="n">
        <v>0</v>
      </c>
      <c r="N565" t="n">
        <v>0</v>
      </c>
      <c r="O565" t="n">
        <v>1</v>
      </c>
      <c r="P565" t="n">
        <v>0</v>
      </c>
      <c r="Q565" t="n">
        <v>1</v>
      </c>
      <c r="R565" s="2" t="inlineStr">
        <is>
          <t>Skogsklocka</t>
        </is>
      </c>
      <c r="S565">
        <f>HYPERLINK("https://klasma.github.io/Logging_0483/artfynd/A 12238-2023 artfynd.xlsx", "A 12238-2023")</f>
        <v/>
      </c>
      <c r="T565">
        <f>HYPERLINK("https://klasma.github.io/Logging_0483/kartor/A 12238-2023 karta.png", "A 12238-2023")</f>
        <v/>
      </c>
      <c r="V565">
        <f>HYPERLINK("https://klasma.github.io/Logging_0483/klagomål/A 12238-2023 FSC-klagomål.docx", "A 12238-2023")</f>
        <v/>
      </c>
      <c r="W565">
        <f>HYPERLINK("https://klasma.github.io/Logging_0483/klagomålsmail/A 12238-2023 FSC-klagomål mail.docx", "A 12238-2023")</f>
        <v/>
      </c>
      <c r="X565">
        <f>HYPERLINK("https://klasma.github.io/Logging_0483/tillsyn/A 12238-2023 tillsynsbegäran.docx", "A 12238-2023")</f>
        <v/>
      </c>
      <c r="Y565">
        <f>HYPERLINK("https://klasma.github.io/Logging_0483/tillsynsmail/A 12238-2023 tillsynsbegäran mail.docx", "A 12238-2023")</f>
        <v/>
      </c>
    </row>
    <row r="566" ht="15" customHeight="1">
      <c r="A566" t="inlineStr">
        <is>
          <t>A 12174-2023</t>
        </is>
      </c>
      <c r="B566" s="1" t="n">
        <v>44995</v>
      </c>
      <c r="C566" s="1" t="n">
        <v>45843</v>
      </c>
      <c r="D566" t="inlineStr">
        <is>
          <t>SÖDERMANLANDS LÄN</t>
        </is>
      </c>
      <c r="E566" t="inlineStr">
        <is>
          <t>GNESTA</t>
        </is>
      </c>
      <c r="G566" t="n">
        <v>11.2</v>
      </c>
      <c r="H566" t="n">
        <v>0</v>
      </c>
      <c r="I566" t="n">
        <v>0</v>
      </c>
      <c r="J566" t="n">
        <v>1</v>
      </c>
      <c r="K566" t="n">
        <v>0</v>
      </c>
      <c r="L566" t="n">
        <v>0</v>
      </c>
      <c r="M566" t="n">
        <v>0</v>
      </c>
      <c r="N566" t="n">
        <v>0</v>
      </c>
      <c r="O566" t="n">
        <v>1</v>
      </c>
      <c r="P566" t="n">
        <v>0</v>
      </c>
      <c r="Q566" t="n">
        <v>1</v>
      </c>
      <c r="R566" s="2" t="inlineStr">
        <is>
          <t>Klasefibbla</t>
        </is>
      </c>
      <c r="S566">
        <f>HYPERLINK("https://klasma.github.io/Logging_0461/artfynd/A 12174-2023 artfynd.xlsx", "A 12174-2023")</f>
        <v/>
      </c>
      <c r="T566">
        <f>HYPERLINK("https://klasma.github.io/Logging_0461/kartor/A 12174-2023 karta.png", "A 12174-2023")</f>
        <v/>
      </c>
      <c r="V566">
        <f>HYPERLINK("https://klasma.github.io/Logging_0461/klagomål/A 12174-2023 FSC-klagomål.docx", "A 12174-2023")</f>
        <v/>
      </c>
      <c r="W566">
        <f>HYPERLINK("https://klasma.github.io/Logging_0461/klagomålsmail/A 12174-2023 FSC-klagomål mail.docx", "A 12174-2023")</f>
        <v/>
      </c>
      <c r="X566">
        <f>HYPERLINK("https://klasma.github.io/Logging_0461/tillsyn/A 12174-2023 tillsynsbegäran.docx", "A 12174-2023")</f>
        <v/>
      </c>
      <c r="Y566">
        <f>HYPERLINK("https://klasma.github.io/Logging_0461/tillsynsmail/A 12174-2023 tillsynsbegäran mail.docx", "A 12174-2023")</f>
        <v/>
      </c>
    </row>
    <row r="567" ht="15" customHeight="1">
      <c r="A567" t="inlineStr">
        <is>
          <t>A 11890-2023</t>
        </is>
      </c>
      <c r="B567" s="1" t="n">
        <v>44995</v>
      </c>
      <c r="C567" s="1" t="n">
        <v>45843</v>
      </c>
      <c r="D567" t="inlineStr">
        <is>
          <t>SÖDERMANLANDS LÄN</t>
        </is>
      </c>
      <c r="E567" t="inlineStr">
        <is>
          <t>KATRINEHOLM</t>
        </is>
      </c>
      <c r="F567" t="inlineStr">
        <is>
          <t>Kommuner</t>
        </is>
      </c>
      <c r="G567" t="n">
        <v>6.7</v>
      </c>
      <c r="H567" t="n">
        <v>1</v>
      </c>
      <c r="I567" t="n">
        <v>1</v>
      </c>
      <c r="J567" t="n">
        <v>0</v>
      </c>
      <c r="K567" t="n">
        <v>0</v>
      </c>
      <c r="L567" t="n">
        <v>0</v>
      </c>
      <c r="M567" t="n">
        <v>0</v>
      </c>
      <c r="N567" t="n">
        <v>0</v>
      </c>
      <c r="O567" t="n">
        <v>0</v>
      </c>
      <c r="P567" t="n">
        <v>0</v>
      </c>
      <c r="Q567" t="n">
        <v>1</v>
      </c>
      <c r="R567" s="2" t="inlineStr">
        <is>
          <t>Skogsknipprot</t>
        </is>
      </c>
      <c r="S567">
        <f>HYPERLINK("https://klasma.github.io/Logging_0483/artfynd/A 11890-2023 artfynd.xlsx", "A 11890-2023")</f>
        <v/>
      </c>
      <c r="T567">
        <f>HYPERLINK("https://klasma.github.io/Logging_0483/kartor/A 11890-2023 karta.png", "A 11890-2023")</f>
        <v/>
      </c>
      <c r="V567">
        <f>HYPERLINK("https://klasma.github.io/Logging_0483/klagomål/A 11890-2023 FSC-klagomål.docx", "A 11890-2023")</f>
        <v/>
      </c>
      <c r="W567">
        <f>HYPERLINK("https://klasma.github.io/Logging_0483/klagomålsmail/A 11890-2023 FSC-klagomål mail.docx", "A 11890-2023")</f>
        <v/>
      </c>
      <c r="X567">
        <f>HYPERLINK("https://klasma.github.io/Logging_0483/tillsyn/A 11890-2023 tillsynsbegäran.docx", "A 11890-2023")</f>
        <v/>
      </c>
      <c r="Y567">
        <f>HYPERLINK("https://klasma.github.io/Logging_0483/tillsynsmail/A 11890-2023 tillsynsbegäran mail.docx", "A 11890-2023")</f>
        <v/>
      </c>
    </row>
    <row r="568" ht="15" customHeight="1">
      <c r="A568" t="inlineStr">
        <is>
          <t>A 12891-2023</t>
        </is>
      </c>
      <c r="B568" s="1" t="n">
        <v>45001</v>
      </c>
      <c r="C568" s="1" t="n">
        <v>45843</v>
      </c>
      <c r="D568" t="inlineStr">
        <is>
          <t>SÖDERMANLANDS LÄN</t>
        </is>
      </c>
      <c r="E568" t="inlineStr">
        <is>
          <t>NYKÖPING</t>
        </is>
      </c>
      <c r="F568" t="inlineStr">
        <is>
          <t>Holmen skog AB</t>
        </is>
      </c>
      <c r="G568" t="n">
        <v>6.9</v>
      </c>
      <c r="H568" t="n">
        <v>1</v>
      </c>
      <c r="I568" t="n">
        <v>0</v>
      </c>
      <c r="J568" t="n">
        <v>0</v>
      </c>
      <c r="K568" t="n">
        <v>0</v>
      </c>
      <c r="L568" t="n">
        <v>0</v>
      </c>
      <c r="M568" t="n">
        <v>0</v>
      </c>
      <c r="N568" t="n">
        <v>0</v>
      </c>
      <c r="O568" t="n">
        <v>0</v>
      </c>
      <c r="P568" t="n">
        <v>0</v>
      </c>
      <c r="Q568" t="n">
        <v>1</v>
      </c>
      <c r="R568" s="2" t="inlineStr">
        <is>
          <t>Revlummer</t>
        </is>
      </c>
      <c r="S568">
        <f>HYPERLINK("https://klasma.github.io/Logging_0480/artfynd/A 12891-2023 artfynd.xlsx", "A 12891-2023")</f>
        <v/>
      </c>
      <c r="T568">
        <f>HYPERLINK("https://klasma.github.io/Logging_0480/kartor/A 12891-2023 karta.png", "A 12891-2023")</f>
        <v/>
      </c>
      <c r="V568">
        <f>HYPERLINK("https://klasma.github.io/Logging_0480/klagomål/A 12891-2023 FSC-klagomål.docx", "A 12891-2023")</f>
        <v/>
      </c>
      <c r="W568">
        <f>HYPERLINK("https://klasma.github.io/Logging_0480/klagomålsmail/A 12891-2023 FSC-klagomål mail.docx", "A 12891-2023")</f>
        <v/>
      </c>
      <c r="X568">
        <f>HYPERLINK("https://klasma.github.io/Logging_0480/tillsyn/A 12891-2023 tillsynsbegäran.docx", "A 12891-2023")</f>
        <v/>
      </c>
      <c r="Y568">
        <f>HYPERLINK("https://klasma.github.io/Logging_0480/tillsynsmail/A 12891-2023 tillsynsbegäran mail.docx", "A 12891-2023")</f>
        <v/>
      </c>
    </row>
    <row r="569" ht="15" customHeight="1">
      <c r="A569" t="inlineStr">
        <is>
          <t>A 13858-2023</t>
        </is>
      </c>
      <c r="B569" s="1" t="n">
        <v>45007</v>
      </c>
      <c r="C569" s="1" t="n">
        <v>45843</v>
      </c>
      <c r="D569" t="inlineStr">
        <is>
          <t>SÖDERMANLANDS LÄN</t>
        </is>
      </c>
      <c r="E569" t="inlineStr">
        <is>
          <t>FLEN</t>
        </is>
      </c>
      <c r="F569" t="inlineStr">
        <is>
          <t>Holmen skog AB</t>
        </is>
      </c>
      <c r="G569" t="n">
        <v>0.8</v>
      </c>
      <c r="H569" t="n">
        <v>0</v>
      </c>
      <c r="I569" t="n">
        <v>0</v>
      </c>
      <c r="J569" t="n">
        <v>1</v>
      </c>
      <c r="K569" t="n">
        <v>0</v>
      </c>
      <c r="L569" t="n">
        <v>0</v>
      </c>
      <c r="M569" t="n">
        <v>0</v>
      </c>
      <c r="N569" t="n">
        <v>0</v>
      </c>
      <c r="O569" t="n">
        <v>1</v>
      </c>
      <c r="P569" t="n">
        <v>0</v>
      </c>
      <c r="Q569" t="n">
        <v>1</v>
      </c>
      <c r="R569" s="2" t="inlineStr">
        <is>
          <t>Svedjenäva</t>
        </is>
      </c>
      <c r="S569">
        <f>HYPERLINK("https://klasma.github.io/Logging_0482/artfynd/A 13858-2023 artfynd.xlsx", "A 13858-2023")</f>
        <v/>
      </c>
      <c r="T569">
        <f>HYPERLINK("https://klasma.github.io/Logging_0482/kartor/A 13858-2023 karta.png", "A 13858-2023")</f>
        <v/>
      </c>
      <c r="V569">
        <f>HYPERLINK("https://klasma.github.io/Logging_0482/klagomål/A 13858-2023 FSC-klagomål.docx", "A 13858-2023")</f>
        <v/>
      </c>
      <c r="W569">
        <f>HYPERLINK("https://klasma.github.io/Logging_0482/klagomålsmail/A 13858-2023 FSC-klagomål mail.docx", "A 13858-2023")</f>
        <v/>
      </c>
      <c r="X569">
        <f>HYPERLINK("https://klasma.github.io/Logging_0482/tillsyn/A 13858-2023 tillsynsbegäran.docx", "A 13858-2023")</f>
        <v/>
      </c>
      <c r="Y569">
        <f>HYPERLINK("https://klasma.github.io/Logging_0482/tillsynsmail/A 13858-2023 tillsynsbegäran mail.docx", "A 13858-2023")</f>
        <v/>
      </c>
    </row>
    <row r="570" ht="15" customHeight="1">
      <c r="A570" t="inlineStr">
        <is>
          <t>A 14327-2023</t>
        </is>
      </c>
      <c r="B570" s="1" t="n">
        <v>45012</v>
      </c>
      <c r="C570" s="1" t="n">
        <v>45843</v>
      </c>
      <c r="D570" t="inlineStr">
        <is>
          <t>SÖDERMANLANDS LÄN</t>
        </is>
      </c>
      <c r="E570" t="inlineStr">
        <is>
          <t>ESKILSTUNA</t>
        </is>
      </c>
      <c r="F570" t="inlineStr">
        <is>
          <t>Kommuner</t>
        </is>
      </c>
      <c r="G570" t="n">
        <v>2.6</v>
      </c>
      <c r="H570" t="n">
        <v>1</v>
      </c>
      <c r="I570" t="n">
        <v>0</v>
      </c>
      <c r="J570" t="n">
        <v>0</v>
      </c>
      <c r="K570" t="n">
        <v>0</v>
      </c>
      <c r="L570" t="n">
        <v>0</v>
      </c>
      <c r="M570" t="n">
        <v>0</v>
      </c>
      <c r="N570" t="n">
        <v>0</v>
      </c>
      <c r="O570" t="n">
        <v>0</v>
      </c>
      <c r="P570" t="n">
        <v>0</v>
      </c>
      <c r="Q570" t="n">
        <v>1</v>
      </c>
      <c r="R570" s="2" t="inlineStr">
        <is>
          <t>Mattlummer</t>
        </is>
      </c>
      <c r="S570">
        <f>HYPERLINK("https://klasma.github.io/Logging_0484/artfynd/A 14327-2023 artfynd.xlsx", "A 14327-2023")</f>
        <v/>
      </c>
      <c r="T570">
        <f>HYPERLINK("https://klasma.github.io/Logging_0484/kartor/A 14327-2023 karta.png", "A 14327-2023")</f>
        <v/>
      </c>
      <c r="V570">
        <f>HYPERLINK("https://klasma.github.io/Logging_0484/klagomål/A 14327-2023 FSC-klagomål.docx", "A 14327-2023")</f>
        <v/>
      </c>
      <c r="W570">
        <f>HYPERLINK("https://klasma.github.io/Logging_0484/klagomålsmail/A 14327-2023 FSC-klagomål mail.docx", "A 14327-2023")</f>
        <v/>
      </c>
      <c r="X570">
        <f>HYPERLINK("https://klasma.github.io/Logging_0484/tillsyn/A 14327-2023 tillsynsbegäran.docx", "A 14327-2023")</f>
        <v/>
      </c>
      <c r="Y570">
        <f>HYPERLINK("https://klasma.github.io/Logging_0484/tillsynsmail/A 14327-2023 tillsynsbegäran mail.docx", "A 14327-2023")</f>
        <v/>
      </c>
    </row>
    <row r="571" ht="15" customHeight="1">
      <c r="A571" t="inlineStr">
        <is>
          <t>A 16078-2023</t>
        </is>
      </c>
      <c r="B571" s="1" t="n">
        <v>45027</v>
      </c>
      <c r="C571" s="1" t="n">
        <v>45843</v>
      </c>
      <c r="D571" t="inlineStr">
        <is>
          <t>SÖDERMANLANDS LÄN</t>
        </is>
      </c>
      <c r="E571" t="inlineStr">
        <is>
          <t>NYKÖPING</t>
        </is>
      </c>
      <c r="G571" t="n">
        <v>0.9</v>
      </c>
      <c r="H571" t="n">
        <v>0</v>
      </c>
      <c r="I571" t="n">
        <v>0</v>
      </c>
      <c r="J571" t="n">
        <v>1</v>
      </c>
      <c r="K571" t="n">
        <v>0</v>
      </c>
      <c r="L571" t="n">
        <v>0</v>
      </c>
      <c r="M571" t="n">
        <v>0</v>
      </c>
      <c r="N571" t="n">
        <v>0</v>
      </c>
      <c r="O571" t="n">
        <v>1</v>
      </c>
      <c r="P571" t="n">
        <v>0</v>
      </c>
      <c r="Q571" t="n">
        <v>1</v>
      </c>
      <c r="R571" s="2" t="inlineStr">
        <is>
          <t>Rödlånke</t>
        </is>
      </c>
      <c r="S571">
        <f>HYPERLINK("https://klasma.github.io/Logging_0480/artfynd/A 16078-2023 artfynd.xlsx", "A 16078-2023")</f>
        <v/>
      </c>
      <c r="T571">
        <f>HYPERLINK("https://klasma.github.io/Logging_0480/kartor/A 16078-2023 karta.png", "A 16078-2023")</f>
        <v/>
      </c>
      <c r="V571">
        <f>HYPERLINK("https://klasma.github.io/Logging_0480/klagomål/A 16078-2023 FSC-klagomål.docx", "A 16078-2023")</f>
        <v/>
      </c>
      <c r="W571">
        <f>HYPERLINK("https://klasma.github.io/Logging_0480/klagomålsmail/A 16078-2023 FSC-klagomål mail.docx", "A 16078-2023")</f>
        <v/>
      </c>
      <c r="X571">
        <f>HYPERLINK("https://klasma.github.io/Logging_0480/tillsyn/A 16078-2023 tillsynsbegäran.docx", "A 16078-2023")</f>
        <v/>
      </c>
      <c r="Y571">
        <f>HYPERLINK("https://klasma.github.io/Logging_0480/tillsynsmail/A 16078-2023 tillsynsbegäran mail.docx", "A 16078-2023")</f>
        <v/>
      </c>
    </row>
    <row r="572" ht="15" customHeight="1">
      <c r="A572" t="inlineStr">
        <is>
          <t>A 17653-2023</t>
        </is>
      </c>
      <c r="B572" s="1" t="n">
        <v>45036</v>
      </c>
      <c r="C572" s="1" t="n">
        <v>45843</v>
      </c>
      <c r="D572" t="inlineStr">
        <is>
          <t>SÖDERMANLANDS LÄN</t>
        </is>
      </c>
      <c r="E572" t="inlineStr">
        <is>
          <t>GNESTA</t>
        </is>
      </c>
      <c r="G572" t="n">
        <v>5.1</v>
      </c>
      <c r="H572" t="n">
        <v>0</v>
      </c>
      <c r="I572" t="n">
        <v>0</v>
      </c>
      <c r="J572" t="n">
        <v>1</v>
      </c>
      <c r="K572" t="n">
        <v>0</v>
      </c>
      <c r="L572" t="n">
        <v>0</v>
      </c>
      <c r="M572" t="n">
        <v>0</v>
      </c>
      <c r="N572" t="n">
        <v>0</v>
      </c>
      <c r="O572" t="n">
        <v>1</v>
      </c>
      <c r="P572" t="n">
        <v>0</v>
      </c>
      <c r="Q572" t="n">
        <v>1</v>
      </c>
      <c r="R572" s="2" t="inlineStr">
        <is>
          <t>Bronspraktbagge</t>
        </is>
      </c>
      <c r="S572">
        <f>HYPERLINK("https://klasma.github.io/Logging_0461/artfynd/A 17653-2023 artfynd.xlsx", "A 17653-2023")</f>
        <v/>
      </c>
      <c r="T572">
        <f>HYPERLINK("https://klasma.github.io/Logging_0461/kartor/A 17653-2023 karta.png", "A 17653-2023")</f>
        <v/>
      </c>
      <c r="V572">
        <f>HYPERLINK("https://klasma.github.io/Logging_0461/klagomål/A 17653-2023 FSC-klagomål.docx", "A 17653-2023")</f>
        <v/>
      </c>
      <c r="W572">
        <f>HYPERLINK("https://klasma.github.io/Logging_0461/klagomålsmail/A 17653-2023 FSC-klagomål mail.docx", "A 17653-2023")</f>
        <v/>
      </c>
      <c r="X572">
        <f>HYPERLINK("https://klasma.github.io/Logging_0461/tillsyn/A 17653-2023 tillsynsbegäran.docx", "A 17653-2023")</f>
        <v/>
      </c>
      <c r="Y572">
        <f>HYPERLINK("https://klasma.github.io/Logging_0461/tillsynsmail/A 17653-2023 tillsynsbegäran mail.docx", "A 17653-2023")</f>
        <v/>
      </c>
    </row>
    <row r="573" ht="15" customHeight="1">
      <c r="A573" t="inlineStr">
        <is>
          <t>A 19627-2023</t>
        </is>
      </c>
      <c r="B573" s="1" t="n">
        <v>45050</v>
      </c>
      <c r="C573" s="1" t="n">
        <v>45843</v>
      </c>
      <c r="D573" t="inlineStr">
        <is>
          <t>SÖDERMANLANDS LÄN</t>
        </is>
      </c>
      <c r="E573" t="inlineStr">
        <is>
          <t>ESKILSTUNA</t>
        </is>
      </c>
      <c r="F573" t="inlineStr">
        <is>
          <t>Allmännings- och besparingsskogar</t>
        </is>
      </c>
      <c r="G573" t="n">
        <v>2.7</v>
      </c>
      <c r="H573" t="n">
        <v>1</v>
      </c>
      <c r="I573" t="n">
        <v>0</v>
      </c>
      <c r="J573" t="n">
        <v>0</v>
      </c>
      <c r="K573" t="n">
        <v>0</v>
      </c>
      <c r="L573" t="n">
        <v>0</v>
      </c>
      <c r="M573" t="n">
        <v>0</v>
      </c>
      <c r="N573" t="n">
        <v>0</v>
      </c>
      <c r="O573" t="n">
        <v>0</v>
      </c>
      <c r="P573" t="n">
        <v>0</v>
      </c>
      <c r="Q573" t="n">
        <v>1</v>
      </c>
      <c r="R573" s="2" t="inlineStr">
        <is>
          <t>Revlummer</t>
        </is>
      </c>
      <c r="S573">
        <f>HYPERLINK("https://klasma.github.io/Logging_0484/artfynd/A 19627-2023 artfynd.xlsx", "A 19627-2023")</f>
        <v/>
      </c>
      <c r="T573">
        <f>HYPERLINK("https://klasma.github.io/Logging_0484/kartor/A 19627-2023 karta.png", "A 19627-2023")</f>
        <v/>
      </c>
      <c r="V573">
        <f>HYPERLINK("https://klasma.github.io/Logging_0484/klagomål/A 19627-2023 FSC-klagomål.docx", "A 19627-2023")</f>
        <v/>
      </c>
      <c r="W573">
        <f>HYPERLINK("https://klasma.github.io/Logging_0484/klagomålsmail/A 19627-2023 FSC-klagomål mail.docx", "A 19627-2023")</f>
        <v/>
      </c>
      <c r="X573">
        <f>HYPERLINK("https://klasma.github.io/Logging_0484/tillsyn/A 19627-2023 tillsynsbegäran.docx", "A 19627-2023")</f>
        <v/>
      </c>
      <c r="Y573">
        <f>HYPERLINK("https://klasma.github.io/Logging_0484/tillsynsmail/A 19627-2023 tillsynsbegäran mail.docx", "A 19627-2023")</f>
        <v/>
      </c>
    </row>
    <row r="574" ht="15" customHeight="1">
      <c r="A574" t="inlineStr">
        <is>
          <t>A 20325-2023</t>
        </is>
      </c>
      <c r="B574" s="1" t="n">
        <v>45056</v>
      </c>
      <c r="C574" s="1" t="n">
        <v>45843</v>
      </c>
      <c r="D574" t="inlineStr">
        <is>
          <t>SÖDERMANLANDS LÄN</t>
        </is>
      </c>
      <c r="E574" t="inlineStr">
        <is>
          <t>NYKÖPING</t>
        </is>
      </c>
      <c r="G574" t="n">
        <v>0.2</v>
      </c>
      <c r="H574" t="n">
        <v>0</v>
      </c>
      <c r="I574" t="n">
        <v>1</v>
      </c>
      <c r="J574" t="n">
        <v>0</v>
      </c>
      <c r="K574" t="n">
        <v>0</v>
      </c>
      <c r="L574" t="n">
        <v>0</v>
      </c>
      <c r="M574" t="n">
        <v>0</v>
      </c>
      <c r="N574" t="n">
        <v>0</v>
      </c>
      <c r="O574" t="n">
        <v>0</v>
      </c>
      <c r="P574" t="n">
        <v>0</v>
      </c>
      <c r="Q574" t="n">
        <v>1</v>
      </c>
      <c r="R574" s="2" t="inlineStr">
        <is>
          <t>Kamjordstjärna</t>
        </is>
      </c>
      <c r="S574">
        <f>HYPERLINK("https://klasma.github.io/Logging_0480/artfynd/A 20325-2023 artfynd.xlsx", "A 20325-2023")</f>
        <v/>
      </c>
      <c r="T574">
        <f>HYPERLINK("https://klasma.github.io/Logging_0480/kartor/A 20325-2023 karta.png", "A 20325-2023")</f>
        <v/>
      </c>
      <c r="V574">
        <f>HYPERLINK("https://klasma.github.io/Logging_0480/klagomål/A 20325-2023 FSC-klagomål.docx", "A 20325-2023")</f>
        <v/>
      </c>
      <c r="W574">
        <f>HYPERLINK("https://klasma.github.io/Logging_0480/klagomålsmail/A 20325-2023 FSC-klagomål mail.docx", "A 20325-2023")</f>
        <v/>
      </c>
      <c r="X574">
        <f>HYPERLINK("https://klasma.github.io/Logging_0480/tillsyn/A 20325-2023 tillsynsbegäran.docx", "A 20325-2023")</f>
        <v/>
      </c>
      <c r="Y574">
        <f>HYPERLINK("https://klasma.github.io/Logging_0480/tillsynsmail/A 20325-2023 tillsynsbegäran mail.docx", "A 20325-2023")</f>
        <v/>
      </c>
    </row>
    <row r="575" ht="15" customHeight="1">
      <c r="A575" t="inlineStr">
        <is>
          <t>A 23637-2023</t>
        </is>
      </c>
      <c r="B575" s="1" t="n">
        <v>45077</v>
      </c>
      <c r="C575" s="1" t="n">
        <v>45843</v>
      </c>
      <c r="D575" t="inlineStr">
        <is>
          <t>SÖDERMANLANDS LÄN</t>
        </is>
      </c>
      <c r="E575" t="inlineStr">
        <is>
          <t>ESKILSTUNA</t>
        </is>
      </c>
      <c r="G575" t="n">
        <v>15.8</v>
      </c>
      <c r="H575" t="n">
        <v>0</v>
      </c>
      <c r="I575" t="n">
        <v>0</v>
      </c>
      <c r="J575" t="n">
        <v>0</v>
      </c>
      <c r="K575" t="n">
        <v>1</v>
      </c>
      <c r="L575" t="n">
        <v>0</v>
      </c>
      <c r="M575" t="n">
        <v>0</v>
      </c>
      <c r="N575" t="n">
        <v>0</v>
      </c>
      <c r="O575" t="n">
        <v>1</v>
      </c>
      <c r="P575" t="n">
        <v>1</v>
      </c>
      <c r="Q575" t="n">
        <v>1</v>
      </c>
      <c r="R575" s="2" t="inlineStr">
        <is>
          <t>Violett fingersvamp</t>
        </is>
      </c>
      <c r="S575">
        <f>HYPERLINK("https://klasma.github.io/Logging_0484/artfynd/A 23637-2023 artfynd.xlsx", "A 23637-2023")</f>
        <v/>
      </c>
      <c r="T575">
        <f>HYPERLINK("https://klasma.github.io/Logging_0484/kartor/A 23637-2023 karta.png", "A 23637-2023")</f>
        <v/>
      </c>
      <c r="V575">
        <f>HYPERLINK("https://klasma.github.io/Logging_0484/klagomål/A 23637-2023 FSC-klagomål.docx", "A 23637-2023")</f>
        <v/>
      </c>
      <c r="W575">
        <f>HYPERLINK("https://klasma.github.io/Logging_0484/klagomålsmail/A 23637-2023 FSC-klagomål mail.docx", "A 23637-2023")</f>
        <v/>
      </c>
      <c r="X575">
        <f>HYPERLINK("https://klasma.github.io/Logging_0484/tillsyn/A 23637-2023 tillsynsbegäran.docx", "A 23637-2023")</f>
        <v/>
      </c>
      <c r="Y575">
        <f>HYPERLINK("https://klasma.github.io/Logging_0484/tillsynsmail/A 23637-2023 tillsynsbegäran mail.docx", "A 23637-2023")</f>
        <v/>
      </c>
    </row>
    <row r="576" ht="15" customHeight="1">
      <c r="A576" t="inlineStr">
        <is>
          <t>A 23568-2023</t>
        </is>
      </c>
      <c r="B576" s="1" t="n">
        <v>45077</v>
      </c>
      <c r="C576" s="1" t="n">
        <v>45843</v>
      </c>
      <c r="D576" t="inlineStr">
        <is>
          <t>SÖDERMANLANDS LÄN</t>
        </is>
      </c>
      <c r="E576" t="inlineStr">
        <is>
          <t>KATRINEHOLM</t>
        </is>
      </c>
      <c r="F576" t="inlineStr">
        <is>
          <t>Kommuner</t>
        </is>
      </c>
      <c r="G576" t="n">
        <v>1.4</v>
      </c>
      <c r="H576" t="n">
        <v>0</v>
      </c>
      <c r="I576" t="n">
        <v>0</v>
      </c>
      <c r="J576" t="n">
        <v>1</v>
      </c>
      <c r="K576" t="n">
        <v>0</v>
      </c>
      <c r="L576" t="n">
        <v>0</v>
      </c>
      <c r="M576" t="n">
        <v>0</v>
      </c>
      <c r="N576" t="n">
        <v>0</v>
      </c>
      <c r="O576" t="n">
        <v>1</v>
      </c>
      <c r="P576" t="n">
        <v>0</v>
      </c>
      <c r="Q576" t="n">
        <v>1</v>
      </c>
      <c r="R576" s="2" t="inlineStr">
        <is>
          <t>Fyrflikig jordstjärna</t>
        </is>
      </c>
      <c r="S576">
        <f>HYPERLINK("https://klasma.github.io/Logging_0483/artfynd/A 23568-2023 artfynd.xlsx", "A 23568-2023")</f>
        <v/>
      </c>
      <c r="T576">
        <f>HYPERLINK("https://klasma.github.io/Logging_0483/kartor/A 23568-2023 karta.png", "A 23568-2023")</f>
        <v/>
      </c>
      <c r="V576">
        <f>HYPERLINK("https://klasma.github.io/Logging_0483/klagomål/A 23568-2023 FSC-klagomål.docx", "A 23568-2023")</f>
        <v/>
      </c>
      <c r="W576">
        <f>HYPERLINK("https://klasma.github.io/Logging_0483/klagomålsmail/A 23568-2023 FSC-klagomål mail.docx", "A 23568-2023")</f>
        <v/>
      </c>
      <c r="X576">
        <f>HYPERLINK("https://klasma.github.io/Logging_0483/tillsyn/A 23568-2023 tillsynsbegäran.docx", "A 23568-2023")</f>
        <v/>
      </c>
      <c r="Y576">
        <f>HYPERLINK("https://klasma.github.io/Logging_0483/tillsynsmail/A 23568-2023 tillsynsbegäran mail.docx", "A 23568-2023")</f>
        <v/>
      </c>
    </row>
    <row r="577" ht="15" customHeight="1">
      <c r="A577" t="inlineStr">
        <is>
          <t>A 25123-2023</t>
        </is>
      </c>
      <c r="B577" s="1" t="n">
        <v>45086</v>
      </c>
      <c r="C577" s="1" t="n">
        <v>45843</v>
      </c>
      <c r="D577" t="inlineStr">
        <is>
          <t>SÖDERMANLANDS LÄN</t>
        </is>
      </c>
      <c r="E577" t="inlineStr">
        <is>
          <t>ESKILSTUNA</t>
        </is>
      </c>
      <c r="F577" t="inlineStr">
        <is>
          <t>Sveaskog</t>
        </is>
      </c>
      <c r="G577" t="n">
        <v>1</v>
      </c>
      <c r="H577" t="n">
        <v>1</v>
      </c>
      <c r="I577" t="n">
        <v>0</v>
      </c>
      <c r="J577" t="n">
        <v>0</v>
      </c>
      <c r="K577" t="n">
        <v>0</v>
      </c>
      <c r="L577" t="n">
        <v>0</v>
      </c>
      <c r="M577" t="n">
        <v>0</v>
      </c>
      <c r="N577" t="n">
        <v>0</v>
      </c>
      <c r="O577" t="n">
        <v>0</v>
      </c>
      <c r="P577" t="n">
        <v>0</v>
      </c>
      <c r="Q577" t="n">
        <v>1</v>
      </c>
      <c r="R577" s="2" t="inlineStr">
        <is>
          <t>Mattlummer</t>
        </is>
      </c>
      <c r="S577">
        <f>HYPERLINK("https://klasma.github.io/Logging_0484/artfynd/A 25123-2023 artfynd.xlsx", "A 25123-2023")</f>
        <v/>
      </c>
      <c r="T577">
        <f>HYPERLINK("https://klasma.github.io/Logging_0484/kartor/A 25123-2023 karta.png", "A 25123-2023")</f>
        <v/>
      </c>
      <c r="V577">
        <f>HYPERLINK("https://klasma.github.io/Logging_0484/klagomål/A 25123-2023 FSC-klagomål.docx", "A 25123-2023")</f>
        <v/>
      </c>
      <c r="W577">
        <f>HYPERLINK("https://klasma.github.io/Logging_0484/klagomålsmail/A 25123-2023 FSC-klagomål mail.docx", "A 25123-2023")</f>
        <v/>
      </c>
      <c r="X577">
        <f>HYPERLINK("https://klasma.github.io/Logging_0484/tillsyn/A 25123-2023 tillsynsbegäran.docx", "A 25123-2023")</f>
        <v/>
      </c>
      <c r="Y577">
        <f>HYPERLINK("https://klasma.github.io/Logging_0484/tillsynsmail/A 25123-2023 tillsynsbegäran mail.docx", "A 25123-2023")</f>
        <v/>
      </c>
    </row>
    <row r="578" ht="15" customHeight="1">
      <c r="A578" t="inlineStr">
        <is>
          <t>A 26114-2023</t>
        </is>
      </c>
      <c r="B578" s="1" t="n">
        <v>45091</v>
      </c>
      <c r="C578" s="1" t="n">
        <v>45843</v>
      </c>
      <c r="D578" t="inlineStr">
        <is>
          <t>SÖDERMANLANDS LÄN</t>
        </is>
      </c>
      <c r="E578" t="inlineStr">
        <is>
          <t>ESKILSTUNA</t>
        </is>
      </c>
      <c r="F578" t="inlineStr">
        <is>
          <t>Sveaskog</t>
        </is>
      </c>
      <c r="G578" t="n">
        <v>3.7</v>
      </c>
      <c r="H578" t="n">
        <v>0</v>
      </c>
      <c r="I578" t="n">
        <v>0</v>
      </c>
      <c r="J578" t="n">
        <v>1</v>
      </c>
      <c r="K578" t="n">
        <v>0</v>
      </c>
      <c r="L578" t="n">
        <v>0</v>
      </c>
      <c r="M578" t="n">
        <v>0</v>
      </c>
      <c r="N578" t="n">
        <v>0</v>
      </c>
      <c r="O578" t="n">
        <v>1</v>
      </c>
      <c r="P578" t="n">
        <v>0</v>
      </c>
      <c r="Q578" t="n">
        <v>1</v>
      </c>
      <c r="R578" s="2" t="inlineStr">
        <is>
          <t>Ängsskära</t>
        </is>
      </c>
      <c r="S578">
        <f>HYPERLINK("https://klasma.github.io/Logging_0484/artfynd/A 26114-2023 artfynd.xlsx", "A 26114-2023")</f>
        <v/>
      </c>
      <c r="T578">
        <f>HYPERLINK("https://klasma.github.io/Logging_0484/kartor/A 26114-2023 karta.png", "A 26114-2023")</f>
        <v/>
      </c>
      <c r="V578">
        <f>HYPERLINK("https://klasma.github.io/Logging_0484/klagomål/A 26114-2023 FSC-klagomål.docx", "A 26114-2023")</f>
        <v/>
      </c>
      <c r="W578">
        <f>HYPERLINK("https://klasma.github.io/Logging_0484/klagomålsmail/A 26114-2023 FSC-klagomål mail.docx", "A 26114-2023")</f>
        <v/>
      </c>
      <c r="X578">
        <f>HYPERLINK("https://klasma.github.io/Logging_0484/tillsyn/A 26114-2023 tillsynsbegäran.docx", "A 26114-2023")</f>
        <v/>
      </c>
      <c r="Y578">
        <f>HYPERLINK("https://klasma.github.io/Logging_0484/tillsynsmail/A 26114-2023 tillsynsbegäran mail.docx", "A 26114-2023")</f>
        <v/>
      </c>
    </row>
    <row r="579" ht="15" customHeight="1">
      <c r="A579" t="inlineStr">
        <is>
          <t>A 26133-2023</t>
        </is>
      </c>
      <c r="B579" s="1" t="n">
        <v>45091</v>
      </c>
      <c r="C579" s="1" t="n">
        <v>45843</v>
      </c>
      <c r="D579" t="inlineStr">
        <is>
          <t>SÖDERMANLANDS LÄN</t>
        </is>
      </c>
      <c r="E579" t="inlineStr">
        <is>
          <t>ESKILSTUNA</t>
        </is>
      </c>
      <c r="F579" t="inlineStr">
        <is>
          <t>Sveaskog</t>
        </is>
      </c>
      <c r="G579" t="n">
        <v>3.7</v>
      </c>
      <c r="H579" t="n">
        <v>0</v>
      </c>
      <c r="I579" t="n">
        <v>0</v>
      </c>
      <c r="J579" t="n">
        <v>1</v>
      </c>
      <c r="K579" t="n">
        <v>0</v>
      </c>
      <c r="L579" t="n">
        <v>0</v>
      </c>
      <c r="M579" t="n">
        <v>0</v>
      </c>
      <c r="N579" t="n">
        <v>0</v>
      </c>
      <c r="O579" t="n">
        <v>1</v>
      </c>
      <c r="P579" t="n">
        <v>0</v>
      </c>
      <c r="Q579" t="n">
        <v>1</v>
      </c>
      <c r="R579" s="2" t="inlineStr">
        <is>
          <t>Ängsskära</t>
        </is>
      </c>
      <c r="S579">
        <f>HYPERLINK("https://klasma.github.io/Logging_0484/artfynd/A 26133-2023 artfynd.xlsx", "A 26133-2023")</f>
        <v/>
      </c>
      <c r="T579">
        <f>HYPERLINK("https://klasma.github.io/Logging_0484/kartor/A 26133-2023 karta.png", "A 26133-2023")</f>
        <v/>
      </c>
      <c r="V579">
        <f>HYPERLINK("https://klasma.github.io/Logging_0484/klagomål/A 26133-2023 FSC-klagomål.docx", "A 26133-2023")</f>
        <v/>
      </c>
      <c r="W579">
        <f>HYPERLINK("https://klasma.github.io/Logging_0484/klagomålsmail/A 26133-2023 FSC-klagomål mail.docx", "A 26133-2023")</f>
        <v/>
      </c>
      <c r="X579">
        <f>HYPERLINK("https://klasma.github.io/Logging_0484/tillsyn/A 26133-2023 tillsynsbegäran.docx", "A 26133-2023")</f>
        <v/>
      </c>
      <c r="Y579">
        <f>HYPERLINK("https://klasma.github.io/Logging_0484/tillsynsmail/A 26133-2023 tillsynsbegäran mail.docx", "A 26133-2023")</f>
        <v/>
      </c>
    </row>
    <row r="580" ht="15" customHeight="1">
      <c r="A580" t="inlineStr">
        <is>
          <t>A 26099-2023</t>
        </is>
      </c>
      <c r="B580" s="1" t="n">
        <v>45091</v>
      </c>
      <c r="C580" s="1" t="n">
        <v>45843</v>
      </c>
      <c r="D580" t="inlineStr">
        <is>
          <t>SÖDERMANLANDS LÄN</t>
        </is>
      </c>
      <c r="E580" t="inlineStr">
        <is>
          <t>ESKILSTUNA</t>
        </is>
      </c>
      <c r="F580" t="inlineStr">
        <is>
          <t>Sveaskog</t>
        </is>
      </c>
      <c r="G580" t="n">
        <v>1.2</v>
      </c>
      <c r="H580" t="n">
        <v>1</v>
      </c>
      <c r="I580" t="n">
        <v>0</v>
      </c>
      <c r="J580" t="n">
        <v>0</v>
      </c>
      <c r="K580" t="n">
        <v>0</v>
      </c>
      <c r="L580" t="n">
        <v>1</v>
      </c>
      <c r="M580" t="n">
        <v>0</v>
      </c>
      <c r="N580" t="n">
        <v>0</v>
      </c>
      <c r="O580" t="n">
        <v>1</v>
      </c>
      <c r="P580" t="n">
        <v>1</v>
      </c>
      <c r="Q580" t="n">
        <v>1</v>
      </c>
      <c r="R580" s="2" t="inlineStr">
        <is>
          <t>Tornseglare</t>
        </is>
      </c>
      <c r="S580">
        <f>HYPERLINK("https://klasma.github.io/Logging_0484/artfynd/A 26099-2023 artfynd.xlsx", "A 26099-2023")</f>
        <v/>
      </c>
      <c r="T580">
        <f>HYPERLINK("https://klasma.github.io/Logging_0484/kartor/A 26099-2023 karta.png", "A 26099-2023")</f>
        <v/>
      </c>
      <c r="V580">
        <f>HYPERLINK("https://klasma.github.io/Logging_0484/klagomål/A 26099-2023 FSC-klagomål.docx", "A 26099-2023")</f>
        <v/>
      </c>
      <c r="W580">
        <f>HYPERLINK("https://klasma.github.io/Logging_0484/klagomålsmail/A 26099-2023 FSC-klagomål mail.docx", "A 26099-2023")</f>
        <v/>
      </c>
      <c r="X580">
        <f>HYPERLINK("https://klasma.github.io/Logging_0484/tillsyn/A 26099-2023 tillsynsbegäran.docx", "A 26099-2023")</f>
        <v/>
      </c>
      <c r="Y580">
        <f>HYPERLINK("https://klasma.github.io/Logging_0484/tillsynsmail/A 26099-2023 tillsynsbegäran mail.docx", "A 26099-2023")</f>
        <v/>
      </c>
      <c r="Z580">
        <f>HYPERLINK("https://klasma.github.io/Logging_0484/fåglar/A 26099-2023 prioriterade fågelarter.docx", "A 26099-2023")</f>
        <v/>
      </c>
    </row>
    <row r="581" ht="15" customHeight="1">
      <c r="A581" t="inlineStr">
        <is>
          <t>A 26950-2023</t>
        </is>
      </c>
      <c r="B581" s="1" t="n">
        <v>45091</v>
      </c>
      <c r="C581" s="1" t="n">
        <v>45843</v>
      </c>
      <c r="D581" t="inlineStr">
        <is>
          <t>SÖDERMANLANDS LÄN</t>
        </is>
      </c>
      <c r="E581" t="inlineStr">
        <is>
          <t>KATRINEHOLM</t>
        </is>
      </c>
      <c r="G581" t="n">
        <v>13.5</v>
      </c>
      <c r="H581" t="n">
        <v>1</v>
      </c>
      <c r="I581" t="n">
        <v>0</v>
      </c>
      <c r="J581" t="n">
        <v>1</v>
      </c>
      <c r="K581" t="n">
        <v>0</v>
      </c>
      <c r="L581" t="n">
        <v>0</v>
      </c>
      <c r="M581" t="n">
        <v>0</v>
      </c>
      <c r="N581" t="n">
        <v>0</v>
      </c>
      <c r="O581" t="n">
        <v>1</v>
      </c>
      <c r="P581" t="n">
        <v>0</v>
      </c>
      <c r="Q581" t="n">
        <v>1</v>
      </c>
      <c r="R581" s="2" t="inlineStr">
        <is>
          <t>Havsörn</t>
        </is>
      </c>
      <c r="S581">
        <f>HYPERLINK("https://klasma.github.io/Logging_0483/artfynd/A 26950-2023 artfynd.xlsx", "A 26950-2023")</f>
        <v/>
      </c>
      <c r="T581">
        <f>HYPERLINK("https://klasma.github.io/Logging_0483/kartor/A 26950-2023 karta.png", "A 26950-2023")</f>
        <v/>
      </c>
      <c r="V581">
        <f>HYPERLINK("https://klasma.github.io/Logging_0483/klagomål/A 26950-2023 FSC-klagomål.docx", "A 26950-2023")</f>
        <v/>
      </c>
      <c r="W581">
        <f>HYPERLINK("https://klasma.github.io/Logging_0483/klagomålsmail/A 26950-2023 FSC-klagomål mail.docx", "A 26950-2023")</f>
        <v/>
      </c>
      <c r="X581">
        <f>HYPERLINK("https://klasma.github.io/Logging_0483/tillsyn/A 26950-2023 tillsynsbegäran.docx", "A 26950-2023")</f>
        <v/>
      </c>
      <c r="Y581">
        <f>HYPERLINK("https://klasma.github.io/Logging_0483/tillsynsmail/A 26950-2023 tillsynsbegäran mail.docx", "A 26950-2023")</f>
        <v/>
      </c>
      <c r="Z581">
        <f>HYPERLINK("https://klasma.github.io/Logging_0483/fåglar/A 26950-2023 prioriterade fågelarter.docx", "A 26950-2023")</f>
        <v/>
      </c>
    </row>
    <row r="582" ht="15" customHeight="1">
      <c r="A582" t="inlineStr">
        <is>
          <t>A 27580-2023</t>
        </is>
      </c>
      <c r="B582" s="1" t="n">
        <v>45097</v>
      </c>
      <c r="C582" s="1" t="n">
        <v>45843</v>
      </c>
      <c r="D582" t="inlineStr">
        <is>
          <t>SÖDERMANLANDS LÄN</t>
        </is>
      </c>
      <c r="E582" t="inlineStr">
        <is>
          <t>ESKILSTUNA</t>
        </is>
      </c>
      <c r="F582" t="inlineStr">
        <is>
          <t>Sveaskog</t>
        </is>
      </c>
      <c r="G582" t="n">
        <v>9.199999999999999</v>
      </c>
      <c r="H582" t="n">
        <v>0</v>
      </c>
      <c r="I582" t="n">
        <v>0</v>
      </c>
      <c r="J582" t="n">
        <v>1</v>
      </c>
      <c r="K582" t="n">
        <v>0</v>
      </c>
      <c r="L582" t="n">
        <v>0</v>
      </c>
      <c r="M582" t="n">
        <v>0</v>
      </c>
      <c r="N582" t="n">
        <v>0</v>
      </c>
      <c r="O582" t="n">
        <v>1</v>
      </c>
      <c r="P582" t="n">
        <v>0</v>
      </c>
      <c r="Q582" t="n">
        <v>1</v>
      </c>
      <c r="R582" s="2" t="inlineStr">
        <is>
          <t>Motaggsvamp</t>
        </is>
      </c>
      <c r="S582">
        <f>HYPERLINK("https://klasma.github.io/Logging_0484/artfynd/A 27580-2023 artfynd.xlsx", "A 27580-2023")</f>
        <v/>
      </c>
      <c r="T582">
        <f>HYPERLINK("https://klasma.github.io/Logging_0484/kartor/A 27580-2023 karta.png", "A 27580-2023")</f>
        <v/>
      </c>
      <c r="V582">
        <f>HYPERLINK("https://klasma.github.io/Logging_0484/klagomål/A 27580-2023 FSC-klagomål.docx", "A 27580-2023")</f>
        <v/>
      </c>
      <c r="W582">
        <f>HYPERLINK("https://klasma.github.io/Logging_0484/klagomålsmail/A 27580-2023 FSC-klagomål mail.docx", "A 27580-2023")</f>
        <v/>
      </c>
      <c r="X582">
        <f>HYPERLINK("https://klasma.github.io/Logging_0484/tillsyn/A 27580-2023 tillsynsbegäran.docx", "A 27580-2023")</f>
        <v/>
      </c>
      <c r="Y582">
        <f>HYPERLINK("https://klasma.github.io/Logging_0484/tillsynsmail/A 27580-2023 tillsynsbegäran mail.docx", "A 27580-2023")</f>
        <v/>
      </c>
    </row>
    <row r="583" ht="15" customHeight="1">
      <c r="A583" t="inlineStr">
        <is>
          <t>A 30260-2023</t>
        </is>
      </c>
      <c r="B583" s="1" t="n">
        <v>45099</v>
      </c>
      <c r="C583" s="1" t="n">
        <v>45843</v>
      </c>
      <c r="D583" t="inlineStr">
        <is>
          <t>SÖDERMANLANDS LÄN</t>
        </is>
      </c>
      <c r="E583" t="inlineStr">
        <is>
          <t>KATRINEHOLM</t>
        </is>
      </c>
      <c r="G583" t="n">
        <v>4.8</v>
      </c>
      <c r="H583" t="n">
        <v>1</v>
      </c>
      <c r="I583" t="n">
        <v>0</v>
      </c>
      <c r="J583" t="n">
        <v>0</v>
      </c>
      <c r="K583" t="n">
        <v>0</v>
      </c>
      <c r="L583" t="n">
        <v>0</v>
      </c>
      <c r="M583" t="n">
        <v>0</v>
      </c>
      <c r="N583" t="n">
        <v>0</v>
      </c>
      <c r="O583" t="n">
        <v>0</v>
      </c>
      <c r="P583" t="n">
        <v>0</v>
      </c>
      <c r="Q583" t="n">
        <v>1</v>
      </c>
      <c r="R583" s="2" t="inlineStr">
        <is>
          <t>Fläcknycklar</t>
        </is>
      </c>
      <c r="S583">
        <f>HYPERLINK("https://klasma.github.io/Logging_0483/artfynd/A 30260-2023 artfynd.xlsx", "A 30260-2023")</f>
        <v/>
      </c>
      <c r="T583">
        <f>HYPERLINK("https://klasma.github.io/Logging_0483/kartor/A 30260-2023 karta.png", "A 30260-2023")</f>
        <v/>
      </c>
      <c r="V583">
        <f>HYPERLINK("https://klasma.github.io/Logging_0483/klagomål/A 30260-2023 FSC-klagomål.docx", "A 30260-2023")</f>
        <v/>
      </c>
      <c r="W583">
        <f>HYPERLINK("https://klasma.github.io/Logging_0483/klagomålsmail/A 30260-2023 FSC-klagomål mail.docx", "A 30260-2023")</f>
        <v/>
      </c>
      <c r="X583">
        <f>HYPERLINK("https://klasma.github.io/Logging_0483/tillsyn/A 30260-2023 tillsynsbegäran.docx", "A 30260-2023")</f>
        <v/>
      </c>
      <c r="Y583">
        <f>HYPERLINK("https://klasma.github.io/Logging_0483/tillsynsmail/A 30260-2023 tillsynsbegäran mail.docx", "A 30260-2023")</f>
        <v/>
      </c>
    </row>
    <row r="584" ht="15" customHeight="1">
      <c r="A584" t="inlineStr">
        <is>
          <t>A 30229-2023</t>
        </is>
      </c>
      <c r="B584" s="1" t="n">
        <v>45099</v>
      </c>
      <c r="C584" s="1" t="n">
        <v>45843</v>
      </c>
      <c r="D584" t="inlineStr">
        <is>
          <t>SÖDERMANLANDS LÄN</t>
        </is>
      </c>
      <c r="E584" t="inlineStr">
        <is>
          <t>KATRINEHOLM</t>
        </is>
      </c>
      <c r="G584" t="n">
        <v>11.8</v>
      </c>
      <c r="H584" t="n">
        <v>0</v>
      </c>
      <c r="I584" t="n">
        <v>0</v>
      </c>
      <c r="J584" t="n">
        <v>1</v>
      </c>
      <c r="K584" t="n">
        <v>0</v>
      </c>
      <c r="L584" t="n">
        <v>0</v>
      </c>
      <c r="M584" t="n">
        <v>0</v>
      </c>
      <c r="N584" t="n">
        <v>0</v>
      </c>
      <c r="O584" t="n">
        <v>1</v>
      </c>
      <c r="P584" t="n">
        <v>0</v>
      </c>
      <c r="Q584" t="n">
        <v>1</v>
      </c>
      <c r="R584" s="2" t="inlineStr">
        <is>
          <t>Silversmygare</t>
        </is>
      </c>
      <c r="S584">
        <f>HYPERLINK("https://klasma.github.io/Logging_0483/artfynd/A 30229-2023 artfynd.xlsx", "A 30229-2023")</f>
        <v/>
      </c>
      <c r="T584">
        <f>HYPERLINK("https://klasma.github.io/Logging_0483/kartor/A 30229-2023 karta.png", "A 30229-2023")</f>
        <v/>
      </c>
      <c r="V584">
        <f>HYPERLINK("https://klasma.github.io/Logging_0483/klagomål/A 30229-2023 FSC-klagomål.docx", "A 30229-2023")</f>
        <v/>
      </c>
      <c r="W584">
        <f>HYPERLINK("https://klasma.github.io/Logging_0483/klagomålsmail/A 30229-2023 FSC-klagomål mail.docx", "A 30229-2023")</f>
        <v/>
      </c>
      <c r="X584">
        <f>HYPERLINK("https://klasma.github.io/Logging_0483/tillsyn/A 30229-2023 tillsynsbegäran.docx", "A 30229-2023")</f>
        <v/>
      </c>
      <c r="Y584">
        <f>HYPERLINK("https://klasma.github.io/Logging_0483/tillsynsmail/A 30229-2023 tillsynsbegäran mail.docx", "A 30229-2023")</f>
        <v/>
      </c>
    </row>
    <row r="585" ht="15" customHeight="1">
      <c r="A585" t="inlineStr">
        <is>
          <t>A 30975-2023</t>
        </is>
      </c>
      <c r="B585" s="1" t="n">
        <v>45103</v>
      </c>
      <c r="C585" s="1" t="n">
        <v>45843</v>
      </c>
      <c r="D585" t="inlineStr">
        <is>
          <t>SÖDERMANLANDS LÄN</t>
        </is>
      </c>
      <c r="E585" t="inlineStr">
        <is>
          <t>ESKILSTUNA</t>
        </is>
      </c>
      <c r="G585" t="n">
        <v>0.9</v>
      </c>
      <c r="H585" t="n">
        <v>1</v>
      </c>
      <c r="I585" t="n">
        <v>0</v>
      </c>
      <c r="J585" t="n">
        <v>0</v>
      </c>
      <c r="K585" t="n">
        <v>1</v>
      </c>
      <c r="L585" t="n">
        <v>0</v>
      </c>
      <c r="M585" t="n">
        <v>0</v>
      </c>
      <c r="N585" t="n">
        <v>0</v>
      </c>
      <c r="O585" t="n">
        <v>1</v>
      </c>
      <c r="P585" t="n">
        <v>1</v>
      </c>
      <c r="Q585" t="n">
        <v>1</v>
      </c>
      <c r="R585" s="2" t="inlineStr">
        <is>
          <t>Bombmurkla</t>
        </is>
      </c>
      <c r="S585">
        <f>HYPERLINK("https://klasma.github.io/Logging_0484/artfynd/A 30975-2023 artfynd.xlsx", "A 30975-2023")</f>
        <v/>
      </c>
      <c r="T585">
        <f>HYPERLINK("https://klasma.github.io/Logging_0484/kartor/A 30975-2023 karta.png", "A 30975-2023")</f>
        <v/>
      </c>
      <c r="V585">
        <f>HYPERLINK("https://klasma.github.io/Logging_0484/klagomål/A 30975-2023 FSC-klagomål.docx", "A 30975-2023")</f>
        <v/>
      </c>
      <c r="W585">
        <f>HYPERLINK("https://klasma.github.io/Logging_0484/klagomålsmail/A 30975-2023 FSC-klagomål mail.docx", "A 30975-2023")</f>
        <v/>
      </c>
      <c r="X585">
        <f>HYPERLINK("https://klasma.github.io/Logging_0484/tillsyn/A 30975-2023 tillsynsbegäran.docx", "A 30975-2023")</f>
        <v/>
      </c>
      <c r="Y585">
        <f>HYPERLINK("https://klasma.github.io/Logging_0484/tillsynsmail/A 30975-2023 tillsynsbegäran mail.docx", "A 30975-2023")</f>
        <v/>
      </c>
    </row>
    <row r="586" ht="15" customHeight="1">
      <c r="A586" t="inlineStr">
        <is>
          <t>A 28542-2023</t>
        </is>
      </c>
      <c r="B586" s="1" t="n">
        <v>45103</v>
      </c>
      <c r="C586" s="1" t="n">
        <v>45843</v>
      </c>
      <c r="D586" t="inlineStr">
        <is>
          <t>SÖDERMANLANDS LÄN</t>
        </is>
      </c>
      <c r="E586" t="inlineStr">
        <is>
          <t>NYKÖPING</t>
        </is>
      </c>
      <c r="G586" t="n">
        <v>2.8</v>
      </c>
      <c r="H586" t="n">
        <v>1</v>
      </c>
      <c r="I586" t="n">
        <v>0</v>
      </c>
      <c r="J586" t="n">
        <v>0</v>
      </c>
      <c r="K586" t="n">
        <v>1</v>
      </c>
      <c r="L586" t="n">
        <v>0</v>
      </c>
      <c r="M586" t="n">
        <v>0</v>
      </c>
      <c r="N586" t="n">
        <v>0</v>
      </c>
      <c r="O586" t="n">
        <v>1</v>
      </c>
      <c r="P586" t="n">
        <v>1</v>
      </c>
      <c r="Q586" t="n">
        <v>1</v>
      </c>
      <c r="R586" s="2" t="inlineStr">
        <is>
          <t>Knärot</t>
        </is>
      </c>
      <c r="S586">
        <f>HYPERLINK("https://klasma.github.io/Logging_0480/artfynd/A 28542-2023 artfynd.xlsx", "A 28542-2023")</f>
        <v/>
      </c>
      <c r="T586">
        <f>HYPERLINK("https://klasma.github.io/Logging_0480/kartor/A 28542-2023 karta.png", "A 28542-2023")</f>
        <v/>
      </c>
      <c r="U586">
        <f>HYPERLINK("https://klasma.github.io/Logging_0480/knärot/A 28542-2023 karta knärot.png", "A 28542-2023")</f>
        <v/>
      </c>
      <c r="V586">
        <f>HYPERLINK("https://klasma.github.io/Logging_0480/klagomål/A 28542-2023 FSC-klagomål.docx", "A 28542-2023")</f>
        <v/>
      </c>
      <c r="W586">
        <f>HYPERLINK("https://klasma.github.io/Logging_0480/klagomålsmail/A 28542-2023 FSC-klagomål mail.docx", "A 28542-2023")</f>
        <v/>
      </c>
      <c r="X586">
        <f>HYPERLINK("https://klasma.github.io/Logging_0480/tillsyn/A 28542-2023 tillsynsbegäran.docx", "A 28542-2023")</f>
        <v/>
      </c>
      <c r="Y586">
        <f>HYPERLINK("https://klasma.github.io/Logging_0480/tillsynsmail/A 28542-2023 tillsynsbegäran mail.docx", "A 28542-2023")</f>
        <v/>
      </c>
    </row>
    <row r="587" ht="15" customHeight="1">
      <c r="A587" t="inlineStr">
        <is>
          <t>A 29647-2023</t>
        </is>
      </c>
      <c r="B587" s="1" t="n">
        <v>45107</v>
      </c>
      <c r="C587" s="1" t="n">
        <v>45843</v>
      </c>
      <c r="D587" t="inlineStr">
        <is>
          <t>SÖDERMANLANDS LÄN</t>
        </is>
      </c>
      <c r="E587" t="inlineStr">
        <is>
          <t>ESKILSTUNA</t>
        </is>
      </c>
      <c r="F587" t="inlineStr">
        <is>
          <t>Allmännings- och besparingsskogar</t>
        </is>
      </c>
      <c r="G587" t="n">
        <v>0.9</v>
      </c>
      <c r="H587" t="n">
        <v>1</v>
      </c>
      <c r="I587" t="n">
        <v>0</v>
      </c>
      <c r="J587" t="n">
        <v>1</v>
      </c>
      <c r="K587" t="n">
        <v>0</v>
      </c>
      <c r="L587" t="n">
        <v>0</v>
      </c>
      <c r="M587" t="n">
        <v>0</v>
      </c>
      <c r="N587" t="n">
        <v>0</v>
      </c>
      <c r="O587" t="n">
        <v>1</v>
      </c>
      <c r="P587" t="n">
        <v>0</v>
      </c>
      <c r="Q587" t="n">
        <v>1</v>
      </c>
      <c r="R587" s="2" t="inlineStr">
        <is>
          <t>Rödvingetrast</t>
        </is>
      </c>
      <c r="S587">
        <f>HYPERLINK("https://klasma.github.io/Logging_0484/artfynd/A 29647-2023 artfynd.xlsx", "A 29647-2023")</f>
        <v/>
      </c>
      <c r="T587">
        <f>HYPERLINK("https://klasma.github.io/Logging_0484/kartor/A 29647-2023 karta.png", "A 29647-2023")</f>
        <v/>
      </c>
      <c r="V587">
        <f>HYPERLINK("https://klasma.github.io/Logging_0484/klagomål/A 29647-2023 FSC-klagomål.docx", "A 29647-2023")</f>
        <v/>
      </c>
      <c r="W587">
        <f>HYPERLINK("https://klasma.github.io/Logging_0484/klagomålsmail/A 29647-2023 FSC-klagomål mail.docx", "A 29647-2023")</f>
        <v/>
      </c>
      <c r="X587">
        <f>HYPERLINK("https://klasma.github.io/Logging_0484/tillsyn/A 29647-2023 tillsynsbegäran.docx", "A 29647-2023")</f>
        <v/>
      </c>
      <c r="Y587">
        <f>HYPERLINK("https://klasma.github.io/Logging_0484/tillsynsmail/A 29647-2023 tillsynsbegäran mail.docx", "A 29647-2023")</f>
        <v/>
      </c>
      <c r="Z587">
        <f>HYPERLINK("https://klasma.github.io/Logging_0484/fåglar/A 29647-2023 prioriterade fågelarter.docx", "A 29647-2023")</f>
        <v/>
      </c>
    </row>
    <row r="588" ht="15" customHeight="1">
      <c r="A588" t="inlineStr">
        <is>
          <t>A 32279-2023</t>
        </is>
      </c>
      <c r="B588" s="1" t="n">
        <v>45109</v>
      </c>
      <c r="C588" s="1" t="n">
        <v>45843</v>
      </c>
      <c r="D588" t="inlineStr">
        <is>
          <t>SÖDERMANLANDS LÄN</t>
        </is>
      </c>
      <c r="E588" t="inlineStr">
        <is>
          <t>VINGÅKER</t>
        </is>
      </c>
      <c r="G588" t="n">
        <v>11.8</v>
      </c>
      <c r="H588" t="n">
        <v>0</v>
      </c>
      <c r="I588" t="n">
        <v>1</v>
      </c>
      <c r="J588" t="n">
        <v>0</v>
      </c>
      <c r="K588" t="n">
        <v>0</v>
      </c>
      <c r="L588" t="n">
        <v>0</v>
      </c>
      <c r="M588" t="n">
        <v>0</v>
      </c>
      <c r="N588" t="n">
        <v>0</v>
      </c>
      <c r="O588" t="n">
        <v>0</v>
      </c>
      <c r="P588" t="n">
        <v>0</v>
      </c>
      <c r="Q588" t="n">
        <v>1</v>
      </c>
      <c r="R588" s="2" t="inlineStr">
        <is>
          <t>Barkticka</t>
        </is>
      </c>
      <c r="S588">
        <f>HYPERLINK("https://klasma.github.io/Logging_0428/artfynd/A 32279-2023 artfynd.xlsx", "A 32279-2023")</f>
        <v/>
      </c>
      <c r="T588">
        <f>HYPERLINK("https://klasma.github.io/Logging_0428/kartor/A 32279-2023 karta.png", "A 32279-2023")</f>
        <v/>
      </c>
      <c r="V588">
        <f>HYPERLINK("https://klasma.github.io/Logging_0428/klagomål/A 32279-2023 FSC-klagomål.docx", "A 32279-2023")</f>
        <v/>
      </c>
      <c r="W588">
        <f>HYPERLINK("https://klasma.github.io/Logging_0428/klagomålsmail/A 32279-2023 FSC-klagomål mail.docx", "A 32279-2023")</f>
        <v/>
      </c>
      <c r="X588">
        <f>HYPERLINK("https://klasma.github.io/Logging_0428/tillsyn/A 32279-2023 tillsynsbegäran.docx", "A 32279-2023")</f>
        <v/>
      </c>
      <c r="Y588">
        <f>HYPERLINK("https://klasma.github.io/Logging_0428/tillsynsmail/A 32279-2023 tillsynsbegäran mail.docx", "A 32279-2023")</f>
        <v/>
      </c>
    </row>
    <row r="589" ht="15" customHeight="1">
      <c r="A589" t="inlineStr">
        <is>
          <t>A 30045-2023</t>
        </is>
      </c>
      <c r="B589" s="1" t="n">
        <v>45110</v>
      </c>
      <c r="C589" s="1" t="n">
        <v>45843</v>
      </c>
      <c r="D589" t="inlineStr">
        <is>
          <t>SÖDERMANLANDS LÄN</t>
        </is>
      </c>
      <c r="E589" t="inlineStr">
        <is>
          <t>KATRINEHOLM</t>
        </is>
      </c>
      <c r="F589" t="inlineStr">
        <is>
          <t>Holmen skog AB</t>
        </is>
      </c>
      <c r="G589" t="n">
        <v>1.5</v>
      </c>
      <c r="H589" t="n">
        <v>0</v>
      </c>
      <c r="I589" t="n">
        <v>0</v>
      </c>
      <c r="J589" t="n">
        <v>1</v>
      </c>
      <c r="K589" t="n">
        <v>0</v>
      </c>
      <c r="L589" t="n">
        <v>0</v>
      </c>
      <c r="M589" t="n">
        <v>0</v>
      </c>
      <c r="N589" t="n">
        <v>0</v>
      </c>
      <c r="O589" t="n">
        <v>1</v>
      </c>
      <c r="P589" t="n">
        <v>0</v>
      </c>
      <c r="Q589" t="n">
        <v>1</v>
      </c>
      <c r="R589" s="2" t="inlineStr">
        <is>
          <t>Tallticka</t>
        </is>
      </c>
      <c r="S589">
        <f>HYPERLINK("https://klasma.github.io/Logging_0483/artfynd/A 30045-2023 artfynd.xlsx", "A 30045-2023")</f>
        <v/>
      </c>
      <c r="T589">
        <f>HYPERLINK("https://klasma.github.io/Logging_0483/kartor/A 30045-2023 karta.png", "A 30045-2023")</f>
        <v/>
      </c>
      <c r="V589">
        <f>HYPERLINK("https://klasma.github.io/Logging_0483/klagomål/A 30045-2023 FSC-klagomål.docx", "A 30045-2023")</f>
        <v/>
      </c>
      <c r="W589">
        <f>HYPERLINK("https://klasma.github.io/Logging_0483/klagomålsmail/A 30045-2023 FSC-klagomål mail.docx", "A 30045-2023")</f>
        <v/>
      </c>
      <c r="X589">
        <f>HYPERLINK("https://klasma.github.io/Logging_0483/tillsyn/A 30045-2023 tillsynsbegäran.docx", "A 30045-2023")</f>
        <v/>
      </c>
      <c r="Y589">
        <f>HYPERLINK("https://klasma.github.io/Logging_0483/tillsynsmail/A 30045-2023 tillsynsbegäran mail.docx", "A 30045-2023")</f>
        <v/>
      </c>
    </row>
    <row r="590" ht="15" customHeight="1">
      <c r="A590" t="inlineStr">
        <is>
          <t>A 30124-2023</t>
        </is>
      </c>
      <c r="B590" s="1" t="n">
        <v>45110</v>
      </c>
      <c r="C590" s="1" t="n">
        <v>45843</v>
      </c>
      <c r="D590" t="inlineStr">
        <is>
          <t>SÖDERMANLANDS LÄN</t>
        </is>
      </c>
      <c r="E590" t="inlineStr">
        <is>
          <t>KATRINEHOLM</t>
        </is>
      </c>
      <c r="G590" t="n">
        <v>1.8</v>
      </c>
      <c r="H590" t="n">
        <v>1</v>
      </c>
      <c r="I590" t="n">
        <v>0</v>
      </c>
      <c r="J590" t="n">
        <v>0</v>
      </c>
      <c r="K590" t="n">
        <v>1</v>
      </c>
      <c r="L590" t="n">
        <v>0</v>
      </c>
      <c r="M590" t="n">
        <v>0</v>
      </c>
      <c r="N590" t="n">
        <v>0</v>
      </c>
      <c r="O590" t="n">
        <v>1</v>
      </c>
      <c r="P590" t="n">
        <v>1</v>
      </c>
      <c r="Q590" t="n">
        <v>1</v>
      </c>
      <c r="R590" s="2" t="inlineStr">
        <is>
          <t>Bombmurkla</t>
        </is>
      </c>
      <c r="S590">
        <f>HYPERLINK("https://klasma.github.io/Logging_0483/artfynd/A 30124-2023 artfynd.xlsx", "A 30124-2023")</f>
        <v/>
      </c>
      <c r="T590">
        <f>HYPERLINK("https://klasma.github.io/Logging_0483/kartor/A 30124-2023 karta.png", "A 30124-2023")</f>
        <v/>
      </c>
      <c r="V590">
        <f>HYPERLINK("https://klasma.github.io/Logging_0483/klagomål/A 30124-2023 FSC-klagomål.docx", "A 30124-2023")</f>
        <v/>
      </c>
      <c r="W590">
        <f>HYPERLINK("https://klasma.github.io/Logging_0483/klagomålsmail/A 30124-2023 FSC-klagomål mail.docx", "A 30124-2023")</f>
        <v/>
      </c>
      <c r="X590">
        <f>HYPERLINK("https://klasma.github.io/Logging_0483/tillsyn/A 30124-2023 tillsynsbegäran.docx", "A 30124-2023")</f>
        <v/>
      </c>
      <c r="Y590">
        <f>HYPERLINK("https://klasma.github.io/Logging_0483/tillsynsmail/A 30124-2023 tillsynsbegäran mail.docx", "A 30124-2023")</f>
        <v/>
      </c>
    </row>
    <row r="591" ht="15" customHeight="1">
      <c r="A591" t="inlineStr">
        <is>
          <t>A 30584-2023</t>
        </is>
      </c>
      <c r="B591" s="1" t="n">
        <v>45112</v>
      </c>
      <c r="C591" s="1" t="n">
        <v>45843</v>
      </c>
      <c r="D591" t="inlineStr">
        <is>
          <t>SÖDERMANLANDS LÄN</t>
        </is>
      </c>
      <c r="E591" t="inlineStr">
        <is>
          <t>FLEN</t>
        </is>
      </c>
      <c r="F591" t="inlineStr">
        <is>
          <t>Kyrkan</t>
        </is>
      </c>
      <c r="G591" t="n">
        <v>8</v>
      </c>
      <c r="H591" t="n">
        <v>1</v>
      </c>
      <c r="I591" t="n">
        <v>0</v>
      </c>
      <c r="J591" t="n">
        <v>1</v>
      </c>
      <c r="K591" t="n">
        <v>0</v>
      </c>
      <c r="L591" t="n">
        <v>0</v>
      </c>
      <c r="M591" t="n">
        <v>0</v>
      </c>
      <c r="N591" t="n">
        <v>0</v>
      </c>
      <c r="O591" t="n">
        <v>1</v>
      </c>
      <c r="P591" t="n">
        <v>0</v>
      </c>
      <c r="Q591" t="n">
        <v>1</v>
      </c>
      <c r="R591" s="2" t="inlineStr">
        <is>
          <t>Havsörn</t>
        </is>
      </c>
      <c r="S591">
        <f>HYPERLINK("https://klasma.github.io/Logging_0482/artfynd/A 30584-2023 artfynd.xlsx", "A 30584-2023")</f>
        <v/>
      </c>
      <c r="T591">
        <f>HYPERLINK("https://klasma.github.io/Logging_0482/kartor/A 30584-2023 karta.png", "A 30584-2023")</f>
        <v/>
      </c>
      <c r="V591">
        <f>HYPERLINK("https://klasma.github.io/Logging_0482/klagomål/A 30584-2023 FSC-klagomål.docx", "A 30584-2023")</f>
        <v/>
      </c>
      <c r="W591">
        <f>HYPERLINK("https://klasma.github.io/Logging_0482/klagomålsmail/A 30584-2023 FSC-klagomål mail.docx", "A 30584-2023")</f>
        <v/>
      </c>
      <c r="X591">
        <f>HYPERLINK("https://klasma.github.io/Logging_0482/tillsyn/A 30584-2023 tillsynsbegäran.docx", "A 30584-2023")</f>
        <v/>
      </c>
      <c r="Y591">
        <f>HYPERLINK("https://klasma.github.io/Logging_0482/tillsynsmail/A 30584-2023 tillsynsbegäran mail.docx", "A 30584-2023")</f>
        <v/>
      </c>
      <c r="Z591">
        <f>HYPERLINK("https://klasma.github.io/Logging_0482/fåglar/A 30584-2023 prioriterade fågelarter.docx", "A 30584-2023")</f>
        <v/>
      </c>
    </row>
    <row r="592" ht="15" customHeight="1">
      <c r="A592" t="inlineStr">
        <is>
          <t>A 31987-2023</t>
        </is>
      </c>
      <c r="B592" s="1" t="n">
        <v>45119</v>
      </c>
      <c r="C592" s="1" t="n">
        <v>45843</v>
      </c>
      <c r="D592" t="inlineStr">
        <is>
          <t>SÖDERMANLANDS LÄN</t>
        </is>
      </c>
      <c r="E592" t="inlineStr">
        <is>
          <t>ESKILSTUNA</t>
        </is>
      </c>
      <c r="F592" t="inlineStr">
        <is>
          <t>Sveaskog</t>
        </is>
      </c>
      <c r="G592" t="n">
        <v>1.4</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HYPERLINK("https://klasma.github.io/Logging_0484/artfynd/A 31987-2023 artfynd.xlsx", "A 31987-2023")</f>
        <v/>
      </c>
      <c r="T592">
        <f>HYPERLINK("https://klasma.github.io/Logging_0484/kartor/A 31987-2023 karta.png", "A 31987-2023")</f>
        <v/>
      </c>
      <c r="V592">
        <f>HYPERLINK("https://klasma.github.io/Logging_0484/klagomål/A 31987-2023 FSC-klagomål.docx", "A 31987-2023")</f>
        <v/>
      </c>
      <c r="W592">
        <f>HYPERLINK("https://klasma.github.io/Logging_0484/klagomålsmail/A 31987-2023 FSC-klagomål mail.docx", "A 31987-2023")</f>
        <v/>
      </c>
      <c r="X592">
        <f>HYPERLINK("https://klasma.github.io/Logging_0484/tillsyn/A 31987-2023 tillsynsbegäran.docx", "A 31987-2023")</f>
        <v/>
      </c>
      <c r="Y592">
        <f>HYPERLINK("https://klasma.github.io/Logging_0484/tillsynsmail/A 31987-2023 tillsynsbegäran mail.docx", "A 31987-2023")</f>
        <v/>
      </c>
    </row>
    <row r="593" ht="15" customHeight="1">
      <c r="A593" t="inlineStr">
        <is>
          <t>A 33639-2023</t>
        </is>
      </c>
      <c r="B593" s="1" t="n">
        <v>45119</v>
      </c>
      <c r="C593" s="1" t="n">
        <v>45843</v>
      </c>
      <c r="D593" t="inlineStr">
        <is>
          <t>SÖDERMANLANDS LÄN</t>
        </is>
      </c>
      <c r="E593" t="inlineStr">
        <is>
          <t>GNESTA</t>
        </is>
      </c>
      <c r="G593" t="n">
        <v>6.1</v>
      </c>
      <c r="H593" t="n">
        <v>0</v>
      </c>
      <c r="I593" t="n">
        <v>1</v>
      </c>
      <c r="J593" t="n">
        <v>0</v>
      </c>
      <c r="K593" t="n">
        <v>0</v>
      </c>
      <c r="L593" t="n">
        <v>0</v>
      </c>
      <c r="M593" t="n">
        <v>0</v>
      </c>
      <c r="N593" t="n">
        <v>0</v>
      </c>
      <c r="O593" t="n">
        <v>0</v>
      </c>
      <c r="P593" t="n">
        <v>0</v>
      </c>
      <c r="Q593" t="n">
        <v>1</v>
      </c>
      <c r="R593" s="2" t="inlineStr">
        <is>
          <t>Springkorn</t>
        </is>
      </c>
      <c r="S593">
        <f>HYPERLINK("https://klasma.github.io/Logging_0461/artfynd/A 33639-2023 artfynd.xlsx", "A 33639-2023")</f>
        <v/>
      </c>
      <c r="T593">
        <f>HYPERLINK("https://klasma.github.io/Logging_0461/kartor/A 33639-2023 karta.png", "A 33639-2023")</f>
        <v/>
      </c>
      <c r="V593">
        <f>HYPERLINK("https://klasma.github.io/Logging_0461/klagomål/A 33639-2023 FSC-klagomål.docx", "A 33639-2023")</f>
        <v/>
      </c>
      <c r="W593">
        <f>HYPERLINK("https://klasma.github.io/Logging_0461/klagomålsmail/A 33639-2023 FSC-klagomål mail.docx", "A 33639-2023")</f>
        <v/>
      </c>
      <c r="X593">
        <f>HYPERLINK("https://klasma.github.io/Logging_0461/tillsyn/A 33639-2023 tillsynsbegäran.docx", "A 33639-2023")</f>
        <v/>
      </c>
      <c r="Y593">
        <f>HYPERLINK("https://klasma.github.io/Logging_0461/tillsynsmail/A 33639-2023 tillsynsbegäran mail.docx", "A 33639-2023")</f>
        <v/>
      </c>
    </row>
    <row r="594" ht="15" customHeight="1">
      <c r="A594" t="inlineStr">
        <is>
          <t>A 32314-2023</t>
        </is>
      </c>
      <c r="B594" s="1" t="n">
        <v>45120</v>
      </c>
      <c r="C594" s="1" t="n">
        <v>45843</v>
      </c>
      <c r="D594" t="inlineStr">
        <is>
          <t>SÖDERMANLANDS LÄN</t>
        </is>
      </c>
      <c r="E594" t="inlineStr">
        <is>
          <t>ESKILSTUNA</t>
        </is>
      </c>
      <c r="F594" t="inlineStr">
        <is>
          <t>Sveaskog</t>
        </is>
      </c>
      <c r="G594" t="n">
        <v>4</v>
      </c>
      <c r="H594" t="n">
        <v>0</v>
      </c>
      <c r="I594" t="n">
        <v>1</v>
      </c>
      <c r="J594" t="n">
        <v>0</v>
      </c>
      <c r="K594" t="n">
        <v>0</v>
      </c>
      <c r="L594" t="n">
        <v>0</v>
      </c>
      <c r="M594" t="n">
        <v>0</v>
      </c>
      <c r="N594" t="n">
        <v>0</v>
      </c>
      <c r="O594" t="n">
        <v>0</v>
      </c>
      <c r="P594" t="n">
        <v>0</v>
      </c>
      <c r="Q594" t="n">
        <v>1</v>
      </c>
      <c r="R594" s="2" t="inlineStr">
        <is>
          <t>Grovticka</t>
        </is>
      </c>
      <c r="S594">
        <f>HYPERLINK("https://klasma.github.io/Logging_0484/artfynd/A 32314-2023 artfynd.xlsx", "A 32314-2023")</f>
        <v/>
      </c>
      <c r="T594">
        <f>HYPERLINK("https://klasma.github.io/Logging_0484/kartor/A 32314-2023 karta.png", "A 32314-2023")</f>
        <v/>
      </c>
      <c r="V594">
        <f>HYPERLINK("https://klasma.github.io/Logging_0484/klagomål/A 32314-2023 FSC-klagomål.docx", "A 32314-2023")</f>
        <v/>
      </c>
      <c r="W594">
        <f>HYPERLINK("https://klasma.github.io/Logging_0484/klagomålsmail/A 32314-2023 FSC-klagomål mail.docx", "A 32314-2023")</f>
        <v/>
      </c>
      <c r="X594">
        <f>HYPERLINK("https://klasma.github.io/Logging_0484/tillsyn/A 32314-2023 tillsynsbegäran.docx", "A 32314-2023")</f>
        <v/>
      </c>
      <c r="Y594">
        <f>HYPERLINK("https://klasma.github.io/Logging_0484/tillsynsmail/A 32314-2023 tillsynsbegäran mail.docx", "A 32314-2023")</f>
        <v/>
      </c>
    </row>
    <row r="595" ht="15" customHeight="1">
      <c r="A595" t="inlineStr">
        <is>
          <t>A 33801-2023</t>
        </is>
      </c>
      <c r="B595" s="1" t="n">
        <v>45133</v>
      </c>
      <c r="C595" s="1" t="n">
        <v>45843</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Blåsippa</t>
        </is>
      </c>
      <c r="S595">
        <f>HYPERLINK("https://klasma.github.io/Logging_0483/artfynd/A 33801-2023 artfynd.xlsx", "A 33801-2023")</f>
        <v/>
      </c>
      <c r="T595">
        <f>HYPERLINK("https://klasma.github.io/Logging_0483/kartor/A 33801-2023 karta.png", "A 33801-2023")</f>
        <v/>
      </c>
      <c r="V595">
        <f>HYPERLINK("https://klasma.github.io/Logging_0483/klagomål/A 33801-2023 FSC-klagomål.docx", "A 33801-2023")</f>
        <v/>
      </c>
      <c r="W595">
        <f>HYPERLINK("https://klasma.github.io/Logging_0483/klagomålsmail/A 33801-2023 FSC-klagomål mail.docx", "A 33801-2023")</f>
        <v/>
      </c>
      <c r="X595">
        <f>HYPERLINK("https://klasma.github.io/Logging_0483/tillsyn/A 33801-2023 tillsynsbegäran.docx", "A 33801-2023")</f>
        <v/>
      </c>
      <c r="Y595">
        <f>HYPERLINK("https://klasma.github.io/Logging_0483/tillsynsmail/A 33801-2023 tillsynsbegäran mail.docx", "A 33801-2023")</f>
        <v/>
      </c>
    </row>
    <row r="596" ht="15" customHeight="1">
      <c r="A596" t="inlineStr">
        <is>
          <t>A 34717-2023</t>
        </is>
      </c>
      <c r="B596" s="1" t="n">
        <v>45141</v>
      </c>
      <c r="C596" s="1" t="n">
        <v>45843</v>
      </c>
      <c r="D596" t="inlineStr">
        <is>
          <t>SÖDERMANLANDS LÄN</t>
        </is>
      </c>
      <c r="E596" t="inlineStr">
        <is>
          <t>ESKILSTUNA</t>
        </is>
      </c>
      <c r="F596" t="inlineStr">
        <is>
          <t>Kyrkan</t>
        </is>
      </c>
      <c r="G596" t="n">
        <v>1.5</v>
      </c>
      <c r="H596" t="n">
        <v>0</v>
      </c>
      <c r="I596" t="n">
        <v>0</v>
      </c>
      <c r="J596" t="n">
        <v>1</v>
      </c>
      <c r="K596" t="n">
        <v>0</v>
      </c>
      <c r="L596" t="n">
        <v>0</v>
      </c>
      <c r="M596" t="n">
        <v>0</v>
      </c>
      <c r="N596" t="n">
        <v>0</v>
      </c>
      <c r="O596" t="n">
        <v>1</v>
      </c>
      <c r="P596" t="n">
        <v>0</v>
      </c>
      <c r="Q596" t="n">
        <v>1</v>
      </c>
      <c r="R596" s="2" t="inlineStr">
        <is>
          <t>Triplax rufipes</t>
        </is>
      </c>
      <c r="S596">
        <f>HYPERLINK("https://klasma.github.io/Logging_0484/artfynd/A 34717-2023 artfynd.xlsx", "A 34717-2023")</f>
        <v/>
      </c>
      <c r="T596">
        <f>HYPERLINK("https://klasma.github.io/Logging_0484/kartor/A 34717-2023 karta.png", "A 34717-2023")</f>
        <v/>
      </c>
      <c r="V596">
        <f>HYPERLINK("https://klasma.github.io/Logging_0484/klagomål/A 34717-2023 FSC-klagomål.docx", "A 34717-2023")</f>
        <v/>
      </c>
      <c r="W596">
        <f>HYPERLINK("https://klasma.github.io/Logging_0484/klagomålsmail/A 34717-2023 FSC-klagomål mail.docx", "A 34717-2023")</f>
        <v/>
      </c>
      <c r="X596">
        <f>HYPERLINK("https://klasma.github.io/Logging_0484/tillsyn/A 34717-2023 tillsynsbegäran.docx", "A 34717-2023")</f>
        <v/>
      </c>
      <c r="Y596">
        <f>HYPERLINK("https://klasma.github.io/Logging_0484/tillsynsmail/A 34717-2023 tillsynsbegäran mail.docx", "A 34717-2023")</f>
        <v/>
      </c>
    </row>
    <row r="597" ht="15" customHeight="1">
      <c r="A597" t="inlineStr">
        <is>
          <t>A 35122-2023</t>
        </is>
      </c>
      <c r="B597" s="1" t="n">
        <v>45145</v>
      </c>
      <c r="C597" s="1" t="n">
        <v>45843</v>
      </c>
      <c r="D597" t="inlineStr">
        <is>
          <t>SÖDERMANLANDS LÄN</t>
        </is>
      </c>
      <c r="E597" t="inlineStr">
        <is>
          <t>NYKÖPING</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HYPERLINK("https://klasma.github.io/Logging_0480/artfynd/A 35122-2023 artfynd.xlsx", "A 35122-2023")</f>
        <v/>
      </c>
      <c r="T597">
        <f>HYPERLINK("https://klasma.github.io/Logging_0480/kartor/A 35122-2023 karta.png", "A 35122-2023")</f>
        <v/>
      </c>
      <c r="V597">
        <f>HYPERLINK("https://klasma.github.io/Logging_0480/klagomål/A 35122-2023 FSC-klagomål.docx", "A 35122-2023")</f>
        <v/>
      </c>
      <c r="W597">
        <f>HYPERLINK("https://klasma.github.io/Logging_0480/klagomålsmail/A 35122-2023 FSC-klagomål mail.docx", "A 35122-2023")</f>
        <v/>
      </c>
      <c r="X597">
        <f>HYPERLINK("https://klasma.github.io/Logging_0480/tillsyn/A 35122-2023 tillsynsbegäran.docx", "A 35122-2023")</f>
        <v/>
      </c>
      <c r="Y597">
        <f>HYPERLINK("https://klasma.github.io/Logging_0480/tillsynsmail/A 35122-2023 tillsynsbegäran mail.docx", "A 35122-2023")</f>
        <v/>
      </c>
    </row>
    <row r="598" ht="15" customHeight="1">
      <c r="A598" t="inlineStr">
        <is>
          <t>A 37025-2023</t>
        </is>
      </c>
      <c r="B598" s="1" t="n">
        <v>45155</v>
      </c>
      <c r="C598" s="1" t="n">
        <v>45843</v>
      </c>
      <c r="D598" t="inlineStr">
        <is>
          <t>SÖDERMANLANDS LÄN</t>
        </is>
      </c>
      <c r="E598" t="inlineStr">
        <is>
          <t>FLEN</t>
        </is>
      </c>
      <c r="F598" t="inlineStr">
        <is>
          <t>Kyrkan</t>
        </is>
      </c>
      <c r="G598" t="n">
        <v>24.1</v>
      </c>
      <c r="H598" t="n">
        <v>1</v>
      </c>
      <c r="I598" t="n">
        <v>0</v>
      </c>
      <c r="J598" t="n">
        <v>1</v>
      </c>
      <c r="K598" t="n">
        <v>0</v>
      </c>
      <c r="L598" t="n">
        <v>0</v>
      </c>
      <c r="M598" t="n">
        <v>0</v>
      </c>
      <c r="N598" t="n">
        <v>0</v>
      </c>
      <c r="O598" t="n">
        <v>1</v>
      </c>
      <c r="P598" t="n">
        <v>0</v>
      </c>
      <c r="Q598" t="n">
        <v>1</v>
      </c>
      <c r="R598" s="2" t="inlineStr">
        <is>
          <t>Spillkråka</t>
        </is>
      </c>
      <c r="S598">
        <f>HYPERLINK("https://klasma.github.io/Logging_0482/artfynd/A 37025-2023 artfynd.xlsx", "A 37025-2023")</f>
        <v/>
      </c>
      <c r="T598">
        <f>HYPERLINK("https://klasma.github.io/Logging_0482/kartor/A 37025-2023 karta.png", "A 37025-2023")</f>
        <v/>
      </c>
      <c r="V598">
        <f>HYPERLINK("https://klasma.github.io/Logging_0482/klagomål/A 37025-2023 FSC-klagomål.docx", "A 37025-2023")</f>
        <v/>
      </c>
      <c r="W598">
        <f>HYPERLINK("https://klasma.github.io/Logging_0482/klagomålsmail/A 37025-2023 FSC-klagomål mail.docx", "A 37025-2023")</f>
        <v/>
      </c>
      <c r="X598">
        <f>HYPERLINK("https://klasma.github.io/Logging_0482/tillsyn/A 37025-2023 tillsynsbegäran.docx", "A 37025-2023")</f>
        <v/>
      </c>
      <c r="Y598">
        <f>HYPERLINK("https://klasma.github.io/Logging_0482/tillsynsmail/A 37025-2023 tillsynsbegäran mail.docx", "A 37025-2023")</f>
        <v/>
      </c>
      <c r="Z598">
        <f>HYPERLINK("https://klasma.github.io/Logging_0482/fåglar/A 37025-2023 prioriterade fågelarter.docx", "A 37025-2023")</f>
        <v/>
      </c>
    </row>
    <row r="599" ht="15" customHeight="1">
      <c r="A599" t="inlineStr">
        <is>
          <t>A 37317-2023</t>
        </is>
      </c>
      <c r="B599" s="1" t="n">
        <v>45156</v>
      </c>
      <c r="C599" s="1" t="n">
        <v>45843</v>
      </c>
      <c r="D599" t="inlineStr">
        <is>
          <t>SÖDERMANLANDS LÄN</t>
        </is>
      </c>
      <c r="E599" t="inlineStr">
        <is>
          <t>FLEN</t>
        </is>
      </c>
      <c r="F599" t="inlineStr">
        <is>
          <t>Holmen skog AB</t>
        </is>
      </c>
      <c r="G599" t="n">
        <v>5.1</v>
      </c>
      <c r="H599" t="n">
        <v>0</v>
      </c>
      <c r="I599" t="n">
        <v>1</v>
      </c>
      <c r="J599" t="n">
        <v>0</v>
      </c>
      <c r="K599" t="n">
        <v>0</v>
      </c>
      <c r="L599" t="n">
        <v>0</v>
      </c>
      <c r="M599" t="n">
        <v>0</v>
      </c>
      <c r="N599" t="n">
        <v>0</v>
      </c>
      <c r="O599" t="n">
        <v>0</v>
      </c>
      <c r="P599" t="n">
        <v>0</v>
      </c>
      <c r="Q599" t="n">
        <v>1</v>
      </c>
      <c r="R599" s="2" t="inlineStr">
        <is>
          <t>Svavelriska</t>
        </is>
      </c>
      <c r="S599">
        <f>HYPERLINK("https://klasma.github.io/Logging_0482/artfynd/A 37317-2023 artfynd.xlsx", "A 37317-2023")</f>
        <v/>
      </c>
      <c r="T599">
        <f>HYPERLINK("https://klasma.github.io/Logging_0482/kartor/A 37317-2023 karta.png", "A 37317-2023")</f>
        <v/>
      </c>
      <c r="V599">
        <f>HYPERLINK("https://klasma.github.io/Logging_0482/klagomål/A 37317-2023 FSC-klagomål.docx", "A 37317-2023")</f>
        <v/>
      </c>
      <c r="W599">
        <f>HYPERLINK("https://klasma.github.io/Logging_0482/klagomålsmail/A 37317-2023 FSC-klagomål mail.docx", "A 37317-2023")</f>
        <v/>
      </c>
      <c r="X599">
        <f>HYPERLINK("https://klasma.github.io/Logging_0482/tillsyn/A 37317-2023 tillsynsbegäran.docx", "A 37317-2023")</f>
        <v/>
      </c>
      <c r="Y599">
        <f>HYPERLINK("https://klasma.github.io/Logging_0482/tillsynsmail/A 37317-2023 tillsynsbegäran mail.docx", "A 37317-2023")</f>
        <v/>
      </c>
    </row>
    <row r="600" ht="15" customHeight="1">
      <c r="A600" t="inlineStr">
        <is>
          <t>A 39019-2023</t>
        </is>
      </c>
      <c r="B600" s="1" t="n">
        <v>45163</v>
      </c>
      <c r="C600" s="1" t="n">
        <v>45843</v>
      </c>
      <c r="D600" t="inlineStr">
        <is>
          <t>SÖDERMANLANDS LÄN</t>
        </is>
      </c>
      <c r="E600" t="inlineStr">
        <is>
          <t>NYKÖPING</t>
        </is>
      </c>
      <c r="F600" t="inlineStr">
        <is>
          <t>Kommuner</t>
        </is>
      </c>
      <c r="G600" t="n">
        <v>12.3</v>
      </c>
      <c r="H600" t="n">
        <v>1</v>
      </c>
      <c r="I600" t="n">
        <v>0</v>
      </c>
      <c r="J600" t="n">
        <v>1</v>
      </c>
      <c r="K600" t="n">
        <v>0</v>
      </c>
      <c r="L600" t="n">
        <v>0</v>
      </c>
      <c r="M600" t="n">
        <v>0</v>
      </c>
      <c r="N600" t="n">
        <v>0</v>
      </c>
      <c r="O600" t="n">
        <v>1</v>
      </c>
      <c r="P600" t="n">
        <v>0</v>
      </c>
      <c r="Q600" t="n">
        <v>1</v>
      </c>
      <c r="R600" s="2" t="inlineStr">
        <is>
          <t>Mindre hackspett</t>
        </is>
      </c>
      <c r="S600">
        <f>HYPERLINK("https://klasma.github.io/Logging_0480/artfynd/A 39019-2023 artfynd.xlsx", "A 39019-2023")</f>
        <v/>
      </c>
      <c r="T600">
        <f>HYPERLINK("https://klasma.github.io/Logging_0480/kartor/A 39019-2023 karta.png", "A 39019-2023")</f>
        <v/>
      </c>
      <c r="V600">
        <f>HYPERLINK("https://klasma.github.io/Logging_0480/klagomål/A 39019-2023 FSC-klagomål.docx", "A 39019-2023")</f>
        <v/>
      </c>
      <c r="W600">
        <f>HYPERLINK("https://klasma.github.io/Logging_0480/klagomålsmail/A 39019-2023 FSC-klagomål mail.docx", "A 39019-2023")</f>
        <v/>
      </c>
      <c r="X600">
        <f>HYPERLINK("https://klasma.github.io/Logging_0480/tillsyn/A 39019-2023 tillsynsbegäran.docx", "A 39019-2023")</f>
        <v/>
      </c>
      <c r="Y600">
        <f>HYPERLINK("https://klasma.github.io/Logging_0480/tillsynsmail/A 39019-2023 tillsynsbegäran mail.docx", "A 39019-2023")</f>
        <v/>
      </c>
      <c r="Z600">
        <f>HYPERLINK("https://klasma.github.io/Logging_0480/fåglar/A 39019-2023 prioriterade fågelarter.docx", "A 39019-2023")</f>
        <v/>
      </c>
    </row>
    <row r="601" ht="15" customHeight="1">
      <c r="A601" t="inlineStr">
        <is>
          <t>A 39590-2023</t>
        </is>
      </c>
      <c r="B601" s="1" t="n">
        <v>45163</v>
      </c>
      <c r="C601" s="1" t="n">
        <v>45843</v>
      </c>
      <c r="D601" t="inlineStr">
        <is>
          <t>SÖDERMANLANDS LÄN</t>
        </is>
      </c>
      <c r="E601" t="inlineStr">
        <is>
          <t>FLEN</t>
        </is>
      </c>
      <c r="G601" t="n">
        <v>9.4</v>
      </c>
      <c r="H601" t="n">
        <v>0</v>
      </c>
      <c r="I601" t="n">
        <v>0</v>
      </c>
      <c r="J601" t="n">
        <v>1</v>
      </c>
      <c r="K601" t="n">
        <v>0</v>
      </c>
      <c r="L601" t="n">
        <v>0</v>
      </c>
      <c r="M601" t="n">
        <v>0</v>
      </c>
      <c r="N601" t="n">
        <v>0</v>
      </c>
      <c r="O601" t="n">
        <v>1</v>
      </c>
      <c r="P601" t="n">
        <v>0</v>
      </c>
      <c r="Q601" t="n">
        <v>1</v>
      </c>
      <c r="R601" s="2" t="inlineStr">
        <is>
          <t>Svinrot</t>
        </is>
      </c>
      <c r="S601">
        <f>HYPERLINK("https://klasma.github.io/Logging_0482/artfynd/A 39590-2023 artfynd.xlsx", "A 39590-2023")</f>
        <v/>
      </c>
      <c r="T601">
        <f>HYPERLINK("https://klasma.github.io/Logging_0482/kartor/A 39590-2023 karta.png", "A 39590-2023")</f>
        <v/>
      </c>
      <c r="V601">
        <f>HYPERLINK("https://klasma.github.io/Logging_0482/klagomål/A 39590-2023 FSC-klagomål.docx", "A 39590-2023")</f>
        <v/>
      </c>
      <c r="W601">
        <f>HYPERLINK("https://klasma.github.io/Logging_0482/klagomålsmail/A 39590-2023 FSC-klagomål mail.docx", "A 39590-2023")</f>
        <v/>
      </c>
      <c r="X601">
        <f>HYPERLINK("https://klasma.github.io/Logging_0482/tillsyn/A 39590-2023 tillsynsbegäran.docx", "A 39590-2023")</f>
        <v/>
      </c>
      <c r="Y601">
        <f>HYPERLINK("https://klasma.github.io/Logging_0482/tillsynsmail/A 39590-2023 tillsynsbegäran mail.docx", "A 39590-2023")</f>
        <v/>
      </c>
    </row>
    <row r="602" ht="15" customHeight="1">
      <c r="A602" t="inlineStr">
        <is>
          <t>A 39240-2023</t>
        </is>
      </c>
      <c r="B602" s="1" t="n">
        <v>45166</v>
      </c>
      <c r="C602" s="1" t="n">
        <v>45843</v>
      </c>
      <c r="D602" t="inlineStr">
        <is>
          <t>SÖDERMANLANDS LÄN</t>
        </is>
      </c>
      <c r="E602" t="inlineStr">
        <is>
          <t>FLEN</t>
        </is>
      </c>
      <c r="F602" t="inlineStr">
        <is>
          <t>Holmen skog AB</t>
        </is>
      </c>
      <c r="G602" t="n">
        <v>4.6</v>
      </c>
      <c r="H602" t="n">
        <v>0</v>
      </c>
      <c r="I602" t="n">
        <v>1</v>
      </c>
      <c r="J602" t="n">
        <v>0</v>
      </c>
      <c r="K602" t="n">
        <v>0</v>
      </c>
      <c r="L602" t="n">
        <v>0</v>
      </c>
      <c r="M602" t="n">
        <v>0</v>
      </c>
      <c r="N602" t="n">
        <v>0</v>
      </c>
      <c r="O602" t="n">
        <v>0</v>
      </c>
      <c r="P602" t="n">
        <v>0</v>
      </c>
      <c r="Q602" t="n">
        <v>1</v>
      </c>
      <c r="R602" s="2" t="inlineStr">
        <is>
          <t>Blodticka</t>
        </is>
      </c>
      <c r="S602">
        <f>HYPERLINK("https://klasma.github.io/Logging_0482/artfynd/A 39240-2023 artfynd.xlsx", "A 39240-2023")</f>
        <v/>
      </c>
      <c r="T602">
        <f>HYPERLINK("https://klasma.github.io/Logging_0482/kartor/A 39240-2023 karta.png", "A 39240-2023")</f>
        <v/>
      </c>
      <c r="V602">
        <f>HYPERLINK("https://klasma.github.io/Logging_0482/klagomål/A 39240-2023 FSC-klagomål.docx", "A 39240-2023")</f>
        <v/>
      </c>
      <c r="W602">
        <f>HYPERLINK("https://klasma.github.io/Logging_0482/klagomålsmail/A 39240-2023 FSC-klagomål mail.docx", "A 39240-2023")</f>
        <v/>
      </c>
      <c r="X602">
        <f>HYPERLINK("https://klasma.github.io/Logging_0482/tillsyn/A 39240-2023 tillsynsbegäran.docx", "A 39240-2023")</f>
        <v/>
      </c>
      <c r="Y602">
        <f>HYPERLINK("https://klasma.github.io/Logging_0482/tillsynsmail/A 39240-2023 tillsynsbegäran mail.docx", "A 39240-2023")</f>
        <v/>
      </c>
    </row>
    <row r="603" ht="15" customHeight="1">
      <c r="A603" t="inlineStr">
        <is>
          <t>A 40267-2023</t>
        </is>
      </c>
      <c r="B603" s="1" t="n">
        <v>45169</v>
      </c>
      <c r="C603" s="1" t="n">
        <v>45843</v>
      </c>
      <c r="D603" t="inlineStr">
        <is>
          <t>SÖDERMANLANDS LÄN</t>
        </is>
      </c>
      <c r="E603" t="inlineStr">
        <is>
          <t>GNESTA</t>
        </is>
      </c>
      <c r="F603" t="inlineStr">
        <is>
          <t>Holmen skog AB</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HYPERLINK("https://klasma.github.io/Logging_0461/artfynd/A 40267-2023 artfynd.xlsx", "A 40267-2023")</f>
        <v/>
      </c>
      <c r="T603">
        <f>HYPERLINK("https://klasma.github.io/Logging_0461/kartor/A 40267-2023 karta.png", "A 40267-2023")</f>
        <v/>
      </c>
      <c r="V603">
        <f>HYPERLINK("https://klasma.github.io/Logging_0461/klagomål/A 40267-2023 FSC-klagomål.docx", "A 40267-2023")</f>
        <v/>
      </c>
      <c r="W603">
        <f>HYPERLINK("https://klasma.github.io/Logging_0461/klagomålsmail/A 40267-2023 FSC-klagomål mail.docx", "A 40267-2023")</f>
        <v/>
      </c>
      <c r="X603">
        <f>HYPERLINK("https://klasma.github.io/Logging_0461/tillsyn/A 40267-2023 tillsynsbegäran.docx", "A 40267-2023")</f>
        <v/>
      </c>
      <c r="Y603">
        <f>HYPERLINK("https://klasma.github.io/Logging_0461/tillsynsmail/A 40267-2023 tillsynsbegäran mail.docx", "A 40267-2023")</f>
        <v/>
      </c>
    </row>
    <row r="604" ht="15" customHeight="1">
      <c r="A604" t="inlineStr">
        <is>
          <t>A 42552-2023</t>
        </is>
      </c>
      <c r="B604" s="1" t="n">
        <v>45181</v>
      </c>
      <c r="C604" s="1" t="n">
        <v>45843</v>
      </c>
      <c r="D604" t="inlineStr">
        <is>
          <t>SÖDERMANLANDS LÄN</t>
        </is>
      </c>
      <c r="E604" t="inlineStr">
        <is>
          <t>GNESTA</t>
        </is>
      </c>
      <c r="F604" t="inlineStr">
        <is>
          <t>Holmen skog AB</t>
        </is>
      </c>
      <c r="G604" t="n">
        <v>3.6</v>
      </c>
      <c r="H604" t="n">
        <v>1</v>
      </c>
      <c r="I604" t="n">
        <v>0</v>
      </c>
      <c r="J604" t="n">
        <v>0</v>
      </c>
      <c r="K604" t="n">
        <v>0</v>
      </c>
      <c r="L604" t="n">
        <v>0</v>
      </c>
      <c r="M604" t="n">
        <v>0</v>
      </c>
      <c r="N604" t="n">
        <v>0</v>
      </c>
      <c r="O604" t="n">
        <v>0</v>
      </c>
      <c r="P604" t="n">
        <v>0</v>
      </c>
      <c r="Q604" t="n">
        <v>1</v>
      </c>
      <c r="R604" s="2" t="inlineStr">
        <is>
          <t>Blåsippa</t>
        </is>
      </c>
      <c r="S604">
        <f>HYPERLINK("https://klasma.github.io/Logging_0461/artfynd/A 42552-2023 artfynd.xlsx", "A 42552-2023")</f>
        <v/>
      </c>
      <c r="T604">
        <f>HYPERLINK("https://klasma.github.io/Logging_0461/kartor/A 42552-2023 karta.png", "A 42552-2023")</f>
        <v/>
      </c>
      <c r="V604">
        <f>HYPERLINK("https://klasma.github.io/Logging_0461/klagomål/A 42552-2023 FSC-klagomål.docx", "A 42552-2023")</f>
        <v/>
      </c>
      <c r="W604">
        <f>HYPERLINK("https://klasma.github.io/Logging_0461/klagomålsmail/A 42552-2023 FSC-klagomål mail.docx", "A 42552-2023")</f>
        <v/>
      </c>
      <c r="X604">
        <f>HYPERLINK("https://klasma.github.io/Logging_0461/tillsyn/A 42552-2023 tillsynsbegäran.docx", "A 42552-2023")</f>
        <v/>
      </c>
      <c r="Y604">
        <f>HYPERLINK("https://klasma.github.io/Logging_0461/tillsynsmail/A 42552-2023 tillsynsbegäran mail.docx", "A 42552-2023")</f>
        <v/>
      </c>
    </row>
    <row r="605" ht="15" customHeight="1">
      <c r="A605" t="inlineStr">
        <is>
          <t>A 42936-2023</t>
        </is>
      </c>
      <c r="B605" s="1" t="n">
        <v>45182</v>
      </c>
      <c r="C605" s="1" t="n">
        <v>45843</v>
      </c>
      <c r="D605" t="inlineStr">
        <is>
          <t>SÖDERMANLANDS LÄN</t>
        </is>
      </c>
      <c r="E605" t="inlineStr">
        <is>
          <t>KATRINEHOLM</t>
        </is>
      </c>
      <c r="F605" t="inlineStr">
        <is>
          <t>Övriga Aktiebolag</t>
        </is>
      </c>
      <c r="G605" t="n">
        <v>36.8</v>
      </c>
      <c r="H605" t="n">
        <v>0</v>
      </c>
      <c r="I605" t="n">
        <v>1</v>
      </c>
      <c r="J605" t="n">
        <v>0</v>
      </c>
      <c r="K605" t="n">
        <v>0</v>
      </c>
      <c r="L605" t="n">
        <v>0</v>
      </c>
      <c r="M605" t="n">
        <v>0</v>
      </c>
      <c r="N605" t="n">
        <v>0</v>
      </c>
      <c r="O605" t="n">
        <v>0</v>
      </c>
      <c r="P605" t="n">
        <v>0</v>
      </c>
      <c r="Q605" t="n">
        <v>1</v>
      </c>
      <c r="R605" s="2" t="inlineStr">
        <is>
          <t>Blomkålssvamp</t>
        </is>
      </c>
      <c r="S605">
        <f>HYPERLINK("https://klasma.github.io/Logging_0483/artfynd/A 42936-2023 artfynd.xlsx", "A 42936-2023")</f>
        <v/>
      </c>
      <c r="T605">
        <f>HYPERLINK("https://klasma.github.io/Logging_0483/kartor/A 42936-2023 karta.png", "A 42936-2023")</f>
        <v/>
      </c>
      <c r="U605">
        <f>HYPERLINK("https://klasma.github.io/Logging_0483/knärot/A 42936-2023 karta knärot.png", "A 42936-2023")</f>
        <v/>
      </c>
      <c r="V605">
        <f>HYPERLINK("https://klasma.github.io/Logging_0483/klagomål/A 42936-2023 FSC-klagomål.docx", "A 42936-2023")</f>
        <v/>
      </c>
      <c r="W605">
        <f>HYPERLINK("https://klasma.github.io/Logging_0483/klagomålsmail/A 42936-2023 FSC-klagomål mail.docx", "A 42936-2023")</f>
        <v/>
      </c>
      <c r="X605">
        <f>HYPERLINK("https://klasma.github.io/Logging_0483/tillsyn/A 42936-2023 tillsynsbegäran.docx", "A 42936-2023")</f>
        <v/>
      </c>
      <c r="Y605">
        <f>HYPERLINK("https://klasma.github.io/Logging_0483/tillsynsmail/A 42936-2023 tillsynsbegäran mail.docx", "A 42936-2023")</f>
        <v/>
      </c>
    </row>
    <row r="606" ht="15" customHeight="1">
      <c r="A606" t="inlineStr">
        <is>
          <t>A 42942-2023</t>
        </is>
      </c>
      <c r="B606" s="1" t="n">
        <v>45182</v>
      </c>
      <c r="C606" s="1" t="n">
        <v>45843</v>
      </c>
      <c r="D606" t="inlineStr">
        <is>
          <t>SÖDERMANLANDS LÄN</t>
        </is>
      </c>
      <c r="E606" t="inlineStr">
        <is>
          <t>KATRINEHOLM</t>
        </is>
      </c>
      <c r="F606" t="inlineStr">
        <is>
          <t>Övriga Aktiebolag</t>
        </is>
      </c>
      <c r="G606" t="n">
        <v>17.4</v>
      </c>
      <c r="H606" t="n">
        <v>0</v>
      </c>
      <c r="I606" t="n">
        <v>0</v>
      </c>
      <c r="J606" t="n">
        <v>1</v>
      </c>
      <c r="K606" t="n">
        <v>0</v>
      </c>
      <c r="L606" t="n">
        <v>0</v>
      </c>
      <c r="M606" t="n">
        <v>0</v>
      </c>
      <c r="N606" t="n">
        <v>0</v>
      </c>
      <c r="O606" t="n">
        <v>1</v>
      </c>
      <c r="P606" t="n">
        <v>0</v>
      </c>
      <c r="Q606" t="n">
        <v>1</v>
      </c>
      <c r="R606" s="2" t="inlineStr">
        <is>
          <t>Rödlånke</t>
        </is>
      </c>
      <c r="S606">
        <f>HYPERLINK("https://klasma.github.io/Logging_0483/artfynd/A 42942-2023 artfynd.xlsx", "A 42942-2023")</f>
        <v/>
      </c>
      <c r="T606">
        <f>HYPERLINK("https://klasma.github.io/Logging_0483/kartor/A 42942-2023 karta.png", "A 42942-2023")</f>
        <v/>
      </c>
      <c r="V606">
        <f>HYPERLINK("https://klasma.github.io/Logging_0483/klagomål/A 42942-2023 FSC-klagomål.docx", "A 42942-2023")</f>
        <v/>
      </c>
      <c r="W606">
        <f>HYPERLINK("https://klasma.github.io/Logging_0483/klagomålsmail/A 42942-2023 FSC-klagomål mail.docx", "A 42942-2023")</f>
        <v/>
      </c>
      <c r="X606">
        <f>HYPERLINK("https://klasma.github.io/Logging_0483/tillsyn/A 42942-2023 tillsynsbegäran.docx", "A 42942-2023")</f>
        <v/>
      </c>
      <c r="Y606">
        <f>HYPERLINK("https://klasma.github.io/Logging_0483/tillsynsmail/A 42942-2023 tillsynsbegäran mail.docx", "A 42942-2023")</f>
        <v/>
      </c>
    </row>
    <row r="607" ht="15" customHeight="1">
      <c r="A607" t="inlineStr">
        <is>
          <t>A 44486-2023</t>
        </is>
      </c>
      <c r="B607" s="1" t="n">
        <v>45183</v>
      </c>
      <c r="C607" s="1" t="n">
        <v>45843</v>
      </c>
      <c r="D607" t="inlineStr">
        <is>
          <t>SÖDERMANLANDS LÄN</t>
        </is>
      </c>
      <c r="E607" t="inlineStr">
        <is>
          <t>KATRINEHOLM</t>
        </is>
      </c>
      <c r="G607" t="n">
        <v>1.7</v>
      </c>
      <c r="H607" t="n">
        <v>0</v>
      </c>
      <c r="I607" t="n">
        <v>0</v>
      </c>
      <c r="J607" t="n">
        <v>1</v>
      </c>
      <c r="K607" t="n">
        <v>0</v>
      </c>
      <c r="L607" t="n">
        <v>0</v>
      </c>
      <c r="M607" t="n">
        <v>0</v>
      </c>
      <c r="N607" t="n">
        <v>0</v>
      </c>
      <c r="O607" t="n">
        <v>1</v>
      </c>
      <c r="P607" t="n">
        <v>0</v>
      </c>
      <c r="Q607" t="n">
        <v>1</v>
      </c>
      <c r="R607" s="2" t="inlineStr">
        <is>
          <t>Svedjenäva</t>
        </is>
      </c>
      <c r="S607">
        <f>HYPERLINK("https://klasma.github.io/Logging_0483/artfynd/A 44486-2023 artfynd.xlsx", "A 44486-2023")</f>
        <v/>
      </c>
      <c r="T607">
        <f>HYPERLINK("https://klasma.github.io/Logging_0483/kartor/A 44486-2023 karta.png", "A 44486-2023")</f>
        <v/>
      </c>
      <c r="V607">
        <f>HYPERLINK("https://klasma.github.io/Logging_0483/klagomål/A 44486-2023 FSC-klagomål.docx", "A 44486-2023")</f>
        <v/>
      </c>
      <c r="W607">
        <f>HYPERLINK("https://klasma.github.io/Logging_0483/klagomålsmail/A 44486-2023 FSC-klagomål mail.docx", "A 44486-2023")</f>
        <v/>
      </c>
      <c r="X607">
        <f>HYPERLINK("https://klasma.github.io/Logging_0483/tillsyn/A 44486-2023 tillsynsbegäran.docx", "A 44486-2023")</f>
        <v/>
      </c>
      <c r="Y607">
        <f>HYPERLINK("https://klasma.github.io/Logging_0483/tillsynsmail/A 44486-2023 tillsynsbegäran mail.docx", "A 44486-2023")</f>
        <v/>
      </c>
    </row>
    <row r="608" ht="15" customHeight="1">
      <c r="A608" t="inlineStr">
        <is>
          <t>A 44632-2023</t>
        </is>
      </c>
      <c r="B608" s="1" t="n">
        <v>45184</v>
      </c>
      <c r="C608" s="1" t="n">
        <v>45843</v>
      </c>
      <c r="D608" t="inlineStr">
        <is>
          <t>SÖDERMANLANDS LÄN</t>
        </is>
      </c>
      <c r="E608" t="inlineStr">
        <is>
          <t>KATRINEHOLM</t>
        </is>
      </c>
      <c r="G608" t="n">
        <v>6.2</v>
      </c>
      <c r="H608" t="n">
        <v>0</v>
      </c>
      <c r="I608" t="n">
        <v>0</v>
      </c>
      <c r="J608" t="n">
        <v>1</v>
      </c>
      <c r="K608" t="n">
        <v>0</v>
      </c>
      <c r="L608" t="n">
        <v>0</v>
      </c>
      <c r="M608" t="n">
        <v>0</v>
      </c>
      <c r="N608" t="n">
        <v>0</v>
      </c>
      <c r="O608" t="n">
        <v>1</v>
      </c>
      <c r="P608" t="n">
        <v>0</v>
      </c>
      <c r="Q608" t="n">
        <v>1</v>
      </c>
      <c r="R608" s="2" t="inlineStr">
        <is>
          <t>Motaggsvamp</t>
        </is>
      </c>
      <c r="S608">
        <f>HYPERLINK("https://klasma.github.io/Logging_0483/artfynd/A 44632-2023 artfynd.xlsx", "A 44632-2023")</f>
        <v/>
      </c>
      <c r="T608">
        <f>HYPERLINK("https://klasma.github.io/Logging_0483/kartor/A 44632-2023 karta.png", "A 44632-2023")</f>
        <v/>
      </c>
      <c r="V608">
        <f>HYPERLINK("https://klasma.github.io/Logging_0483/klagomål/A 44632-2023 FSC-klagomål.docx", "A 44632-2023")</f>
        <v/>
      </c>
      <c r="W608">
        <f>HYPERLINK("https://klasma.github.io/Logging_0483/klagomålsmail/A 44632-2023 FSC-klagomål mail.docx", "A 44632-2023")</f>
        <v/>
      </c>
      <c r="X608">
        <f>HYPERLINK("https://klasma.github.io/Logging_0483/tillsyn/A 44632-2023 tillsynsbegäran.docx", "A 44632-2023")</f>
        <v/>
      </c>
      <c r="Y608">
        <f>HYPERLINK("https://klasma.github.io/Logging_0483/tillsynsmail/A 44632-2023 tillsynsbegäran mail.docx", "A 44632-2023")</f>
        <v/>
      </c>
    </row>
    <row r="609" ht="15" customHeight="1">
      <c r="A609" t="inlineStr">
        <is>
          <t>A 43756-2023</t>
        </is>
      </c>
      <c r="B609" s="1" t="n">
        <v>45187</v>
      </c>
      <c r="C609" s="1" t="n">
        <v>45843</v>
      </c>
      <c r="D609" t="inlineStr">
        <is>
          <t>SÖDERMANLANDS LÄN</t>
        </is>
      </c>
      <c r="E609" t="inlineStr">
        <is>
          <t>NYKÖPING</t>
        </is>
      </c>
      <c r="G609" t="n">
        <v>5.4</v>
      </c>
      <c r="H609" t="n">
        <v>0</v>
      </c>
      <c r="I609" t="n">
        <v>0</v>
      </c>
      <c r="J609" t="n">
        <v>1</v>
      </c>
      <c r="K609" t="n">
        <v>0</v>
      </c>
      <c r="L609" t="n">
        <v>0</v>
      </c>
      <c r="M609" t="n">
        <v>0</v>
      </c>
      <c r="N609" t="n">
        <v>0</v>
      </c>
      <c r="O609" t="n">
        <v>1</v>
      </c>
      <c r="P609" t="n">
        <v>0</v>
      </c>
      <c r="Q609" t="n">
        <v>1</v>
      </c>
      <c r="R609" s="2" t="inlineStr">
        <is>
          <t>Svedjenäva</t>
        </is>
      </c>
      <c r="S609">
        <f>HYPERLINK("https://klasma.github.io/Logging_0480/artfynd/A 43756-2023 artfynd.xlsx", "A 43756-2023")</f>
        <v/>
      </c>
      <c r="T609">
        <f>HYPERLINK("https://klasma.github.io/Logging_0480/kartor/A 43756-2023 karta.png", "A 43756-2023")</f>
        <v/>
      </c>
      <c r="V609">
        <f>HYPERLINK("https://klasma.github.io/Logging_0480/klagomål/A 43756-2023 FSC-klagomål.docx", "A 43756-2023")</f>
        <v/>
      </c>
      <c r="W609">
        <f>HYPERLINK("https://klasma.github.io/Logging_0480/klagomålsmail/A 43756-2023 FSC-klagomål mail.docx", "A 43756-2023")</f>
        <v/>
      </c>
      <c r="X609">
        <f>HYPERLINK("https://klasma.github.io/Logging_0480/tillsyn/A 43756-2023 tillsynsbegäran.docx", "A 43756-2023")</f>
        <v/>
      </c>
      <c r="Y609">
        <f>HYPERLINK("https://klasma.github.io/Logging_0480/tillsynsmail/A 43756-2023 tillsynsbegäran mail.docx", "A 43756-2023")</f>
        <v/>
      </c>
    </row>
    <row r="610" ht="15" customHeight="1">
      <c r="A610" t="inlineStr">
        <is>
          <t>A 44476-2023</t>
        </is>
      </c>
      <c r="B610" s="1" t="n">
        <v>45189</v>
      </c>
      <c r="C610" s="1" t="n">
        <v>45843</v>
      </c>
      <c r="D610" t="inlineStr">
        <is>
          <t>SÖDERMANLANDS LÄN</t>
        </is>
      </c>
      <c r="E610" t="inlineStr">
        <is>
          <t>FLEN</t>
        </is>
      </c>
      <c r="G610" t="n">
        <v>3.2</v>
      </c>
      <c r="H610" t="n">
        <v>0</v>
      </c>
      <c r="I610" t="n">
        <v>0</v>
      </c>
      <c r="J610" t="n">
        <v>1</v>
      </c>
      <c r="K610" t="n">
        <v>0</v>
      </c>
      <c r="L610" t="n">
        <v>0</v>
      </c>
      <c r="M610" t="n">
        <v>0</v>
      </c>
      <c r="N610" t="n">
        <v>0</v>
      </c>
      <c r="O610" t="n">
        <v>1</v>
      </c>
      <c r="P610" t="n">
        <v>0</v>
      </c>
      <c r="Q610" t="n">
        <v>1</v>
      </c>
      <c r="R610" s="2" t="inlineStr">
        <is>
          <t>Svedjenäva</t>
        </is>
      </c>
      <c r="S610">
        <f>HYPERLINK("https://klasma.github.io/Logging_0482/artfynd/A 44476-2023 artfynd.xlsx", "A 44476-2023")</f>
        <v/>
      </c>
      <c r="T610">
        <f>HYPERLINK("https://klasma.github.io/Logging_0482/kartor/A 44476-2023 karta.png", "A 44476-2023")</f>
        <v/>
      </c>
      <c r="V610">
        <f>HYPERLINK("https://klasma.github.io/Logging_0482/klagomål/A 44476-2023 FSC-klagomål.docx", "A 44476-2023")</f>
        <v/>
      </c>
      <c r="W610">
        <f>HYPERLINK("https://klasma.github.io/Logging_0482/klagomålsmail/A 44476-2023 FSC-klagomål mail.docx", "A 44476-2023")</f>
        <v/>
      </c>
      <c r="X610">
        <f>HYPERLINK("https://klasma.github.io/Logging_0482/tillsyn/A 44476-2023 tillsynsbegäran.docx", "A 44476-2023")</f>
        <v/>
      </c>
      <c r="Y610">
        <f>HYPERLINK("https://klasma.github.io/Logging_0482/tillsynsmail/A 44476-2023 tillsynsbegäran mail.docx", "A 44476-2023")</f>
        <v/>
      </c>
    </row>
    <row r="611" ht="15" customHeight="1">
      <c r="A611" t="inlineStr">
        <is>
          <t>A 46596-2023</t>
        </is>
      </c>
      <c r="B611" s="1" t="n">
        <v>45198</v>
      </c>
      <c r="C611" s="1" t="n">
        <v>45843</v>
      </c>
      <c r="D611" t="inlineStr">
        <is>
          <t>SÖDERMANLANDS LÄN</t>
        </is>
      </c>
      <c r="E611" t="inlineStr">
        <is>
          <t>ESKILSTUNA</t>
        </is>
      </c>
      <c r="F611" t="inlineStr">
        <is>
          <t>Allmännings- och besparingsskogar</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HYPERLINK("https://klasma.github.io/Logging_0484/artfynd/A 46596-2023 artfynd.xlsx", "A 46596-2023")</f>
        <v/>
      </c>
      <c r="T611">
        <f>HYPERLINK("https://klasma.github.io/Logging_0484/kartor/A 46596-2023 karta.png", "A 46596-2023")</f>
        <v/>
      </c>
      <c r="V611">
        <f>HYPERLINK("https://klasma.github.io/Logging_0484/klagomål/A 46596-2023 FSC-klagomål.docx", "A 46596-2023")</f>
        <v/>
      </c>
      <c r="W611">
        <f>HYPERLINK("https://klasma.github.io/Logging_0484/klagomålsmail/A 46596-2023 FSC-klagomål mail.docx", "A 46596-2023")</f>
        <v/>
      </c>
      <c r="X611">
        <f>HYPERLINK("https://klasma.github.io/Logging_0484/tillsyn/A 46596-2023 tillsynsbegäran.docx", "A 46596-2023")</f>
        <v/>
      </c>
      <c r="Y611">
        <f>HYPERLINK("https://klasma.github.io/Logging_0484/tillsynsmail/A 46596-2023 tillsynsbegäran mail.docx", "A 46596-2023")</f>
        <v/>
      </c>
    </row>
    <row r="612" ht="15" customHeight="1">
      <c r="A612" t="inlineStr">
        <is>
          <t>A 48896-2023</t>
        </is>
      </c>
      <c r="B612" s="1" t="n">
        <v>45209</v>
      </c>
      <c r="C612" s="1" t="n">
        <v>45843</v>
      </c>
      <c r="D612" t="inlineStr">
        <is>
          <t>SÖDERMANLANDS LÄN</t>
        </is>
      </c>
      <c r="E612" t="inlineStr">
        <is>
          <t>FLEN</t>
        </is>
      </c>
      <c r="F612" t="inlineStr">
        <is>
          <t>Övriga statliga verk och myndigheter</t>
        </is>
      </c>
      <c r="G612" t="n">
        <v>6.6</v>
      </c>
      <c r="H612" t="n">
        <v>0</v>
      </c>
      <c r="I612" t="n">
        <v>0</v>
      </c>
      <c r="J612" t="n">
        <v>1</v>
      </c>
      <c r="K612" t="n">
        <v>0</v>
      </c>
      <c r="L612" t="n">
        <v>0</v>
      </c>
      <c r="M612" t="n">
        <v>0</v>
      </c>
      <c r="N612" t="n">
        <v>0</v>
      </c>
      <c r="O612" t="n">
        <v>1</v>
      </c>
      <c r="P612" t="n">
        <v>0</v>
      </c>
      <c r="Q612" t="n">
        <v>1</v>
      </c>
      <c r="R612" s="2" t="inlineStr">
        <is>
          <t>Svinrot</t>
        </is>
      </c>
      <c r="S612">
        <f>HYPERLINK("https://klasma.github.io/Logging_0482/artfynd/A 48896-2023 artfynd.xlsx", "A 48896-2023")</f>
        <v/>
      </c>
      <c r="T612">
        <f>HYPERLINK("https://klasma.github.io/Logging_0482/kartor/A 48896-2023 karta.png", "A 48896-2023")</f>
        <v/>
      </c>
      <c r="V612">
        <f>HYPERLINK("https://klasma.github.io/Logging_0482/klagomål/A 48896-2023 FSC-klagomål.docx", "A 48896-2023")</f>
        <v/>
      </c>
      <c r="W612">
        <f>HYPERLINK("https://klasma.github.io/Logging_0482/klagomålsmail/A 48896-2023 FSC-klagomål mail.docx", "A 48896-2023")</f>
        <v/>
      </c>
      <c r="X612">
        <f>HYPERLINK("https://klasma.github.io/Logging_0482/tillsyn/A 48896-2023 tillsynsbegäran.docx", "A 48896-2023")</f>
        <v/>
      </c>
      <c r="Y612">
        <f>HYPERLINK("https://klasma.github.io/Logging_0482/tillsynsmail/A 48896-2023 tillsynsbegäran mail.docx", "A 48896-2023")</f>
        <v/>
      </c>
    </row>
    <row r="613" ht="15" customHeight="1">
      <c r="A613" t="inlineStr">
        <is>
          <t>A 49808-2023</t>
        </is>
      </c>
      <c r="B613" s="1" t="n">
        <v>45212</v>
      </c>
      <c r="C613" s="1" t="n">
        <v>45843</v>
      </c>
      <c r="D613" t="inlineStr">
        <is>
          <t>SÖDERMANLANDS LÄN</t>
        </is>
      </c>
      <c r="E613" t="inlineStr">
        <is>
          <t>FLEN</t>
        </is>
      </c>
      <c r="F613" t="inlineStr">
        <is>
          <t>Holmen skog AB</t>
        </is>
      </c>
      <c r="G613" t="n">
        <v>12.3</v>
      </c>
      <c r="H613" t="n">
        <v>0</v>
      </c>
      <c r="I613" t="n">
        <v>0</v>
      </c>
      <c r="J613" t="n">
        <v>1</v>
      </c>
      <c r="K613" t="n">
        <v>0</v>
      </c>
      <c r="L613" t="n">
        <v>0</v>
      </c>
      <c r="M613" t="n">
        <v>0</v>
      </c>
      <c r="N613" t="n">
        <v>0</v>
      </c>
      <c r="O613" t="n">
        <v>1</v>
      </c>
      <c r="P613" t="n">
        <v>0</v>
      </c>
      <c r="Q613" t="n">
        <v>1</v>
      </c>
      <c r="R613" s="2" t="inlineStr">
        <is>
          <t>Svinrot</t>
        </is>
      </c>
      <c r="S613">
        <f>HYPERLINK("https://klasma.github.io/Logging_0482/artfynd/A 49808-2023 artfynd.xlsx", "A 49808-2023")</f>
        <v/>
      </c>
      <c r="T613">
        <f>HYPERLINK("https://klasma.github.io/Logging_0482/kartor/A 49808-2023 karta.png", "A 49808-2023")</f>
        <v/>
      </c>
      <c r="V613">
        <f>HYPERLINK("https://klasma.github.io/Logging_0482/klagomål/A 49808-2023 FSC-klagomål.docx", "A 49808-2023")</f>
        <v/>
      </c>
      <c r="W613">
        <f>HYPERLINK("https://klasma.github.io/Logging_0482/klagomålsmail/A 49808-2023 FSC-klagomål mail.docx", "A 49808-2023")</f>
        <v/>
      </c>
      <c r="X613">
        <f>HYPERLINK("https://klasma.github.io/Logging_0482/tillsyn/A 49808-2023 tillsynsbegäran.docx", "A 49808-2023")</f>
        <v/>
      </c>
      <c r="Y613">
        <f>HYPERLINK("https://klasma.github.io/Logging_0482/tillsynsmail/A 49808-2023 tillsynsbegäran mail.docx", "A 49808-2023")</f>
        <v/>
      </c>
    </row>
    <row r="614" ht="15" customHeight="1">
      <c r="A614" t="inlineStr">
        <is>
          <t>A 50010-2023</t>
        </is>
      </c>
      <c r="B614" s="1" t="n">
        <v>45215</v>
      </c>
      <c r="C614" s="1" t="n">
        <v>45843</v>
      </c>
      <c r="D614" t="inlineStr">
        <is>
          <t>SÖDERMANLANDS LÄN</t>
        </is>
      </c>
      <c r="E614" t="inlineStr">
        <is>
          <t>STRÄNGNÄS</t>
        </is>
      </c>
      <c r="F614" t="inlineStr">
        <is>
          <t>Sveaskog</t>
        </is>
      </c>
      <c r="G614" t="n">
        <v>5.6</v>
      </c>
      <c r="H614" t="n">
        <v>1</v>
      </c>
      <c r="I614" t="n">
        <v>0</v>
      </c>
      <c r="J614" t="n">
        <v>0</v>
      </c>
      <c r="K614" t="n">
        <v>0</v>
      </c>
      <c r="L614" t="n">
        <v>0</v>
      </c>
      <c r="M614" t="n">
        <v>0</v>
      </c>
      <c r="N614" t="n">
        <v>0</v>
      </c>
      <c r="O614" t="n">
        <v>0</v>
      </c>
      <c r="P614" t="n">
        <v>0</v>
      </c>
      <c r="Q614" t="n">
        <v>1</v>
      </c>
      <c r="R614" s="2" t="inlineStr">
        <is>
          <t>Blåsippa</t>
        </is>
      </c>
      <c r="S614">
        <f>HYPERLINK("https://klasma.github.io/Logging_0486/artfynd/A 50010-2023 artfynd.xlsx", "A 50010-2023")</f>
        <v/>
      </c>
      <c r="T614">
        <f>HYPERLINK("https://klasma.github.io/Logging_0486/kartor/A 50010-2023 karta.png", "A 50010-2023")</f>
        <v/>
      </c>
      <c r="V614">
        <f>HYPERLINK("https://klasma.github.io/Logging_0486/klagomål/A 50010-2023 FSC-klagomål.docx", "A 50010-2023")</f>
        <v/>
      </c>
      <c r="W614">
        <f>HYPERLINK("https://klasma.github.io/Logging_0486/klagomålsmail/A 50010-2023 FSC-klagomål mail.docx", "A 50010-2023")</f>
        <v/>
      </c>
      <c r="X614">
        <f>HYPERLINK("https://klasma.github.io/Logging_0486/tillsyn/A 50010-2023 tillsynsbegäran.docx", "A 50010-2023")</f>
        <v/>
      </c>
      <c r="Y614">
        <f>HYPERLINK("https://klasma.github.io/Logging_0486/tillsynsmail/A 50010-2023 tillsynsbegäran mail.docx", "A 50010-2023")</f>
        <v/>
      </c>
    </row>
    <row r="615" ht="15" customHeight="1">
      <c r="A615" t="inlineStr">
        <is>
          <t>A 52643-2023</t>
        </is>
      </c>
      <c r="B615" s="1" t="n">
        <v>45219</v>
      </c>
      <c r="C615" s="1" t="n">
        <v>45843</v>
      </c>
      <c r="D615" t="inlineStr">
        <is>
          <t>SÖDERMANLANDS LÄN</t>
        </is>
      </c>
      <c r="E615" t="inlineStr">
        <is>
          <t>STRÄNGNÄS</t>
        </is>
      </c>
      <c r="G615" t="n">
        <v>4.1</v>
      </c>
      <c r="H615" t="n">
        <v>0</v>
      </c>
      <c r="I615" t="n">
        <v>0</v>
      </c>
      <c r="J615" t="n">
        <v>1</v>
      </c>
      <c r="K615" t="n">
        <v>0</v>
      </c>
      <c r="L615" t="n">
        <v>0</v>
      </c>
      <c r="M615" t="n">
        <v>0</v>
      </c>
      <c r="N615" t="n">
        <v>0</v>
      </c>
      <c r="O615" t="n">
        <v>1</v>
      </c>
      <c r="P615" t="n">
        <v>0</v>
      </c>
      <c r="Q615" t="n">
        <v>1</v>
      </c>
      <c r="R615" s="2" t="inlineStr">
        <is>
          <t>Vanlig backsmörblomma</t>
        </is>
      </c>
      <c r="S615">
        <f>HYPERLINK("https://klasma.github.io/Logging_0486/artfynd/A 52643-2023 artfynd.xlsx", "A 52643-2023")</f>
        <v/>
      </c>
      <c r="T615">
        <f>HYPERLINK("https://klasma.github.io/Logging_0486/kartor/A 52643-2023 karta.png", "A 52643-2023")</f>
        <v/>
      </c>
      <c r="V615">
        <f>HYPERLINK("https://klasma.github.io/Logging_0486/klagomål/A 52643-2023 FSC-klagomål.docx", "A 52643-2023")</f>
        <v/>
      </c>
      <c r="W615">
        <f>HYPERLINK("https://klasma.github.io/Logging_0486/klagomålsmail/A 52643-2023 FSC-klagomål mail.docx", "A 52643-2023")</f>
        <v/>
      </c>
      <c r="X615">
        <f>HYPERLINK("https://klasma.github.io/Logging_0486/tillsyn/A 52643-2023 tillsynsbegäran.docx", "A 52643-2023")</f>
        <v/>
      </c>
      <c r="Y615">
        <f>HYPERLINK("https://klasma.github.io/Logging_0486/tillsynsmail/A 52643-2023 tillsynsbegäran mail.docx", "A 52643-2023")</f>
        <v/>
      </c>
    </row>
    <row r="616" ht="15" customHeight="1">
      <c r="A616" t="inlineStr">
        <is>
          <t>A 53339-2023</t>
        </is>
      </c>
      <c r="B616" s="1" t="n">
        <v>45222</v>
      </c>
      <c r="C616" s="1" t="n">
        <v>45843</v>
      </c>
      <c r="D616" t="inlineStr">
        <is>
          <t>SÖDERMANLANDS LÄN</t>
        </is>
      </c>
      <c r="E616" t="inlineStr">
        <is>
          <t>FLEN</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HYPERLINK("https://klasma.github.io/Logging_0482/artfynd/A 53339-2023 artfynd.xlsx", "A 53339-2023")</f>
        <v/>
      </c>
      <c r="T616">
        <f>HYPERLINK("https://klasma.github.io/Logging_0482/kartor/A 53339-2023 karta.png", "A 53339-2023")</f>
        <v/>
      </c>
      <c r="V616">
        <f>HYPERLINK("https://klasma.github.io/Logging_0482/klagomål/A 53339-2023 FSC-klagomål.docx", "A 53339-2023")</f>
        <v/>
      </c>
      <c r="W616">
        <f>HYPERLINK("https://klasma.github.io/Logging_0482/klagomålsmail/A 53339-2023 FSC-klagomål mail.docx", "A 53339-2023")</f>
        <v/>
      </c>
      <c r="X616">
        <f>HYPERLINK("https://klasma.github.io/Logging_0482/tillsyn/A 53339-2023 tillsynsbegäran.docx", "A 53339-2023")</f>
        <v/>
      </c>
      <c r="Y616">
        <f>HYPERLINK("https://klasma.github.io/Logging_0482/tillsynsmail/A 53339-2023 tillsynsbegäran mail.docx", "A 53339-2023")</f>
        <v/>
      </c>
    </row>
    <row r="617" ht="15" customHeight="1">
      <c r="A617" t="inlineStr">
        <is>
          <t>A 52320-2023</t>
        </is>
      </c>
      <c r="B617" s="1" t="n">
        <v>45224</v>
      </c>
      <c r="C617" s="1" t="n">
        <v>45843</v>
      </c>
      <c r="D617" t="inlineStr">
        <is>
          <t>SÖDERMANLANDS LÄN</t>
        </is>
      </c>
      <c r="E617" t="inlineStr">
        <is>
          <t>STRÄNGNÄS</t>
        </is>
      </c>
      <c r="G617" t="n">
        <v>1.2</v>
      </c>
      <c r="H617" t="n">
        <v>0</v>
      </c>
      <c r="I617" t="n">
        <v>1</v>
      </c>
      <c r="J617" t="n">
        <v>0</v>
      </c>
      <c r="K617" t="n">
        <v>0</v>
      </c>
      <c r="L617" t="n">
        <v>0</v>
      </c>
      <c r="M617" t="n">
        <v>0</v>
      </c>
      <c r="N617" t="n">
        <v>0</v>
      </c>
      <c r="O617" t="n">
        <v>0</v>
      </c>
      <c r="P617" t="n">
        <v>0</v>
      </c>
      <c r="Q617" t="n">
        <v>1</v>
      </c>
      <c r="R617" s="2" t="inlineStr">
        <is>
          <t>Mindre märgborre</t>
        </is>
      </c>
      <c r="S617">
        <f>HYPERLINK("https://klasma.github.io/Logging_0486/artfynd/A 52320-2023 artfynd.xlsx", "A 52320-2023")</f>
        <v/>
      </c>
      <c r="T617">
        <f>HYPERLINK("https://klasma.github.io/Logging_0486/kartor/A 52320-2023 karta.png", "A 52320-2023")</f>
        <v/>
      </c>
      <c r="V617">
        <f>HYPERLINK("https://klasma.github.io/Logging_0486/klagomål/A 52320-2023 FSC-klagomål.docx", "A 52320-2023")</f>
        <v/>
      </c>
      <c r="W617">
        <f>HYPERLINK("https://klasma.github.io/Logging_0486/klagomålsmail/A 52320-2023 FSC-klagomål mail.docx", "A 52320-2023")</f>
        <v/>
      </c>
      <c r="X617">
        <f>HYPERLINK("https://klasma.github.io/Logging_0486/tillsyn/A 52320-2023 tillsynsbegäran.docx", "A 52320-2023")</f>
        <v/>
      </c>
      <c r="Y617">
        <f>HYPERLINK("https://klasma.github.io/Logging_0486/tillsynsmail/A 52320-2023 tillsynsbegäran mail.docx", "A 52320-2023")</f>
        <v/>
      </c>
    </row>
    <row r="618" ht="15" customHeight="1">
      <c r="A618" t="inlineStr">
        <is>
          <t>A 53930-2023</t>
        </is>
      </c>
      <c r="B618" s="1" t="n">
        <v>45225</v>
      </c>
      <c r="C618" s="1" t="n">
        <v>45843</v>
      </c>
      <c r="D618" t="inlineStr">
        <is>
          <t>SÖDERMANLANDS LÄN</t>
        </is>
      </c>
      <c r="E618" t="inlineStr">
        <is>
          <t>STRÄNGNÄS</t>
        </is>
      </c>
      <c r="G618" t="n">
        <v>6.1</v>
      </c>
      <c r="H618" t="n">
        <v>0</v>
      </c>
      <c r="I618" t="n">
        <v>0</v>
      </c>
      <c r="J618" t="n">
        <v>0</v>
      </c>
      <c r="K618" t="n">
        <v>1</v>
      </c>
      <c r="L618" t="n">
        <v>0</v>
      </c>
      <c r="M618" t="n">
        <v>0</v>
      </c>
      <c r="N618" t="n">
        <v>0</v>
      </c>
      <c r="O618" t="n">
        <v>1</v>
      </c>
      <c r="P618" t="n">
        <v>1</v>
      </c>
      <c r="Q618" t="n">
        <v>1</v>
      </c>
      <c r="R618" s="2" t="inlineStr">
        <is>
          <t>Färgginst</t>
        </is>
      </c>
      <c r="S618">
        <f>HYPERLINK("https://klasma.github.io/Logging_0486/artfynd/A 53930-2023 artfynd.xlsx", "A 53930-2023")</f>
        <v/>
      </c>
      <c r="T618">
        <f>HYPERLINK("https://klasma.github.io/Logging_0486/kartor/A 53930-2023 karta.png", "A 53930-2023")</f>
        <v/>
      </c>
      <c r="V618">
        <f>HYPERLINK("https://klasma.github.io/Logging_0486/klagomål/A 53930-2023 FSC-klagomål.docx", "A 53930-2023")</f>
        <v/>
      </c>
      <c r="W618">
        <f>HYPERLINK("https://klasma.github.io/Logging_0486/klagomålsmail/A 53930-2023 FSC-klagomål mail.docx", "A 53930-2023")</f>
        <v/>
      </c>
      <c r="X618">
        <f>HYPERLINK("https://klasma.github.io/Logging_0486/tillsyn/A 53930-2023 tillsynsbegäran.docx", "A 53930-2023")</f>
        <v/>
      </c>
      <c r="Y618">
        <f>HYPERLINK("https://klasma.github.io/Logging_0486/tillsynsmail/A 53930-2023 tillsynsbegäran mail.docx", "A 53930-2023")</f>
        <v/>
      </c>
    </row>
    <row r="619" ht="15" customHeight="1">
      <c r="A619" t="inlineStr">
        <is>
          <t>A 52888-2023</t>
        </is>
      </c>
      <c r="B619" s="1" t="n">
        <v>45226</v>
      </c>
      <c r="C619" s="1" t="n">
        <v>45843</v>
      </c>
      <c r="D619" t="inlineStr">
        <is>
          <t>SÖDERMANLANDS LÄN</t>
        </is>
      </c>
      <c r="E619" t="inlineStr">
        <is>
          <t>STRÄNGNÄS</t>
        </is>
      </c>
      <c r="G619" t="n">
        <v>5.5</v>
      </c>
      <c r="H619" t="n">
        <v>1</v>
      </c>
      <c r="I619" t="n">
        <v>0</v>
      </c>
      <c r="J619" t="n">
        <v>1</v>
      </c>
      <c r="K619" t="n">
        <v>0</v>
      </c>
      <c r="L619" t="n">
        <v>0</v>
      </c>
      <c r="M619" t="n">
        <v>0</v>
      </c>
      <c r="N619" t="n">
        <v>0</v>
      </c>
      <c r="O619" t="n">
        <v>1</v>
      </c>
      <c r="P619" t="n">
        <v>0</v>
      </c>
      <c r="Q619" t="n">
        <v>1</v>
      </c>
      <c r="R619" s="2" t="inlineStr">
        <is>
          <t>Talltita</t>
        </is>
      </c>
      <c r="S619">
        <f>HYPERLINK("https://klasma.github.io/Logging_0486/artfynd/A 52888-2023 artfynd.xlsx", "A 52888-2023")</f>
        <v/>
      </c>
      <c r="T619">
        <f>HYPERLINK("https://klasma.github.io/Logging_0486/kartor/A 52888-2023 karta.png", "A 52888-2023")</f>
        <v/>
      </c>
      <c r="V619">
        <f>HYPERLINK("https://klasma.github.io/Logging_0486/klagomål/A 52888-2023 FSC-klagomål.docx", "A 52888-2023")</f>
        <v/>
      </c>
      <c r="W619">
        <f>HYPERLINK("https://klasma.github.io/Logging_0486/klagomålsmail/A 52888-2023 FSC-klagomål mail.docx", "A 52888-2023")</f>
        <v/>
      </c>
      <c r="X619">
        <f>HYPERLINK("https://klasma.github.io/Logging_0486/tillsyn/A 52888-2023 tillsynsbegäran.docx", "A 52888-2023")</f>
        <v/>
      </c>
      <c r="Y619">
        <f>HYPERLINK("https://klasma.github.io/Logging_0486/tillsynsmail/A 52888-2023 tillsynsbegäran mail.docx", "A 52888-2023")</f>
        <v/>
      </c>
      <c r="Z619">
        <f>HYPERLINK("https://klasma.github.io/Logging_0486/fåglar/A 52888-2023 prioriterade fågelarter.docx", "A 52888-2023")</f>
        <v/>
      </c>
    </row>
    <row r="620" ht="15" customHeight="1">
      <c r="A620" t="inlineStr">
        <is>
          <t>A 54498-2023</t>
        </is>
      </c>
      <c r="B620" s="1" t="n">
        <v>45226</v>
      </c>
      <c r="C620" s="1" t="n">
        <v>45843</v>
      </c>
      <c r="D620" t="inlineStr">
        <is>
          <t>SÖDERMANLANDS LÄN</t>
        </is>
      </c>
      <c r="E620" t="inlineStr">
        <is>
          <t>NYKÖPING</t>
        </is>
      </c>
      <c r="G620" t="n">
        <v>4.7</v>
      </c>
      <c r="H620" t="n">
        <v>1</v>
      </c>
      <c r="I620" t="n">
        <v>0</v>
      </c>
      <c r="J620" t="n">
        <v>0</v>
      </c>
      <c r="K620" t="n">
        <v>0</v>
      </c>
      <c r="L620" t="n">
        <v>1</v>
      </c>
      <c r="M620" t="n">
        <v>0</v>
      </c>
      <c r="N620" t="n">
        <v>0</v>
      </c>
      <c r="O620" t="n">
        <v>1</v>
      </c>
      <c r="P620" t="n">
        <v>1</v>
      </c>
      <c r="Q620" t="n">
        <v>1</v>
      </c>
      <c r="R620" s="2" t="inlineStr">
        <is>
          <t>Brun glada</t>
        </is>
      </c>
      <c r="S620">
        <f>HYPERLINK("https://klasma.github.io/Logging_0480/artfynd/A 54498-2023 artfynd.xlsx", "A 54498-2023")</f>
        <v/>
      </c>
      <c r="T620">
        <f>HYPERLINK("https://klasma.github.io/Logging_0480/kartor/A 54498-2023 karta.png", "A 54498-2023")</f>
        <v/>
      </c>
      <c r="V620">
        <f>HYPERLINK("https://klasma.github.io/Logging_0480/klagomål/A 54498-2023 FSC-klagomål.docx", "A 54498-2023")</f>
        <v/>
      </c>
      <c r="W620">
        <f>HYPERLINK("https://klasma.github.io/Logging_0480/klagomålsmail/A 54498-2023 FSC-klagomål mail.docx", "A 54498-2023")</f>
        <v/>
      </c>
      <c r="X620">
        <f>HYPERLINK("https://klasma.github.io/Logging_0480/tillsyn/A 54498-2023 tillsynsbegäran.docx", "A 54498-2023")</f>
        <v/>
      </c>
      <c r="Y620">
        <f>HYPERLINK("https://klasma.github.io/Logging_0480/tillsynsmail/A 54498-2023 tillsynsbegäran mail.docx", "A 54498-2023")</f>
        <v/>
      </c>
      <c r="Z620">
        <f>HYPERLINK("https://klasma.github.io/Logging_0480/fåglar/A 54498-2023 prioriterade fågelarter.docx", "A 54498-2023")</f>
        <v/>
      </c>
    </row>
    <row r="621" ht="15" customHeight="1">
      <c r="A621" t="inlineStr">
        <is>
          <t>A 52847-2023</t>
        </is>
      </c>
      <c r="B621" s="1" t="n">
        <v>45226</v>
      </c>
      <c r="C621" s="1" t="n">
        <v>45843</v>
      </c>
      <c r="D621" t="inlineStr">
        <is>
          <t>SÖDERMANLANDS LÄN</t>
        </is>
      </c>
      <c r="E621" t="inlineStr">
        <is>
          <t>STRÄNGNÄS</t>
        </is>
      </c>
      <c r="G621" t="n">
        <v>5.9</v>
      </c>
      <c r="H621" t="n">
        <v>0</v>
      </c>
      <c r="I621" t="n">
        <v>0</v>
      </c>
      <c r="J621" t="n">
        <v>1</v>
      </c>
      <c r="K621" t="n">
        <v>0</v>
      </c>
      <c r="L621" t="n">
        <v>0</v>
      </c>
      <c r="M621" t="n">
        <v>0</v>
      </c>
      <c r="N621" t="n">
        <v>0</v>
      </c>
      <c r="O621" t="n">
        <v>1</v>
      </c>
      <c r="P621" t="n">
        <v>0</v>
      </c>
      <c r="Q621" t="n">
        <v>1</v>
      </c>
      <c r="R621" s="2" t="inlineStr">
        <is>
          <t>Backklöver</t>
        </is>
      </c>
      <c r="S621">
        <f>HYPERLINK("https://klasma.github.io/Logging_0486/artfynd/A 52847-2023 artfynd.xlsx", "A 52847-2023")</f>
        <v/>
      </c>
      <c r="T621">
        <f>HYPERLINK("https://klasma.github.io/Logging_0486/kartor/A 52847-2023 karta.png", "A 52847-2023")</f>
        <v/>
      </c>
      <c r="V621">
        <f>HYPERLINK("https://klasma.github.io/Logging_0486/klagomål/A 52847-2023 FSC-klagomål.docx", "A 52847-2023")</f>
        <v/>
      </c>
      <c r="W621">
        <f>HYPERLINK("https://klasma.github.io/Logging_0486/klagomålsmail/A 52847-2023 FSC-klagomål mail.docx", "A 52847-2023")</f>
        <v/>
      </c>
      <c r="X621">
        <f>HYPERLINK("https://klasma.github.io/Logging_0486/tillsyn/A 52847-2023 tillsynsbegäran.docx", "A 52847-2023")</f>
        <v/>
      </c>
      <c r="Y621">
        <f>HYPERLINK("https://klasma.github.io/Logging_0486/tillsynsmail/A 52847-2023 tillsynsbegäran mail.docx", "A 52847-2023")</f>
        <v/>
      </c>
    </row>
    <row r="622" ht="15" customHeight="1">
      <c r="A622" t="inlineStr">
        <is>
          <t>A 52768-2023</t>
        </is>
      </c>
      <c r="B622" s="1" t="n">
        <v>45226</v>
      </c>
      <c r="C622" s="1" t="n">
        <v>45843</v>
      </c>
      <c r="D622" t="inlineStr">
        <is>
          <t>SÖDERMANLANDS LÄN</t>
        </is>
      </c>
      <c r="E622" t="inlineStr">
        <is>
          <t>KATRINEHOLM</t>
        </is>
      </c>
      <c r="G622" t="n">
        <v>2.1</v>
      </c>
      <c r="H622" t="n">
        <v>0</v>
      </c>
      <c r="I622" t="n">
        <v>0</v>
      </c>
      <c r="J622" t="n">
        <v>1</v>
      </c>
      <c r="K622" t="n">
        <v>0</v>
      </c>
      <c r="L622" t="n">
        <v>0</v>
      </c>
      <c r="M622" t="n">
        <v>0</v>
      </c>
      <c r="N622" t="n">
        <v>0</v>
      </c>
      <c r="O622" t="n">
        <v>1</v>
      </c>
      <c r="P622" t="n">
        <v>0</v>
      </c>
      <c r="Q622" t="n">
        <v>1</v>
      </c>
      <c r="R622" s="2" t="inlineStr">
        <is>
          <t>Tallticka</t>
        </is>
      </c>
      <c r="S622">
        <f>HYPERLINK("https://klasma.github.io/Logging_0483/artfynd/A 52768-2023 artfynd.xlsx", "A 52768-2023")</f>
        <v/>
      </c>
      <c r="T622">
        <f>HYPERLINK("https://klasma.github.io/Logging_0483/kartor/A 52768-2023 karta.png", "A 52768-2023")</f>
        <v/>
      </c>
      <c r="V622">
        <f>HYPERLINK("https://klasma.github.io/Logging_0483/klagomål/A 52768-2023 FSC-klagomål.docx", "A 52768-2023")</f>
        <v/>
      </c>
      <c r="W622">
        <f>HYPERLINK("https://klasma.github.io/Logging_0483/klagomålsmail/A 52768-2023 FSC-klagomål mail.docx", "A 52768-2023")</f>
        <v/>
      </c>
      <c r="X622">
        <f>HYPERLINK("https://klasma.github.io/Logging_0483/tillsyn/A 52768-2023 tillsynsbegäran.docx", "A 52768-2023")</f>
        <v/>
      </c>
      <c r="Y622">
        <f>HYPERLINK("https://klasma.github.io/Logging_0483/tillsynsmail/A 52768-2023 tillsynsbegäran mail.docx", "A 52768-2023")</f>
        <v/>
      </c>
    </row>
    <row r="623" ht="15" customHeight="1">
      <c r="A623" t="inlineStr">
        <is>
          <t>A 53340-2023</t>
        </is>
      </c>
      <c r="B623" s="1" t="n">
        <v>45229</v>
      </c>
      <c r="C623" s="1" t="n">
        <v>45843</v>
      </c>
      <c r="D623" t="inlineStr">
        <is>
          <t>SÖDERMANLANDS LÄN</t>
        </is>
      </c>
      <c r="E623" t="inlineStr">
        <is>
          <t>NYKÖPING</t>
        </is>
      </c>
      <c r="F623" t="inlineStr">
        <is>
          <t>Holmen skog AB</t>
        </is>
      </c>
      <c r="G623" t="n">
        <v>2.6</v>
      </c>
      <c r="H623" t="n">
        <v>0</v>
      </c>
      <c r="I623" t="n">
        <v>0</v>
      </c>
      <c r="J623" t="n">
        <v>1</v>
      </c>
      <c r="K623" t="n">
        <v>0</v>
      </c>
      <c r="L623" t="n">
        <v>0</v>
      </c>
      <c r="M623" t="n">
        <v>0</v>
      </c>
      <c r="N623" t="n">
        <v>0</v>
      </c>
      <c r="O623" t="n">
        <v>1</v>
      </c>
      <c r="P623" t="n">
        <v>0</v>
      </c>
      <c r="Q623" t="n">
        <v>1</v>
      </c>
      <c r="R623" s="2" t="inlineStr">
        <is>
          <t>Tallticka</t>
        </is>
      </c>
      <c r="S623">
        <f>HYPERLINK("https://klasma.github.io/Logging_0480/artfynd/A 53340-2023 artfynd.xlsx", "A 53340-2023")</f>
        <v/>
      </c>
      <c r="T623">
        <f>HYPERLINK("https://klasma.github.io/Logging_0480/kartor/A 53340-2023 karta.png", "A 53340-2023")</f>
        <v/>
      </c>
      <c r="V623">
        <f>HYPERLINK("https://klasma.github.io/Logging_0480/klagomål/A 53340-2023 FSC-klagomål.docx", "A 53340-2023")</f>
        <v/>
      </c>
      <c r="W623">
        <f>HYPERLINK("https://klasma.github.io/Logging_0480/klagomålsmail/A 53340-2023 FSC-klagomål mail.docx", "A 53340-2023")</f>
        <v/>
      </c>
      <c r="X623">
        <f>HYPERLINK("https://klasma.github.io/Logging_0480/tillsyn/A 53340-2023 tillsynsbegäran.docx", "A 53340-2023")</f>
        <v/>
      </c>
      <c r="Y623">
        <f>HYPERLINK("https://klasma.github.io/Logging_0480/tillsynsmail/A 53340-2023 tillsynsbegäran mail.docx", "A 53340-2023")</f>
        <v/>
      </c>
    </row>
    <row r="624" ht="15" customHeight="1">
      <c r="A624" t="inlineStr">
        <is>
          <t>A 53154-2023</t>
        </is>
      </c>
      <c r="B624" s="1" t="n">
        <v>45229</v>
      </c>
      <c r="C624" s="1" t="n">
        <v>45843</v>
      </c>
      <c r="D624" t="inlineStr">
        <is>
          <t>SÖDERMANLANDS LÄN</t>
        </is>
      </c>
      <c r="E624" t="inlineStr">
        <is>
          <t>KATRINEHOLM</t>
        </is>
      </c>
      <c r="G624" t="n">
        <v>2.1</v>
      </c>
      <c r="H624" t="n">
        <v>1</v>
      </c>
      <c r="I624" t="n">
        <v>0</v>
      </c>
      <c r="J624" t="n">
        <v>0</v>
      </c>
      <c r="K624" t="n">
        <v>0</v>
      </c>
      <c r="L624" t="n">
        <v>0</v>
      </c>
      <c r="M624" t="n">
        <v>0</v>
      </c>
      <c r="N624" t="n">
        <v>0</v>
      </c>
      <c r="O624" t="n">
        <v>0</v>
      </c>
      <c r="P624" t="n">
        <v>0</v>
      </c>
      <c r="Q624" t="n">
        <v>1</v>
      </c>
      <c r="R624" s="2" t="inlineStr">
        <is>
          <t>Skogsduva</t>
        </is>
      </c>
      <c r="S624">
        <f>HYPERLINK("https://klasma.github.io/Logging_0483/artfynd/A 53154-2023 artfynd.xlsx", "A 53154-2023")</f>
        <v/>
      </c>
      <c r="T624">
        <f>HYPERLINK("https://klasma.github.io/Logging_0483/kartor/A 53154-2023 karta.png", "A 53154-2023")</f>
        <v/>
      </c>
      <c r="V624">
        <f>HYPERLINK("https://klasma.github.io/Logging_0483/klagomål/A 53154-2023 FSC-klagomål.docx", "A 53154-2023")</f>
        <v/>
      </c>
      <c r="W624">
        <f>HYPERLINK("https://klasma.github.io/Logging_0483/klagomålsmail/A 53154-2023 FSC-klagomål mail.docx", "A 53154-2023")</f>
        <v/>
      </c>
      <c r="X624">
        <f>HYPERLINK("https://klasma.github.io/Logging_0483/tillsyn/A 53154-2023 tillsynsbegäran.docx", "A 53154-2023")</f>
        <v/>
      </c>
      <c r="Y624">
        <f>HYPERLINK("https://klasma.github.io/Logging_0483/tillsynsmail/A 53154-2023 tillsynsbegäran mail.docx", "A 53154-2023")</f>
        <v/>
      </c>
      <c r="Z624">
        <f>HYPERLINK("https://klasma.github.io/Logging_0483/fåglar/A 53154-2023 prioriterade fågelarter.docx", "A 53154-2023")</f>
        <v/>
      </c>
    </row>
    <row r="625" ht="15" customHeight="1">
      <c r="A625" t="inlineStr">
        <is>
          <t>A 53990-2023</t>
        </is>
      </c>
      <c r="B625" s="1" t="n">
        <v>45231</v>
      </c>
      <c r="C625" s="1" t="n">
        <v>45843</v>
      </c>
      <c r="D625" t="inlineStr">
        <is>
          <t>SÖDERMANLANDS LÄN</t>
        </is>
      </c>
      <c r="E625" t="inlineStr">
        <is>
          <t>KATRINEHOLM</t>
        </is>
      </c>
      <c r="G625" t="n">
        <v>6.1</v>
      </c>
      <c r="H625" t="n">
        <v>0</v>
      </c>
      <c r="I625" t="n">
        <v>0</v>
      </c>
      <c r="J625" t="n">
        <v>1</v>
      </c>
      <c r="K625" t="n">
        <v>0</v>
      </c>
      <c r="L625" t="n">
        <v>0</v>
      </c>
      <c r="M625" t="n">
        <v>0</v>
      </c>
      <c r="N625" t="n">
        <v>0</v>
      </c>
      <c r="O625" t="n">
        <v>1</v>
      </c>
      <c r="P625" t="n">
        <v>0</v>
      </c>
      <c r="Q625" t="n">
        <v>1</v>
      </c>
      <c r="R625" s="2" t="inlineStr">
        <is>
          <t>Motaggsvamp</t>
        </is>
      </c>
      <c r="S625">
        <f>HYPERLINK("https://klasma.github.io/Logging_0483/artfynd/A 53990-2023 artfynd.xlsx", "A 53990-2023")</f>
        <v/>
      </c>
      <c r="T625">
        <f>HYPERLINK("https://klasma.github.io/Logging_0483/kartor/A 53990-2023 karta.png", "A 53990-2023")</f>
        <v/>
      </c>
      <c r="V625">
        <f>HYPERLINK("https://klasma.github.io/Logging_0483/klagomål/A 53990-2023 FSC-klagomål.docx", "A 53990-2023")</f>
        <v/>
      </c>
      <c r="W625">
        <f>HYPERLINK("https://klasma.github.io/Logging_0483/klagomålsmail/A 53990-2023 FSC-klagomål mail.docx", "A 53990-2023")</f>
        <v/>
      </c>
      <c r="X625">
        <f>HYPERLINK("https://klasma.github.io/Logging_0483/tillsyn/A 53990-2023 tillsynsbegäran.docx", "A 53990-2023")</f>
        <v/>
      </c>
      <c r="Y625">
        <f>HYPERLINK("https://klasma.github.io/Logging_0483/tillsynsmail/A 53990-2023 tillsynsbegäran mail.docx", "A 53990-2023")</f>
        <v/>
      </c>
    </row>
    <row r="626" ht="15" customHeight="1">
      <c r="A626" t="inlineStr">
        <is>
          <t>A 59329-2023</t>
        </is>
      </c>
      <c r="B626" s="1" t="n">
        <v>45252</v>
      </c>
      <c r="C626" s="1" t="n">
        <v>45843</v>
      </c>
      <c r="D626" t="inlineStr">
        <is>
          <t>SÖDERMANLANDS LÄN</t>
        </is>
      </c>
      <c r="E626" t="inlineStr">
        <is>
          <t>NYKÖPING</t>
        </is>
      </c>
      <c r="G626" t="n">
        <v>22.1</v>
      </c>
      <c r="H626" t="n">
        <v>1</v>
      </c>
      <c r="I626" t="n">
        <v>0</v>
      </c>
      <c r="J626" t="n">
        <v>0</v>
      </c>
      <c r="K626" t="n">
        <v>0</v>
      </c>
      <c r="L626" t="n">
        <v>0</v>
      </c>
      <c r="M626" t="n">
        <v>0</v>
      </c>
      <c r="N626" t="n">
        <v>0</v>
      </c>
      <c r="O626" t="n">
        <v>0</v>
      </c>
      <c r="P626" t="n">
        <v>0</v>
      </c>
      <c r="Q626" t="n">
        <v>1</v>
      </c>
      <c r="R626" s="2" t="inlineStr">
        <is>
          <t>Blåsippa</t>
        </is>
      </c>
      <c r="S626">
        <f>HYPERLINK("https://klasma.github.io/Logging_0480/artfynd/A 59329-2023 artfynd.xlsx", "A 59329-2023")</f>
        <v/>
      </c>
      <c r="T626">
        <f>HYPERLINK("https://klasma.github.io/Logging_0480/kartor/A 59329-2023 karta.png", "A 59329-2023")</f>
        <v/>
      </c>
      <c r="V626">
        <f>HYPERLINK("https://klasma.github.io/Logging_0480/klagomål/A 59329-2023 FSC-klagomål.docx", "A 59329-2023")</f>
        <v/>
      </c>
      <c r="W626">
        <f>HYPERLINK("https://klasma.github.io/Logging_0480/klagomålsmail/A 59329-2023 FSC-klagomål mail.docx", "A 59329-2023")</f>
        <v/>
      </c>
      <c r="X626">
        <f>HYPERLINK("https://klasma.github.io/Logging_0480/tillsyn/A 59329-2023 tillsynsbegäran.docx", "A 59329-2023")</f>
        <v/>
      </c>
      <c r="Y626">
        <f>HYPERLINK("https://klasma.github.io/Logging_0480/tillsynsmail/A 59329-2023 tillsynsbegäran mail.docx", "A 59329-2023")</f>
        <v/>
      </c>
    </row>
    <row r="627" ht="15" customHeight="1">
      <c r="A627" t="inlineStr">
        <is>
          <t>A 60807-2023</t>
        </is>
      </c>
      <c r="B627" s="1" t="n">
        <v>45260</v>
      </c>
      <c r="C627" s="1" t="n">
        <v>45843</v>
      </c>
      <c r="D627" t="inlineStr">
        <is>
          <t>SÖDERMANLANDS LÄN</t>
        </is>
      </c>
      <c r="E627" t="inlineStr">
        <is>
          <t>TROSA</t>
        </is>
      </c>
      <c r="G627" t="n">
        <v>7.8</v>
      </c>
      <c r="H627" t="n">
        <v>1</v>
      </c>
      <c r="I627" t="n">
        <v>0</v>
      </c>
      <c r="J627" t="n">
        <v>0</v>
      </c>
      <c r="K627" t="n">
        <v>0</v>
      </c>
      <c r="L627" t="n">
        <v>0</v>
      </c>
      <c r="M627" t="n">
        <v>0</v>
      </c>
      <c r="N627" t="n">
        <v>0</v>
      </c>
      <c r="O627" t="n">
        <v>0</v>
      </c>
      <c r="P627" t="n">
        <v>0</v>
      </c>
      <c r="Q627" t="n">
        <v>1</v>
      </c>
      <c r="R627" s="2" t="inlineStr">
        <is>
          <t>Tjäder</t>
        </is>
      </c>
      <c r="S627">
        <f>HYPERLINK("https://klasma.github.io/Logging_0488/artfynd/A 60807-2023 artfynd.xlsx", "A 60807-2023")</f>
        <v/>
      </c>
      <c r="T627">
        <f>HYPERLINK("https://klasma.github.io/Logging_0488/kartor/A 60807-2023 karta.png", "A 60807-2023")</f>
        <v/>
      </c>
      <c r="V627">
        <f>HYPERLINK("https://klasma.github.io/Logging_0488/klagomål/A 60807-2023 FSC-klagomål.docx", "A 60807-2023")</f>
        <v/>
      </c>
      <c r="W627">
        <f>HYPERLINK("https://klasma.github.io/Logging_0488/klagomålsmail/A 60807-2023 FSC-klagomål mail.docx", "A 60807-2023")</f>
        <v/>
      </c>
      <c r="X627">
        <f>HYPERLINK("https://klasma.github.io/Logging_0488/tillsyn/A 60807-2023 tillsynsbegäran.docx", "A 60807-2023")</f>
        <v/>
      </c>
      <c r="Y627">
        <f>HYPERLINK("https://klasma.github.io/Logging_0488/tillsynsmail/A 60807-2023 tillsynsbegäran mail.docx", "A 60807-2023")</f>
        <v/>
      </c>
      <c r="Z627">
        <f>HYPERLINK("https://klasma.github.io/Logging_0488/fåglar/A 60807-2023 prioriterade fågelarter.docx", "A 60807-2023")</f>
        <v/>
      </c>
    </row>
    <row r="628" ht="15" customHeight="1">
      <c r="A628" t="inlineStr">
        <is>
          <t>A 62737-2023</t>
        </is>
      </c>
      <c r="B628" s="1" t="n">
        <v>45271</v>
      </c>
      <c r="C628" s="1" t="n">
        <v>45843</v>
      </c>
      <c r="D628" t="inlineStr">
        <is>
          <t>SÖDERMANLANDS LÄN</t>
        </is>
      </c>
      <c r="E628" t="inlineStr">
        <is>
          <t>GNESTA</t>
        </is>
      </c>
      <c r="G628" t="n">
        <v>5.5</v>
      </c>
      <c r="H628" t="n">
        <v>0</v>
      </c>
      <c r="I628" t="n">
        <v>0</v>
      </c>
      <c r="J628" t="n">
        <v>0</v>
      </c>
      <c r="K628" t="n">
        <v>0</v>
      </c>
      <c r="L628" t="n">
        <v>1</v>
      </c>
      <c r="M628" t="n">
        <v>0</v>
      </c>
      <c r="N628" t="n">
        <v>0</v>
      </c>
      <c r="O628" t="n">
        <v>1</v>
      </c>
      <c r="P628" t="n">
        <v>1</v>
      </c>
      <c r="Q628" t="n">
        <v>1</v>
      </c>
      <c r="R628" s="2" t="inlineStr">
        <is>
          <t>Ask</t>
        </is>
      </c>
      <c r="S628">
        <f>HYPERLINK("https://klasma.github.io/Logging_0461/artfynd/A 62737-2023 artfynd.xlsx", "A 62737-2023")</f>
        <v/>
      </c>
      <c r="T628">
        <f>HYPERLINK("https://klasma.github.io/Logging_0461/kartor/A 62737-2023 karta.png", "A 62737-2023")</f>
        <v/>
      </c>
      <c r="V628">
        <f>HYPERLINK("https://klasma.github.io/Logging_0461/klagomål/A 62737-2023 FSC-klagomål.docx", "A 62737-2023")</f>
        <v/>
      </c>
      <c r="W628">
        <f>HYPERLINK("https://klasma.github.io/Logging_0461/klagomålsmail/A 62737-2023 FSC-klagomål mail.docx", "A 62737-2023")</f>
        <v/>
      </c>
      <c r="X628">
        <f>HYPERLINK("https://klasma.github.io/Logging_0461/tillsyn/A 62737-2023 tillsynsbegäran.docx", "A 62737-2023")</f>
        <v/>
      </c>
      <c r="Y628">
        <f>HYPERLINK("https://klasma.github.io/Logging_0461/tillsynsmail/A 62737-2023 tillsynsbegäran mail.docx", "A 62737-2023")</f>
        <v/>
      </c>
    </row>
    <row r="629" ht="15" customHeight="1">
      <c r="A629" t="inlineStr">
        <is>
          <t>A 65231-2023</t>
        </is>
      </c>
      <c r="B629" s="1" t="n">
        <v>45289</v>
      </c>
      <c r="C629" s="1" t="n">
        <v>45843</v>
      </c>
      <c r="D629" t="inlineStr">
        <is>
          <t>SÖDERMANLANDS LÄN</t>
        </is>
      </c>
      <c r="E629" t="inlineStr">
        <is>
          <t>NYKÖPING</t>
        </is>
      </c>
      <c r="G629" t="n">
        <v>5.4</v>
      </c>
      <c r="H629" t="n">
        <v>1</v>
      </c>
      <c r="I629" t="n">
        <v>0</v>
      </c>
      <c r="J629" t="n">
        <v>0</v>
      </c>
      <c r="K629" t="n">
        <v>0</v>
      </c>
      <c r="L629" t="n">
        <v>1</v>
      </c>
      <c r="M629" t="n">
        <v>0</v>
      </c>
      <c r="N629" t="n">
        <v>0</v>
      </c>
      <c r="O629" t="n">
        <v>1</v>
      </c>
      <c r="P629" t="n">
        <v>1</v>
      </c>
      <c r="Q629" t="n">
        <v>1</v>
      </c>
      <c r="R629" s="2" t="inlineStr">
        <is>
          <t>Brun glada</t>
        </is>
      </c>
      <c r="S629">
        <f>HYPERLINK("https://klasma.github.io/Logging_0480/artfynd/A 65231-2023 artfynd.xlsx", "A 65231-2023")</f>
        <v/>
      </c>
      <c r="T629">
        <f>HYPERLINK("https://klasma.github.io/Logging_0480/kartor/A 65231-2023 karta.png", "A 65231-2023")</f>
        <v/>
      </c>
      <c r="V629">
        <f>HYPERLINK("https://klasma.github.io/Logging_0480/klagomål/A 65231-2023 FSC-klagomål.docx", "A 65231-2023")</f>
        <v/>
      </c>
      <c r="W629">
        <f>HYPERLINK("https://klasma.github.io/Logging_0480/klagomålsmail/A 65231-2023 FSC-klagomål mail.docx", "A 65231-2023")</f>
        <v/>
      </c>
      <c r="X629">
        <f>HYPERLINK("https://klasma.github.io/Logging_0480/tillsyn/A 65231-2023 tillsynsbegäran.docx", "A 65231-2023")</f>
        <v/>
      </c>
      <c r="Y629">
        <f>HYPERLINK("https://klasma.github.io/Logging_0480/tillsynsmail/A 65231-2023 tillsynsbegäran mail.docx", "A 65231-2023")</f>
        <v/>
      </c>
      <c r="Z629">
        <f>HYPERLINK("https://klasma.github.io/Logging_0480/fåglar/A 65231-2023 prioriterade fågelarter.docx", "A 65231-2023")</f>
        <v/>
      </c>
    </row>
    <row r="630" ht="15" customHeight="1">
      <c r="A630" t="inlineStr">
        <is>
          <t>A 891-2024</t>
        </is>
      </c>
      <c r="B630" s="1" t="n">
        <v>45301</v>
      </c>
      <c r="C630" s="1" t="n">
        <v>45843</v>
      </c>
      <c r="D630" t="inlineStr">
        <is>
          <t>SÖDERMANLANDS LÄN</t>
        </is>
      </c>
      <c r="E630" t="inlineStr">
        <is>
          <t>NYKÖPING</t>
        </is>
      </c>
      <c r="F630" t="inlineStr">
        <is>
          <t>Holmen skog AB</t>
        </is>
      </c>
      <c r="G630" t="n">
        <v>2.1</v>
      </c>
      <c r="H630" t="n">
        <v>0</v>
      </c>
      <c r="I630" t="n">
        <v>1</v>
      </c>
      <c r="J630" t="n">
        <v>0</v>
      </c>
      <c r="K630" t="n">
        <v>0</v>
      </c>
      <c r="L630" t="n">
        <v>0</v>
      </c>
      <c r="M630" t="n">
        <v>0</v>
      </c>
      <c r="N630" t="n">
        <v>0</v>
      </c>
      <c r="O630" t="n">
        <v>0</v>
      </c>
      <c r="P630" t="n">
        <v>0</v>
      </c>
      <c r="Q630" t="n">
        <v>1</v>
      </c>
      <c r="R630" s="2" t="inlineStr">
        <is>
          <t>Blåmossa</t>
        </is>
      </c>
      <c r="S630">
        <f>HYPERLINK("https://klasma.github.io/Logging_0480/artfynd/A 891-2024 artfynd.xlsx", "A 891-2024")</f>
        <v/>
      </c>
      <c r="T630">
        <f>HYPERLINK("https://klasma.github.io/Logging_0480/kartor/A 891-2024 karta.png", "A 891-2024")</f>
        <v/>
      </c>
      <c r="V630">
        <f>HYPERLINK("https://klasma.github.io/Logging_0480/klagomål/A 891-2024 FSC-klagomål.docx", "A 891-2024")</f>
        <v/>
      </c>
      <c r="W630">
        <f>HYPERLINK("https://klasma.github.io/Logging_0480/klagomålsmail/A 891-2024 FSC-klagomål mail.docx", "A 891-2024")</f>
        <v/>
      </c>
      <c r="X630">
        <f>HYPERLINK("https://klasma.github.io/Logging_0480/tillsyn/A 891-2024 tillsynsbegäran.docx", "A 891-2024")</f>
        <v/>
      </c>
      <c r="Y630">
        <f>HYPERLINK("https://klasma.github.io/Logging_0480/tillsynsmail/A 891-2024 tillsynsbegäran mail.docx", "A 891-2024")</f>
        <v/>
      </c>
    </row>
    <row r="631" ht="15" customHeight="1">
      <c r="A631" t="inlineStr">
        <is>
          <t>A 1712-2024</t>
        </is>
      </c>
      <c r="B631" s="1" t="n">
        <v>45307</v>
      </c>
      <c r="C631" s="1" t="n">
        <v>45843</v>
      </c>
      <c r="D631" t="inlineStr">
        <is>
          <t>SÖDERMANLANDS LÄN</t>
        </is>
      </c>
      <c r="E631" t="inlineStr">
        <is>
          <t>GNESTA</t>
        </is>
      </c>
      <c r="G631" t="n">
        <v>5.9</v>
      </c>
      <c r="H631" t="n">
        <v>0</v>
      </c>
      <c r="I631" t="n">
        <v>0</v>
      </c>
      <c r="J631" t="n">
        <v>1</v>
      </c>
      <c r="K631" t="n">
        <v>0</v>
      </c>
      <c r="L631" t="n">
        <v>0</v>
      </c>
      <c r="M631" t="n">
        <v>0</v>
      </c>
      <c r="N631" t="n">
        <v>0</v>
      </c>
      <c r="O631" t="n">
        <v>1</v>
      </c>
      <c r="P631" t="n">
        <v>0</v>
      </c>
      <c r="Q631" t="n">
        <v>1</v>
      </c>
      <c r="R631" s="2" t="inlineStr">
        <is>
          <t>Svinrot</t>
        </is>
      </c>
      <c r="S631">
        <f>HYPERLINK("https://klasma.github.io/Logging_0461/artfynd/A 1712-2024 artfynd.xlsx", "A 1712-2024")</f>
        <v/>
      </c>
      <c r="T631">
        <f>HYPERLINK("https://klasma.github.io/Logging_0461/kartor/A 1712-2024 karta.png", "A 1712-2024")</f>
        <v/>
      </c>
      <c r="V631">
        <f>HYPERLINK("https://klasma.github.io/Logging_0461/klagomål/A 1712-2024 FSC-klagomål.docx", "A 1712-2024")</f>
        <v/>
      </c>
      <c r="W631">
        <f>HYPERLINK("https://klasma.github.io/Logging_0461/klagomålsmail/A 1712-2024 FSC-klagomål mail.docx", "A 1712-2024")</f>
        <v/>
      </c>
      <c r="X631">
        <f>HYPERLINK("https://klasma.github.io/Logging_0461/tillsyn/A 1712-2024 tillsynsbegäran.docx", "A 1712-2024")</f>
        <v/>
      </c>
      <c r="Y631">
        <f>HYPERLINK("https://klasma.github.io/Logging_0461/tillsynsmail/A 1712-2024 tillsynsbegäran mail.docx", "A 1712-2024")</f>
        <v/>
      </c>
    </row>
    <row r="632" ht="15" customHeight="1">
      <c r="A632" t="inlineStr">
        <is>
          <t>A 2794-2024</t>
        </is>
      </c>
      <c r="B632" s="1" t="n">
        <v>45314</v>
      </c>
      <c r="C632" s="1" t="n">
        <v>45843</v>
      </c>
      <c r="D632" t="inlineStr">
        <is>
          <t>SÖDERMANLANDS LÄN</t>
        </is>
      </c>
      <c r="E632" t="inlineStr">
        <is>
          <t>ESKILSTUNA</t>
        </is>
      </c>
      <c r="F632" t="inlineStr">
        <is>
          <t>Allmännings- och besparingsskogar</t>
        </is>
      </c>
      <c r="G632" t="n">
        <v>16.2</v>
      </c>
      <c r="H632" t="n">
        <v>1</v>
      </c>
      <c r="I632" t="n">
        <v>0</v>
      </c>
      <c r="J632" t="n">
        <v>1</v>
      </c>
      <c r="K632" t="n">
        <v>0</v>
      </c>
      <c r="L632" t="n">
        <v>0</v>
      </c>
      <c r="M632" t="n">
        <v>0</v>
      </c>
      <c r="N632" t="n">
        <v>0</v>
      </c>
      <c r="O632" t="n">
        <v>1</v>
      </c>
      <c r="P632" t="n">
        <v>0</v>
      </c>
      <c r="Q632" t="n">
        <v>1</v>
      </c>
      <c r="R632" s="2" t="inlineStr">
        <is>
          <t>Björktrast</t>
        </is>
      </c>
      <c r="S632">
        <f>HYPERLINK("https://klasma.github.io/Logging_0484/artfynd/A 2794-2024 artfynd.xlsx", "A 2794-2024")</f>
        <v/>
      </c>
      <c r="T632">
        <f>HYPERLINK("https://klasma.github.io/Logging_0484/kartor/A 2794-2024 karta.png", "A 2794-2024")</f>
        <v/>
      </c>
      <c r="V632">
        <f>HYPERLINK("https://klasma.github.io/Logging_0484/klagomål/A 2794-2024 FSC-klagomål.docx", "A 2794-2024")</f>
        <v/>
      </c>
      <c r="W632">
        <f>HYPERLINK("https://klasma.github.io/Logging_0484/klagomålsmail/A 2794-2024 FSC-klagomål mail.docx", "A 2794-2024")</f>
        <v/>
      </c>
      <c r="X632">
        <f>HYPERLINK("https://klasma.github.io/Logging_0484/tillsyn/A 2794-2024 tillsynsbegäran.docx", "A 2794-2024")</f>
        <v/>
      </c>
      <c r="Y632">
        <f>HYPERLINK("https://klasma.github.io/Logging_0484/tillsynsmail/A 2794-2024 tillsynsbegäran mail.docx", "A 2794-2024")</f>
        <v/>
      </c>
      <c r="Z632">
        <f>HYPERLINK("https://klasma.github.io/Logging_0484/fåglar/A 2794-2024 prioriterade fågelarter.docx", "A 2794-2024")</f>
        <v/>
      </c>
    </row>
    <row r="633" ht="15" customHeight="1">
      <c r="A633" t="inlineStr">
        <is>
          <t>A 2902-2024</t>
        </is>
      </c>
      <c r="B633" s="1" t="n">
        <v>45315</v>
      </c>
      <c r="C633" s="1" t="n">
        <v>45843</v>
      </c>
      <c r="D633" t="inlineStr">
        <is>
          <t>SÖDERMANLANDS LÄN</t>
        </is>
      </c>
      <c r="E633" t="inlineStr">
        <is>
          <t>NYKÖPING</t>
        </is>
      </c>
      <c r="F633" t="inlineStr">
        <is>
          <t>Kyrkan</t>
        </is>
      </c>
      <c r="G633" t="n">
        <v>3.7</v>
      </c>
      <c r="H633" t="n">
        <v>0</v>
      </c>
      <c r="I633" t="n">
        <v>1</v>
      </c>
      <c r="J633" t="n">
        <v>0</v>
      </c>
      <c r="K633" t="n">
        <v>0</v>
      </c>
      <c r="L633" t="n">
        <v>0</v>
      </c>
      <c r="M633" t="n">
        <v>0</v>
      </c>
      <c r="N633" t="n">
        <v>0</v>
      </c>
      <c r="O633" t="n">
        <v>0</v>
      </c>
      <c r="P633" t="n">
        <v>0</v>
      </c>
      <c r="Q633" t="n">
        <v>1</v>
      </c>
      <c r="R633" s="2" t="inlineStr">
        <is>
          <t>Stubbspretmossa</t>
        </is>
      </c>
      <c r="S633">
        <f>HYPERLINK("https://klasma.github.io/Logging_0480/artfynd/A 2902-2024 artfynd.xlsx", "A 2902-2024")</f>
        <v/>
      </c>
      <c r="T633">
        <f>HYPERLINK("https://klasma.github.io/Logging_0480/kartor/A 2902-2024 karta.png", "A 2902-2024")</f>
        <v/>
      </c>
      <c r="V633">
        <f>HYPERLINK("https://klasma.github.io/Logging_0480/klagomål/A 2902-2024 FSC-klagomål.docx", "A 2902-2024")</f>
        <v/>
      </c>
      <c r="W633">
        <f>HYPERLINK("https://klasma.github.io/Logging_0480/klagomålsmail/A 2902-2024 FSC-klagomål mail.docx", "A 2902-2024")</f>
        <v/>
      </c>
      <c r="X633">
        <f>HYPERLINK("https://klasma.github.io/Logging_0480/tillsyn/A 2902-2024 tillsynsbegäran.docx", "A 2902-2024")</f>
        <v/>
      </c>
      <c r="Y633">
        <f>HYPERLINK("https://klasma.github.io/Logging_0480/tillsynsmail/A 2902-2024 tillsynsbegäran mail.docx", "A 2902-2024")</f>
        <v/>
      </c>
    </row>
    <row r="634" ht="15" customHeight="1">
      <c r="A634" t="inlineStr">
        <is>
          <t>A 4154-2024</t>
        </is>
      </c>
      <c r="B634" s="1" t="n">
        <v>45323</v>
      </c>
      <c r="C634" s="1" t="n">
        <v>45843</v>
      </c>
      <c r="D634" t="inlineStr">
        <is>
          <t>SÖDERMANLANDS LÄN</t>
        </is>
      </c>
      <c r="E634" t="inlineStr">
        <is>
          <t>FLEN</t>
        </is>
      </c>
      <c r="G634" t="n">
        <v>1.1</v>
      </c>
      <c r="H634" t="n">
        <v>0</v>
      </c>
      <c r="I634" t="n">
        <v>0</v>
      </c>
      <c r="J634" t="n">
        <v>1</v>
      </c>
      <c r="K634" t="n">
        <v>0</v>
      </c>
      <c r="L634" t="n">
        <v>0</v>
      </c>
      <c r="M634" t="n">
        <v>0</v>
      </c>
      <c r="N634" t="n">
        <v>0</v>
      </c>
      <c r="O634" t="n">
        <v>1</v>
      </c>
      <c r="P634" t="n">
        <v>0</v>
      </c>
      <c r="Q634" t="n">
        <v>1</v>
      </c>
      <c r="R634" s="2" t="inlineStr">
        <is>
          <t>Vippärt</t>
        </is>
      </c>
      <c r="S634">
        <f>HYPERLINK("https://klasma.github.io/Logging_0482/artfynd/A 4154-2024 artfynd.xlsx", "A 4154-2024")</f>
        <v/>
      </c>
      <c r="T634">
        <f>HYPERLINK("https://klasma.github.io/Logging_0482/kartor/A 4154-2024 karta.png", "A 4154-2024")</f>
        <v/>
      </c>
      <c r="V634">
        <f>HYPERLINK("https://klasma.github.io/Logging_0482/klagomål/A 4154-2024 FSC-klagomål.docx", "A 4154-2024")</f>
        <v/>
      </c>
      <c r="W634">
        <f>HYPERLINK("https://klasma.github.io/Logging_0482/klagomålsmail/A 4154-2024 FSC-klagomål mail.docx", "A 4154-2024")</f>
        <v/>
      </c>
      <c r="X634">
        <f>HYPERLINK("https://klasma.github.io/Logging_0482/tillsyn/A 4154-2024 tillsynsbegäran.docx", "A 4154-2024")</f>
        <v/>
      </c>
      <c r="Y634">
        <f>HYPERLINK("https://klasma.github.io/Logging_0482/tillsynsmail/A 4154-2024 tillsynsbegäran mail.docx", "A 4154-2024")</f>
        <v/>
      </c>
    </row>
    <row r="635" ht="15" customHeight="1">
      <c r="A635" t="inlineStr">
        <is>
          <t>A 4725-2024</t>
        </is>
      </c>
      <c r="B635" s="1" t="n">
        <v>45328</v>
      </c>
      <c r="C635" s="1" t="n">
        <v>45843</v>
      </c>
      <c r="D635" t="inlineStr">
        <is>
          <t>SÖDERMANLANDS LÄN</t>
        </is>
      </c>
      <c r="E635" t="inlineStr">
        <is>
          <t>NYKÖPING</t>
        </is>
      </c>
      <c r="G635" t="n">
        <v>4.7</v>
      </c>
      <c r="H635" t="n">
        <v>0</v>
      </c>
      <c r="I635" t="n">
        <v>0</v>
      </c>
      <c r="J635" t="n">
        <v>0</v>
      </c>
      <c r="K635" t="n">
        <v>1</v>
      </c>
      <c r="L635" t="n">
        <v>0</v>
      </c>
      <c r="M635" t="n">
        <v>0</v>
      </c>
      <c r="N635" t="n">
        <v>0</v>
      </c>
      <c r="O635" t="n">
        <v>1</v>
      </c>
      <c r="P635" t="n">
        <v>1</v>
      </c>
      <c r="Q635" t="n">
        <v>1</v>
      </c>
      <c r="R635" s="2" t="inlineStr">
        <is>
          <t>Plattsäv</t>
        </is>
      </c>
      <c r="S635">
        <f>HYPERLINK("https://klasma.github.io/Logging_0480/artfynd/A 4725-2024 artfynd.xlsx", "A 4725-2024")</f>
        <v/>
      </c>
      <c r="T635">
        <f>HYPERLINK("https://klasma.github.io/Logging_0480/kartor/A 4725-2024 karta.png", "A 4725-2024")</f>
        <v/>
      </c>
      <c r="V635">
        <f>HYPERLINK("https://klasma.github.io/Logging_0480/klagomål/A 4725-2024 FSC-klagomål.docx", "A 4725-2024")</f>
        <v/>
      </c>
      <c r="W635">
        <f>HYPERLINK("https://klasma.github.io/Logging_0480/klagomålsmail/A 4725-2024 FSC-klagomål mail.docx", "A 4725-2024")</f>
        <v/>
      </c>
      <c r="X635">
        <f>HYPERLINK("https://klasma.github.io/Logging_0480/tillsyn/A 4725-2024 tillsynsbegäran.docx", "A 4725-2024")</f>
        <v/>
      </c>
      <c r="Y635">
        <f>HYPERLINK("https://klasma.github.io/Logging_0480/tillsynsmail/A 4725-2024 tillsynsbegäran mail.docx", "A 4725-2024")</f>
        <v/>
      </c>
    </row>
    <row r="636" ht="15" customHeight="1">
      <c r="A636" t="inlineStr">
        <is>
          <t>A 7525-2024</t>
        </is>
      </c>
      <c r="B636" s="1" t="n">
        <v>45348</v>
      </c>
      <c r="C636" s="1" t="n">
        <v>45843</v>
      </c>
      <c r="D636" t="inlineStr">
        <is>
          <t>SÖDERMANLANDS LÄN</t>
        </is>
      </c>
      <c r="E636" t="inlineStr">
        <is>
          <t>FLEN</t>
        </is>
      </c>
      <c r="G636" t="n">
        <v>2.3</v>
      </c>
      <c r="H636" t="n">
        <v>0</v>
      </c>
      <c r="I636" t="n">
        <v>0</v>
      </c>
      <c r="J636" t="n">
        <v>1</v>
      </c>
      <c r="K636" t="n">
        <v>0</v>
      </c>
      <c r="L636" t="n">
        <v>0</v>
      </c>
      <c r="M636" t="n">
        <v>0</v>
      </c>
      <c r="N636" t="n">
        <v>0</v>
      </c>
      <c r="O636" t="n">
        <v>1</v>
      </c>
      <c r="P636" t="n">
        <v>0</v>
      </c>
      <c r="Q636" t="n">
        <v>1</v>
      </c>
      <c r="R636" s="2" t="inlineStr">
        <is>
          <t>Vanlig backsmörblomma</t>
        </is>
      </c>
      <c r="S636">
        <f>HYPERLINK("https://klasma.github.io/Logging_0482/artfynd/A 7525-2024 artfynd.xlsx", "A 7525-2024")</f>
        <v/>
      </c>
      <c r="T636">
        <f>HYPERLINK("https://klasma.github.io/Logging_0482/kartor/A 7525-2024 karta.png", "A 7525-2024")</f>
        <v/>
      </c>
      <c r="V636">
        <f>HYPERLINK("https://klasma.github.io/Logging_0482/klagomål/A 7525-2024 FSC-klagomål.docx", "A 7525-2024")</f>
        <v/>
      </c>
      <c r="W636">
        <f>HYPERLINK("https://klasma.github.io/Logging_0482/klagomålsmail/A 7525-2024 FSC-klagomål mail.docx", "A 7525-2024")</f>
        <v/>
      </c>
      <c r="X636">
        <f>HYPERLINK("https://klasma.github.io/Logging_0482/tillsyn/A 7525-2024 tillsynsbegäran.docx", "A 7525-2024")</f>
        <v/>
      </c>
      <c r="Y636">
        <f>HYPERLINK("https://klasma.github.io/Logging_0482/tillsynsmail/A 7525-2024 tillsynsbegäran mail.docx", "A 7525-2024")</f>
        <v/>
      </c>
    </row>
    <row r="637" ht="15" customHeight="1">
      <c r="A637" t="inlineStr">
        <is>
          <t>A 7973-2024</t>
        </is>
      </c>
      <c r="B637" s="1" t="n">
        <v>45350</v>
      </c>
      <c r="C637" s="1" t="n">
        <v>45843</v>
      </c>
      <c r="D637" t="inlineStr">
        <is>
          <t>SÖDERMANLANDS LÄN</t>
        </is>
      </c>
      <c r="E637" t="inlineStr">
        <is>
          <t>FLEN</t>
        </is>
      </c>
      <c r="G637" t="n">
        <v>0.9</v>
      </c>
      <c r="H637" t="n">
        <v>0</v>
      </c>
      <c r="I637" t="n">
        <v>0</v>
      </c>
      <c r="J637" t="n">
        <v>1</v>
      </c>
      <c r="K637" t="n">
        <v>0</v>
      </c>
      <c r="L637" t="n">
        <v>0</v>
      </c>
      <c r="M637" t="n">
        <v>0</v>
      </c>
      <c r="N637" t="n">
        <v>0</v>
      </c>
      <c r="O637" t="n">
        <v>1</v>
      </c>
      <c r="P637" t="n">
        <v>0</v>
      </c>
      <c r="Q637" t="n">
        <v>1</v>
      </c>
      <c r="R637" s="2" t="inlineStr">
        <is>
          <t>Vippärt</t>
        </is>
      </c>
      <c r="S637">
        <f>HYPERLINK("https://klasma.github.io/Logging_0482/artfynd/A 7973-2024 artfynd.xlsx", "A 7973-2024")</f>
        <v/>
      </c>
      <c r="T637">
        <f>HYPERLINK("https://klasma.github.io/Logging_0482/kartor/A 7973-2024 karta.png", "A 7973-2024")</f>
        <v/>
      </c>
      <c r="V637">
        <f>HYPERLINK("https://klasma.github.io/Logging_0482/klagomål/A 7973-2024 FSC-klagomål.docx", "A 7973-2024")</f>
        <v/>
      </c>
      <c r="W637">
        <f>HYPERLINK("https://klasma.github.io/Logging_0482/klagomålsmail/A 7973-2024 FSC-klagomål mail.docx", "A 7973-2024")</f>
        <v/>
      </c>
      <c r="X637">
        <f>HYPERLINK("https://klasma.github.io/Logging_0482/tillsyn/A 7973-2024 tillsynsbegäran.docx", "A 7973-2024")</f>
        <v/>
      </c>
      <c r="Y637">
        <f>HYPERLINK("https://klasma.github.io/Logging_0482/tillsynsmail/A 7973-2024 tillsynsbegäran mail.docx", "A 7973-2024")</f>
        <v/>
      </c>
    </row>
    <row r="638" ht="15" customHeight="1">
      <c r="A638" t="inlineStr">
        <is>
          <t>A 9184-2024</t>
        </is>
      </c>
      <c r="B638" s="1" t="n">
        <v>45357</v>
      </c>
      <c r="C638" s="1" t="n">
        <v>45843</v>
      </c>
      <c r="D638" t="inlineStr">
        <is>
          <t>SÖDERMANLANDS LÄN</t>
        </is>
      </c>
      <c r="E638" t="inlineStr">
        <is>
          <t>NYKÖPING</t>
        </is>
      </c>
      <c r="F638" t="inlineStr">
        <is>
          <t>Kommuner</t>
        </is>
      </c>
      <c r="G638" t="n">
        <v>5.7</v>
      </c>
      <c r="H638" t="n">
        <v>0</v>
      </c>
      <c r="I638" t="n">
        <v>0</v>
      </c>
      <c r="J638" t="n">
        <v>0</v>
      </c>
      <c r="K638" t="n">
        <v>0</v>
      </c>
      <c r="L638" t="n">
        <v>1</v>
      </c>
      <c r="M638" t="n">
        <v>0</v>
      </c>
      <c r="N638" t="n">
        <v>0</v>
      </c>
      <c r="O638" t="n">
        <v>1</v>
      </c>
      <c r="P638" t="n">
        <v>1</v>
      </c>
      <c r="Q638" t="n">
        <v>1</v>
      </c>
      <c r="R638" s="2" t="inlineStr">
        <is>
          <t>Raggtaggsvamp</t>
        </is>
      </c>
      <c r="S638">
        <f>HYPERLINK("https://klasma.github.io/Logging_0480/artfynd/A 9184-2024 artfynd.xlsx", "A 9184-2024")</f>
        <v/>
      </c>
      <c r="T638">
        <f>HYPERLINK("https://klasma.github.io/Logging_0480/kartor/A 9184-2024 karta.png", "A 9184-2024")</f>
        <v/>
      </c>
      <c r="V638">
        <f>HYPERLINK("https://klasma.github.io/Logging_0480/klagomål/A 9184-2024 FSC-klagomål.docx", "A 9184-2024")</f>
        <v/>
      </c>
      <c r="W638">
        <f>HYPERLINK("https://klasma.github.io/Logging_0480/klagomålsmail/A 9184-2024 FSC-klagomål mail.docx", "A 9184-2024")</f>
        <v/>
      </c>
      <c r="X638">
        <f>HYPERLINK("https://klasma.github.io/Logging_0480/tillsyn/A 9184-2024 tillsynsbegäran.docx", "A 9184-2024")</f>
        <v/>
      </c>
      <c r="Y638">
        <f>HYPERLINK("https://klasma.github.io/Logging_0480/tillsynsmail/A 9184-2024 tillsynsbegäran mail.docx", "A 9184-2024")</f>
        <v/>
      </c>
    </row>
    <row r="639" ht="15" customHeight="1">
      <c r="A639" t="inlineStr">
        <is>
          <t>A 12056-2024</t>
        </is>
      </c>
      <c r="B639" s="1" t="n">
        <v>45377</v>
      </c>
      <c r="C639" s="1" t="n">
        <v>45843</v>
      </c>
      <c r="D639" t="inlineStr">
        <is>
          <t>SÖDERMANLANDS LÄN</t>
        </is>
      </c>
      <c r="E639" t="inlineStr">
        <is>
          <t>FLEN</t>
        </is>
      </c>
      <c r="G639" t="n">
        <v>8.4</v>
      </c>
      <c r="H639" t="n">
        <v>0</v>
      </c>
      <c r="I639" t="n">
        <v>1</v>
      </c>
      <c r="J639" t="n">
        <v>0</v>
      </c>
      <c r="K639" t="n">
        <v>0</v>
      </c>
      <c r="L639" t="n">
        <v>0</v>
      </c>
      <c r="M639" t="n">
        <v>0</v>
      </c>
      <c r="N639" t="n">
        <v>0</v>
      </c>
      <c r="O639" t="n">
        <v>0</v>
      </c>
      <c r="P639" t="n">
        <v>0</v>
      </c>
      <c r="Q639" t="n">
        <v>1</v>
      </c>
      <c r="R639" s="2" t="inlineStr">
        <is>
          <t>Fjällig taggsvamp s.str.</t>
        </is>
      </c>
      <c r="S639">
        <f>HYPERLINK("https://klasma.github.io/Logging_0482/artfynd/A 12056-2024 artfynd.xlsx", "A 12056-2024")</f>
        <v/>
      </c>
      <c r="T639">
        <f>HYPERLINK("https://klasma.github.io/Logging_0482/kartor/A 12056-2024 karta.png", "A 12056-2024")</f>
        <v/>
      </c>
      <c r="V639">
        <f>HYPERLINK("https://klasma.github.io/Logging_0482/klagomål/A 12056-2024 FSC-klagomål.docx", "A 12056-2024")</f>
        <v/>
      </c>
      <c r="W639">
        <f>HYPERLINK("https://klasma.github.io/Logging_0482/klagomålsmail/A 12056-2024 FSC-klagomål mail.docx", "A 12056-2024")</f>
        <v/>
      </c>
      <c r="X639">
        <f>HYPERLINK("https://klasma.github.io/Logging_0482/tillsyn/A 12056-2024 tillsynsbegäran.docx", "A 12056-2024")</f>
        <v/>
      </c>
      <c r="Y639">
        <f>HYPERLINK("https://klasma.github.io/Logging_0482/tillsynsmail/A 12056-2024 tillsynsbegäran mail.docx", "A 12056-2024")</f>
        <v/>
      </c>
    </row>
    <row r="640" ht="15" customHeight="1">
      <c r="A640" t="inlineStr">
        <is>
          <t>A 12984-2024</t>
        </is>
      </c>
      <c r="B640" s="1" t="n">
        <v>45385</v>
      </c>
      <c r="C640" s="1" t="n">
        <v>45843</v>
      </c>
      <c r="D640" t="inlineStr">
        <is>
          <t>SÖDERMANLANDS LÄN</t>
        </is>
      </c>
      <c r="E640" t="inlineStr">
        <is>
          <t>ESKILSTUNA</t>
        </is>
      </c>
      <c r="F640" t="inlineStr">
        <is>
          <t>Allmännings- och besparingsskogar</t>
        </is>
      </c>
      <c r="G640" t="n">
        <v>6.4</v>
      </c>
      <c r="H640" t="n">
        <v>1</v>
      </c>
      <c r="I640" t="n">
        <v>0</v>
      </c>
      <c r="J640" t="n">
        <v>0</v>
      </c>
      <c r="K640" t="n">
        <v>0</v>
      </c>
      <c r="L640" t="n">
        <v>0</v>
      </c>
      <c r="M640" t="n">
        <v>0</v>
      </c>
      <c r="N640" t="n">
        <v>0</v>
      </c>
      <c r="O640" t="n">
        <v>0</v>
      </c>
      <c r="P640" t="n">
        <v>0</v>
      </c>
      <c r="Q640" t="n">
        <v>1</v>
      </c>
      <c r="R640" s="2" t="inlineStr">
        <is>
          <t>Fläcknycklar</t>
        </is>
      </c>
      <c r="S640">
        <f>HYPERLINK("https://klasma.github.io/Logging_0484/artfynd/A 12984-2024 artfynd.xlsx", "A 12984-2024")</f>
        <v/>
      </c>
      <c r="T640">
        <f>HYPERLINK("https://klasma.github.io/Logging_0484/kartor/A 12984-2024 karta.png", "A 12984-2024")</f>
        <v/>
      </c>
      <c r="V640">
        <f>HYPERLINK("https://klasma.github.io/Logging_0484/klagomål/A 12984-2024 FSC-klagomål.docx", "A 12984-2024")</f>
        <v/>
      </c>
      <c r="W640">
        <f>HYPERLINK("https://klasma.github.io/Logging_0484/klagomålsmail/A 12984-2024 FSC-klagomål mail.docx", "A 12984-2024")</f>
        <v/>
      </c>
      <c r="X640">
        <f>HYPERLINK("https://klasma.github.io/Logging_0484/tillsyn/A 12984-2024 tillsynsbegäran.docx", "A 12984-2024")</f>
        <v/>
      </c>
      <c r="Y640">
        <f>HYPERLINK("https://klasma.github.io/Logging_0484/tillsynsmail/A 12984-2024 tillsynsbegäran mail.docx", "A 12984-2024")</f>
        <v/>
      </c>
    </row>
    <row r="641" ht="15" customHeight="1">
      <c r="A641" t="inlineStr">
        <is>
          <t>A 13038-2024</t>
        </is>
      </c>
      <c r="B641" s="1" t="n">
        <v>45385</v>
      </c>
      <c r="C641" s="1" t="n">
        <v>45843</v>
      </c>
      <c r="D641" t="inlineStr">
        <is>
          <t>SÖDERMANLANDS LÄN</t>
        </is>
      </c>
      <c r="E641" t="inlineStr">
        <is>
          <t>NYKÖPING</t>
        </is>
      </c>
      <c r="G641" t="n">
        <v>3.8</v>
      </c>
      <c r="H641" t="n">
        <v>1</v>
      </c>
      <c r="I641" t="n">
        <v>0</v>
      </c>
      <c r="J641" t="n">
        <v>0</v>
      </c>
      <c r="K641" t="n">
        <v>1</v>
      </c>
      <c r="L641" t="n">
        <v>0</v>
      </c>
      <c r="M641" t="n">
        <v>0</v>
      </c>
      <c r="N641" t="n">
        <v>0</v>
      </c>
      <c r="O641" t="n">
        <v>1</v>
      </c>
      <c r="P641" t="n">
        <v>1</v>
      </c>
      <c r="Q641" t="n">
        <v>1</v>
      </c>
      <c r="R641" s="2" t="inlineStr">
        <is>
          <t>Knärot</t>
        </is>
      </c>
      <c r="S641">
        <f>HYPERLINK("https://klasma.github.io/Logging_0480/artfynd/A 13038-2024 artfynd.xlsx", "A 13038-2024")</f>
        <v/>
      </c>
      <c r="T641">
        <f>HYPERLINK("https://klasma.github.io/Logging_0480/kartor/A 13038-2024 karta.png", "A 13038-2024")</f>
        <v/>
      </c>
      <c r="U641">
        <f>HYPERLINK("https://klasma.github.io/Logging_0480/knärot/A 13038-2024 karta knärot.png", "A 13038-2024")</f>
        <v/>
      </c>
      <c r="V641">
        <f>HYPERLINK("https://klasma.github.io/Logging_0480/klagomål/A 13038-2024 FSC-klagomål.docx", "A 13038-2024")</f>
        <v/>
      </c>
      <c r="W641">
        <f>HYPERLINK("https://klasma.github.io/Logging_0480/klagomålsmail/A 13038-2024 FSC-klagomål mail.docx", "A 13038-2024")</f>
        <v/>
      </c>
      <c r="X641">
        <f>HYPERLINK("https://klasma.github.io/Logging_0480/tillsyn/A 13038-2024 tillsynsbegäran.docx", "A 13038-2024")</f>
        <v/>
      </c>
      <c r="Y641">
        <f>HYPERLINK("https://klasma.github.io/Logging_0480/tillsynsmail/A 13038-2024 tillsynsbegäran mail.docx", "A 13038-2024")</f>
        <v/>
      </c>
    </row>
    <row r="642" ht="15" customHeight="1">
      <c r="A642" t="inlineStr">
        <is>
          <t>A 13724-2024</t>
        </is>
      </c>
      <c r="B642" s="1" t="n">
        <v>45390</v>
      </c>
      <c r="C642" s="1" t="n">
        <v>45843</v>
      </c>
      <c r="D642" t="inlineStr">
        <is>
          <t>SÖDERMANLANDS LÄN</t>
        </is>
      </c>
      <c r="E642" t="inlineStr">
        <is>
          <t>NYKÖPING</t>
        </is>
      </c>
      <c r="G642" t="n">
        <v>0.9</v>
      </c>
      <c r="H642" t="n">
        <v>0</v>
      </c>
      <c r="I642" t="n">
        <v>1</v>
      </c>
      <c r="J642" t="n">
        <v>0</v>
      </c>
      <c r="K642" t="n">
        <v>0</v>
      </c>
      <c r="L642" t="n">
        <v>0</v>
      </c>
      <c r="M642" t="n">
        <v>0</v>
      </c>
      <c r="N642" t="n">
        <v>0</v>
      </c>
      <c r="O642" t="n">
        <v>0</v>
      </c>
      <c r="P642" t="n">
        <v>0</v>
      </c>
      <c r="Q642" t="n">
        <v>1</v>
      </c>
      <c r="R642" s="2" t="inlineStr">
        <is>
          <t>Dropptaggsvamp</t>
        </is>
      </c>
      <c r="S642">
        <f>HYPERLINK("https://klasma.github.io/Logging_0480/artfynd/A 13724-2024 artfynd.xlsx", "A 13724-2024")</f>
        <v/>
      </c>
      <c r="T642">
        <f>HYPERLINK("https://klasma.github.io/Logging_0480/kartor/A 13724-2024 karta.png", "A 13724-2024")</f>
        <v/>
      </c>
      <c r="V642">
        <f>HYPERLINK("https://klasma.github.io/Logging_0480/klagomål/A 13724-2024 FSC-klagomål.docx", "A 13724-2024")</f>
        <v/>
      </c>
      <c r="W642">
        <f>HYPERLINK("https://klasma.github.io/Logging_0480/klagomålsmail/A 13724-2024 FSC-klagomål mail.docx", "A 13724-2024")</f>
        <v/>
      </c>
      <c r="X642">
        <f>HYPERLINK("https://klasma.github.io/Logging_0480/tillsyn/A 13724-2024 tillsynsbegäran.docx", "A 13724-2024")</f>
        <v/>
      </c>
      <c r="Y642">
        <f>HYPERLINK("https://klasma.github.io/Logging_0480/tillsynsmail/A 13724-2024 tillsynsbegäran mail.docx", "A 13724-2024")</f>
        <v/>
      </c>
    </row>
    <row r="643" ht="15" customHeight="1">
      <c r="A643" t="inlineStr">
        <is>
          <t>A 13851-2024</t>
        </is>
      </c>
      <c r="B643" s="1" t="n">
        <v>45391</v>
      </c>
      <c r="C643" s="1" t="n">
        <v>45843</v>
      </c>
      <c r="D643" t="inlineStr">
        <is>
          <t>SÖDERMANLANDS LÄN</t>
        </is>
      </c>
      <c r="E643" t="inlineStr">
        <is>
          <t>NYKÖPING</t>
        </is>
      </c>
      <c r="G643" t="n">
        <v>15.8</v>
      </c>
      <c r="H643" t="n">
        <v>0</v>
      </c>
      <c r="I643" t="n">
        <v>0</v>
      </c>
      <c r="J643" t="n">
        <v>1</v>
      </c>
      <c r="K643" t="n">
        <v>0</v>
      </c>
      <c r="L643" t="n">
        <v>0</v>
      </c>
      <c r="M643" t="n">
        <v>0</v>
      </c>
      <c r="N643" t="n">
        <v>0</v>
      </c>
      <c r="O643" t="n">
        <v>1</v>
      </c>
      <c r="P643" t="n">
        <v>0</v>
      </c>
      <c r="Q643" t="n">
        <v>1</v>
      </c>
      <c r="R643" s="2" t="inlineStr">
        <is>
          <t>Vedskivlav</t>
        </is>
      </c>
      <c r="S643">
        <f>HYPERLINK("https://klasma.github.io/Logging_0480/artfynd/A 13851-2024 artfynd.xlsx", "A 13851-2024")</f>
        <v/>
      </c>
      <c r="T643">
        <f>HYPERLINK("https://klasma.github.io/Logging_0480/kartor/A 13851-2024 karta.png", "A 13851-2024")</f>
        <v/>
      </c>
      <c r="V643">
        <f>HYPERLINK("https://klasma.github.io/Logging_0480/klagomål/A 13851-2024 FSC-klagomål.docx", "A 13851-2024")</f>
        <v/>
      </c>
      <c r="W643">
        <f>HYPERLINK("https://klasma.github.io/Logging_0480/klagomålsmail/A 13851-2024 FSC-klagomål mail.docx", "A 13851-2024")</f>
        <v/>
      </c>
      <c r="X643">
        <f>HYPERLINK("https://klasma.github.io/Logging_0480/tillsyn/A 13851-2024 tillsynsbegäran.docx", "A 13851-2024")</f>
        <v/>
      </c>
      <c r="Y643">
        <f>HYPERLINK("https://klasma.github.io/Logging_0480/tillsynsmail/A 13851-2024 tillsynsbegäran mail.docx", "A 13851-2024")</f>
        <v/>
      </c>
    </row>
    <row r="644" ht="15" customHeight="1">
      <c r="A644" t="inlineStr">
        <is>
          <t>A 14854-2024</t>
        </is>
      </c>
      <c r="B644" s="1" t="n">
        <v>45398</v>
      </c>
      <c r="C644" s="1" t="n">
        <v>45843</v>
      </c>
      <c r="D644" t="inlineStr">
        <is>
          <t>SÖDERMANLANDS LÄN</t>
        </is>
      </c>
      <c r="E644" t="inlineStr">
        <is>
          <t>FLEN</t>
        </is>
      </c>
      <c r="G644" t="n">
        <v>4.1</v>
      </c>
      <c r="H644" t="n">
        <v>0</v>
      </c>
      <c r="I644" t="n">
        <v>1</v>
      </c>
      <c r="J644" t="n">
        <v>0</v>
      </c>
      <c r="K644" t="n">
        <v>0</v>
      </c>
      <c r="L644" t="n">
        <v>0</v>
      </c>
      <c r="M644" t="n">
        <v>0</v>
      </c>
      <c r="N644" t="n">
        <v>0</v>
      </c>
      <c r="O644" t="n">
        <v>0</v>
      </c>
      <c r="P644" t="n">
        <v>0</v>
      </c>
      <c r="Q644" t="n">
        <v>1</v>
      </c>
      <c r="R644" s="2" t="inlineStr">
        <is>
          <t>Grönpyrola</t>
        </is>
      </c>
      <c r="S644">
        <f>HYPERLINK("https://klasma.github.io/Logging_0482/artfynd/A 14854-2024 artfynd.xlsx", "A 14854-2024")</f>
        <v/>
      </c>
      <c r="T644">
        <f>HYPERLINK("https://klasma.github.io/Logging_0482/kartor/A 14854-2024 karta.png", "A 14854-2024")</f>
        <v/>
      </c>
      <c r="V644">
        <f>HYPERLINK("https://klasma.github.io/Logging_0482/klagomål/A 14854-2024 FSC-klagomål.docx", "A 14854-2024")</f>
        <v/>
      </c>
      <c r="W644">
        <f>HYPERLINK("https://klasma.github.io/Logging_0482/klagomålsmail/A 14854-2024 FSC-klagomål mail.docx", "A 14854-2024")</f>
        <v/>
      </c>
      <c r="X644">
        <f>HYPERLINK("https://klasma.github.io/Logging_0482/tillsyn/A 14854-2024 tillsynsbegäran.docx", "A 14854-2024")</f>
        <v/>
      </c>
      <c r="Y644">
        <f>HYPERLINK("https://klasma.github.io/Logging_0482/tillsynsmail/A 14854-2024 tillsynsbegäran mail.docx", "A 14854-2024")</f>
        <v/>
      </c>
    </row>
    <row r="645" ht="15" customHeight="1">
      <c r="A645" t="inlineStr">
        <is>
          <t>A 15547-2024</t>
        </is>
      </c>
      <c r="B645" s="1" t="n">
        <v>45401</v>
      </c>
      <c r="C645" s="1" t="n">
        <v>45843</v>
      </c>
      <c r="D645" t="inlineStr">
        <is>
          <t>SÖDERMANLANDS LÄN</t>
        </is>
      </c>
      <c r="E645" t="inlineStr">
        <is>
          <t>ESKILSTUNA</t>
        </is>
      </c>
      <c r="F645" t="inlineStr">
        <is>
          <t>Sveaskog</t>
        </is>
      </c>
      <c r="G645" t="n">
        <v>2.7</v>
      </c>
      <c r="H645" t="n">
        <v>1</v>
      </c>
      <c r="I645" t="n">
        <v>0</v>
      </c>
      <c r="J645" t="n">
        <v>1</v>
      </c>
      <c r="K645" t="n">
        <v>0</v>
      </c>
      <c r="L645" t="n">
        <v>0</v>
      </c>
      <c r="M645" t="n">
        <v>0</v>
      </c>
      <c r="N645" t="n">
        <v>0</v>
      </c>
      <c r="O645" t="n">
        <v>1</v>
      </c>
      <c r="P645" t="n">
        <v>0</v>
      </c>
      <c r="Q645" t="n">
        <v>1</v>
      </c>
      <c r="R645" s="2" t="inlineStr">
        <is>
          <t>Talltita</t>
        </is>
      </c>
      <c r="S645">
        <f>HYPERLINK("https://klasma.github.io/Logging_0484/artfynd/A 15547-2024 artfynd.xlsx", "A 15547-2024")</f>
        <v/>
      </c>
      <c r="T645">
        <f>HYPERLINK("https://klasma.github.io/Logging_0484/kartor/A 15547-2024 karta.png", "A 15547-2024")</f>
        <v/>
      </c>
      <c r="V645">
        <f>HYPERLINK("https://klasma.github.io/Logging_0484/klagomål/A 15547-2024 FSC-klagomål.docx", "A 15547-2024")</f>
        <v/>
      </c>
      <c r="W645">
        <f>HYPERLINK("https://klasma.github.io/Logging_0484/klagomålsmail/A 15547-2024 FSC-klagomål mail.docx", "A 15547-2024")</f>
        <v/>
      </c>
      <c r="X645">
        <f>HYPERLINK("https://klasma.github.io/Logging_0484/tillsyn/A 15547-2024 tillsynsbegäran.docx", "A 15547-2024")</f>
        <v/>
      </c>
      <c r="Y645">
        <f>HYPERLINK("https://klasma.github.io/Logging_0484/tillsynsmail/A 15547-2024 tillsynsbegäran mail.docx", "A 15547-2024")</f>
        <v/>
      </c>
      <c r="Z645">
        <f>HYPERLINK("https://klasma.github.io/Logging_0484/fåglar/A 15547-2024 prioriterade fågelarter.docx", "A 15547-2024")</f>
        <v/>
      </c>
    </row>
    <row r="646" ht="15" customHeight="1">
      <c r="A646" t="inlineStr">
        <is>
          <t>A 15543-2024</t>
        </is>
      </c>
      <c r="B646" s="1" t="n">
        <v>45401</v>
      </c>
      <c r="C646" s="1" t="n">
        <v>45843</v>
      </c>
      <c r="D646" t="inlineStr">
        <is>
          <t>SÖDERMANLANDS LÄN</t>
        </is>
      </c>
      <c r="E646" t="inlineStr">
        <is>
          <t>ESKILSTUNA</t>
        </is>
      </c>
      <c r="F646" t="inlineStr">
        <is>
          <t>Sveaskog</t>
        </is>
      </c>
      <c r="G646" t="n">
        <v>5.3</v>
      </c>
      <c r="H646" t="n">
        <v>0</v>
      </c>
      <c r="I646" t="n">
        <v>1</v>
      </c>
      <c r="J646" t="n">
        <v>0</v>
      </c>
      <c r="K646" t="n">
        <v>0</v>
      </c>
      <c r="L646" t="n">
        <v>0</v>
      </c>
      <c r="M646" t="n">
        <v>0</v>
      </c>
      <c r="N646" t="n">
        <v>0</v>
      </c>
      <c r="O646" t="n">
        <v>0</v>
      </c>
      <c r="P646" t="n">
        <v>0</v>
      </c>
      <c r="Q646" t="n">
        <v>1</v>
      </c>
      <c r="R646" s="2" t="inlineStr">
        <is>
          <t>Grönpyrola</t>
        </is>
      </c>
      <c r="S646">
        <f>HYPERLINK("https://klasma.github.io/Logging_0484/artfynd/A 15543-2024 artfynd.xlsx", "A 15543-2024")</f>
        <v/>
      </c>
      <c r="T646">
        <f>HYPERLINK("https://klasma.github.io/Logging_0484/kartor/A 15543-2024 karta.png", "A 15543-2024")</f>
        <v/>
      </c>
      <c r="V646">
        <f>HYPERLINK("https://klasma.github.io/Logging_0484/klagomål/A 15543-2024 FSC-klagomål.docx", "A 15543-2024")</f>
        <v/>
      </c>
      <c r="W646">
        <f>HYPERLINK("https://klasma.github.io/Logging_0484/klagomålsmail/A 15543-2024 FSC-klagomål mail.docx", "A 15543-2024")</f>
        <v/>
      </c>
      <c r="X646">
        <f>HYPERLINK("https://klasma.github.io/Logging_0484/tillsyn/A 15543-2024 tillsynsbegäran.docx", "A 15543-2024")</f>
        <v/>
      </c>
      <c r="Y646">
        <f>HYPERLINK("https://klasma.github.io/Logging_0484/tillsynsmail/A 15543-2024 tillsynsbegäran mail.docx", "A 15543-2024")</f>
        <v/>
      </c>
    </row>
    <row r="647" ht="15" customHeight="1">
      <c r="A647" t="inlineStr">
        <is>
          <t>A 18183-2024</t>
        </is>
      </c>
      <c r="B647" s="1" t="n">
        <v>45420</v>
      </c>
      <c r="C647" s="1" t="n">
        <v>45843</v>
      </c>
      <c r="D647" t="inlineStr">
        <is>
          <t>SÖDERMANLANDS LÄN</t>
        </is>
      </c>
      <c r="E647" t="inlineStr">
        <is>
          <t>VINGÅKER</t>
        </is>
      </c>
      <c r="G647" t="n">
        <v>8.199999999999999</v>
      </c>
      <c r="H647" t="n">
        <v>0</v>
      </c>
      <c r="I647" t="n">
        <v>1</v>
      </c>
      <c r="J647" t="n">
        <v>0</v>
      </c>
      <c r="K647" t="n">
        <v>0</v>
      </c>
      <c r="L647" t="n">
        <v>0</v>
      </c>
      <c r="M647" t="n">
        <v>0</v>
      </c>
      <c r="N647" t="n">
        <v>0</v>
      </c>
      <c r="O647" t="n">
        <v>0</v>
      </c>
      <c r="P647" t="n">
        <v>0</v>
      </c>
      <c r="Q647" t="n">
        <v>1</v>
      </c>
      <c r="R647" s="2" t="inlineStr">
        <is>
          <t>Björksplintborre</t>
        </is>
      </c>
      <c r="S647">
        <f>HYPERLINK("https://klasma.github.io/Logging_0428/artfynd/A 18183-2024 artfynd.xlsx", "A 18183-2024")</f>
        <v/>
      </c>
      <c r="T647">
        <f>HYPERLINK("https://klasma.github.io/Logging_0428/kartor/A 18183-2024 karta.png", "A 18183-2024")</f>
        <v/>
      </c>
      <c r="V647">
        <f>HYPERLINK("https://klasma.github.io/Logging_0428/klagomål/A 18183-2024 FSC-klagomål.docx", "A 18183-2024")</f>
        <v/>
      </c>
      <c r="W647">
        <f>HYPERLINK("https://klasma.github.io/Logging_0428/klagomålsmail/A 18183-2024 FSC-klagomål mail.docx", "A 18183-2024")</f>
        <v/>
      </c>
      <c r="X647">
        <f>HYPERLINK("https://klasma.github.io/Logging_0428/tillsyn/A 18183-2024 tillsynsbegäran.docx", "A 18183-2024")</f>
        <v/>
      </c>
      <c r="Y647">
        <f>HYPERLINK("https://klasma.github.io/Logging_0428/tillsynsmail/A 18183-2024 tillsynsbegäran mail.docx", "A 18183-2024")</f>
        <v/>
      </c>
    </row>
    <row r="648" ht="15" customHeight="1">
      <c r="A648" t="inlineStr">
        <is>
          <t>A 21173-2024</t>
        </is>
      </c>
      <c r="B648" s="1" t="n">
        <v>45440</v>
      </c>
      <c r="C648" s="1" t="n">
        <v>45843</v>
      </c>
      <c r="D648" t="inlineStr">
        <is>
          <t>SÖDERMANLANDS LÄN</t>
        </is>
      </c>
      <c r="E648" t="inlineStr">
        <is>
          <t>NYKÖPING</t>
        </is>
      </c>
      <c r="F648" t="inlineStr">
        <is>
          <t>Kommuner</t>
        </is>
      </c>
      <c r="G648" t="n">
        <v>2.3</v>
      </c>
      <c r="H648" t="n">
        <v>0</v>
      </c>
      <c r="I648" t="n">
        <v>0</v>
      </c>
      <c r="J648" t="n">
        <v>1</v>
      </c>
      <c r="K648" t="n">
        <v>0</v>
      </c>
      <c r="L648" t="n">
        <v>0</v>
      </c>
      <c r="M648" t="n">
        <v>0</v>
      </c>
      <c r="N648" t="n">
        <v>0</v>
      </c>
      <c r="O648" t="n">
        <v>1</v>
      </c>
      <c r="P648" t="n">
        <v>0</v>
      </c>
      <c r="Q648" t="n">
        <v>1</v>
      </c>
      <c r="R648" s="2" t="inlineStr">
        <is>
          <t>Tallticka</t>
        </is>
      </c>
      <c r="S648">
        <f>HYPERLINK("https://klasma.github.io/Logging_0480/artfynd/A 21173-2024 artfynd.xlsx", "A 21173-2024")</f>
        <v/>
      </c>
      <c r="T648">
        <f>HYPERLINK("https://klasma.github.io/Logging_0480/kartor/A 21173-2024 karta.png", "A 21173-2024")</f>
        <v/>
      </c>
      <c r="V648">
        <f>HYPERLINK("https://klasma.github.io/Logging_0480/klagomål/A 21173-2024 FSC-klagomål.docx", "A 21173-2024")</f>
        <v/>
      </c>
      <c r="W648">
        <f>HYPERLINK("https://klasma.github.io/Logging_0480/klagomålsmail/A 21173-2024 FSC-klagomål mail.docx", "A 21173-2024")</f>
        <v/>
      </c>
      <c r="X648">
        <f>HYPERLINK("https://klasma.github.io/Logging_0480/tillsyn/A 21173-2024 tillsynsbegäran.docx", "A 21173-2024")</f>
        <v/>
      </c>
      <c r="Y648">
        <f>HYPERLINK("https://klasma.github.io/Logging_0480/tillsynsmail/A 21173-2024 tillsynsbegäran mail.docx", "A 21173-2024")</f>
        <v/>
      </c>
    </row>
    <row r="649" ht="15" customHeight="1">
      <c r="A649" t="inlineStr">
        <is>
          <t>A 21312-2024</t>
        </is>
      </c>
      <c r="B649" s="1" t="n">
        <v>45440</v>
      </c>
      <c r="C649" s="1" t="n">
        <v>45843</v>
      </c>
      <c r="D649" t="inlineStr">
        <is>
          <t>SÖDERMANLANDS LÄN</t>
        </is>
      </c>
      <c r="E649" t="inlineStr">
        <is>
          <t>KATRINEHOLM</t>
        </is>
      </c>
      <c r="G649" t="n">
        <v>2</v>
      </c>
      <c r="H649" t="n">
        <v>1</v>
      </c>
      <c r="I649" t="n">
        <v>0</v>
      </c>
      <c r="J649" t="n">
        <v>0</v>
      </c>
      <c r="K649" t="n">
        <v>0</v>
      </c>
      <c r="L649" t="n">
        <v>0</v>
      </c>
      <c r="M649" t="n">
        <v>0</v>
      </c>
      <c r="N649" t="n">
        <v>0</v>
      </c>
      <c r="O649" t="n">
        <v>0</v>
      </c>
      <c r="P649" t="n">
        <v>0</v>
      </c>
      <c r="Q649" t="n">
        <v>1</v>
      </c>
      <c r="R649" s="2" t="inlineStr">
        <is>
          <t>Blåsippa</t>
        </is>
      </c>
      <c r="S649">
        <f>HYPERLINK("https://klasma.github.io/Logging_0483/artfynd/A 21312-2024 artfynd.xlsx", "A 21312-2024")</f>
        <v/>
      </c>
      <c r="T649">
        <f>HYPERLINK("https://klasma.github.io/Logging_0483/kartor/A 21312-2024 karta.png", "A 21312-2024")</f>
        <v/>
      </c>
      <c r="V649">
        <f>HYPERLINK("https://klasma.github.io/Logging_0483/klagomål/A 21312-2024 FSC-klagomål.docx", "A 21312-2024")</f>
        <v/>
      </c>
      <c r="W649">
        <f>HYPERLINK("https://klasma.github.io/Logging_0483/klagomålsmail/A 21312-2024 FSC-klagomål mail.docx", "A 21312-2024")</f>
        <v/>
      </c>
      <c r="X649">
        <f>HYPERLINK("https://klasma.github.io/Logging_0483/tillsyn/A 21312-2024 tillsynsbegäran.docx", "A 21312-2024")</f>
        <v/>
      </c>
      <c r="Y649">
        <f>HYPERLINK("https://klasma.github.io/Logging_0483/tillsynsmail/A 21312-2024 tillsynsbegäran mail.docx", "A 21312-2024")</f>
        <v/>
      </c>
    </row>
    <row r="650" ht="15" customHeight="1">
      <c r="A650" t="inlineStr">
        <is>
          <t>A 23913-2024</t>
        </is>
      </c>
      <c r="B650" s="1" t="n">
        <v>45455</v>
      </c>
      <c r="C650" s="1" t="n">
        <v>45843</v>
      </c>
      <c r="D650" t="inlineStr">
        <is>
          <t>SÖDERMANLANDS LÄN</t>
        </is>
      </c>
      <c r="E650" t="inlineStr">
        <is>
          <t>NYKÖPING</t>
        </is>
      </c>
      <c r="F650" t="inlineStr">
        <is>
          <t>Allmännings- och besparingsskogar</t>
        </is>
      </c>
      <c r="G650" t="n">
        <v>6.6</v>
      </c>
      <c r="H650" t="n">
        <v>1</v>
      </c>
      <c r="I650" t="n">
        <v>0</v>
      </c>
      <c r="J650" t="n">
        <v>0</v>
      </c>
      <c r="K650" t="n">
        <v>0</v>
      </c>
      <c r="L650" t="n">
        <v>0</v>
      </c>
      <c r="M650" t="n">
        <v>0</v>
      </c>
      <c r="N650" t="n">
        <v>0</v>
      </c>
      <c r="O650" t="n">
        <v>0</v>
      </c>
      <c r="P650" t="n">
        <v>0</v>
      </c>
      <c r="Q650" t="n">
        <v>1</v>
      </c>
      <c r="R650" s="2" t="inlineStr">
        <is>
          <t>Revlummer</t>
        </is>
      </c>
      <c r="S650">
        <f>HYPERLINK("https://klasma.github.io/Logging_0480/artfynd/A 23913-2024 artfynd.xlsx", "A 23913-2024")</f>
        <v/>
      </c>
      <c r="T650">
        <f>HYPERLINK("https://klasma.github.io/Logging_0480/kartor/A 23913-2024 karta.png", "A 23913-2024")</f>
        <v/>
      </c>
      <c r="V650">
        <f>HYPERLINK("https://klasma.github.io/Logging_0480/klagomål/A 23913-2024 FSC-klagomål.docx", "A 23913-2024")</f>
        <v/>
      </c>
      <c r="W650">
        <f>HYPERLINK("https://klasma.github.io/Logging_0480/klagomålsmail/A 23913-2024 FSC-klagomål mail.docx", "A 23913-2024")</f>
        <v/>
      </c>
      <c r="X650">
        <f>HYPERLINK("https://klasma.github.io/Logging_0480/tillsyn/A 23913-2024 tillsynsbegäran.docx", "A 23913-2024")</f>
        <v/>
      </c>
      <c r="Y650">
        <f>HYPERLINK("https://klasma.github.io/Logging_0480/tillsynsmail/A 23913-2024 tillsynsbegäran mail.docx", "A 23913-2024")</f>
        <v/>
      </c>
    </row>
    <row r="651" ht="15" customHeight="1">
      <c r="A651" t="inlineStr">
        <is>
          <t>A 25976-2024</t>
        </is>
      </c>
      <c r="B651" s="1" t="n">
        <v>45467</v>
      </c>
      <c r="C651" s="1" t="n">
        <v>45843</v>
      </c>
      <c r="D651" t="inlineStr">
        <is>
          <t>SÖDERMANLANDS LÄN</t>
        </is>
      </c>
      <c r="E651" t="inlineStr">
        <is>
          <t>GNESTA</t>
        </is>
      </c>
      <c r="G651" t="n">
        <v>5.6</v>
      </c>
      <c r="H651" t="n">
        <v>0</v>
      </c>
      <c r="I651" t="n">
        <v>1</v>
      </c>
      <c r="J651" t="n">
        <v>0</v>
      </c>
      <c r="K651" t="n">
        <v>0</v>
      </c>
      <c r="L651" t="n">
        <v>0</v>
      </c>
      <c r="M651" t="n">
        <v>0</v>
      </c>
      <c r="N651" t="n">
        <v>0</v>
      </c>
      <c r="O651" t="n">
        <v>0</v>
      </c>
      <c r="P651" t="n">
        <v>0</v>
      </c>
      <c r="Q651" t="n">
        <v>1</v>
      </c>
      <c r="R651" s="2" t="inlineStr">
        <is>
          <t>Brun nållav</t>
        </is>
      </c>
      <c r="S651">
        <f>HYPERLINK("https://klasma.github.io/Logging_0461/artfynd/A 25976-2024 artfynd.xlsx", "A 25976-2024")</f>
        <v/>
      </c>
      <c r="T651">
        <f>HYPERLINK("https://klasma.github.io/Logging_0461/kartor/A 25976-2024 karta.png", "A 25976-2024")</f>
        <v/>
      </c>
      <c r="V651">
        <f>HYPERLINK("https://klasma.github.io/Logging_0461/klagomål/A 25976-2024 FSC-klagomål.docx", "A 25976-2024")</f>
        <v/>
      </c>
      <c r="W651">
        <f>HYPERLINK("https://klasma.github.io/Logging_0461/klagomålsmail/A 25976-2024 FSC-klagomål mail.docx", "A 25976-2024")</f>
        <v/>
      </c>
      <c r="X651">
        <f>HYPERLINK("https://klasma.github.io/Logging_0461/tillsyn/A 25976-2024 tillsynsbegäran.docx", "A 25976-2024")</f>
        <v/>
      </c>
      <c r="Y651">
        <f>HYPERLINK("https://klasma.github.io/Logging_0461/tillsynsmail/A 25976-2024 tillsynsbegäran mail.docx", "A 25976-2024")</f>
        <v/>
      </c>
    </row>
    <row r="652" ht="15" customHeight="1">
      <c r="A652" t="inlineStr">
        <is>
          <t>A 25919-2024</t>
        </is>
      </c>
      <c r="B652" s="1" t="n">
        <v>45467</v>
      </c>
      <c r="C652" s="1" t="n">
        <v>45843</v>
      </c>
      <c r="D652" t="inlineStr">
        <is>
          <t>SÖDERMANLANDS LÄN</t>
        </is>
      </c>
      <c r="E652" t="inlineStr">
        <is>
          <t>ESKILSTUNA</t>
        </is>
      </c>
      <c r="G652" t="n">
        <v>10.1</v>
      </c>
      <c r="H652" t="n">
        <v>0</v>
      </c>
      <c r="I652" t="n">
        <v>1</v>
      </c>
      <c r="J652" t="n">
        <v>0</v>
      </c>
      <c r="K652" t="n">
        <v>0</v>
      </c>
      <c r="L652" t="n">
        <v>0</v>
      </c>
      <c r="M652" t="n">
        <v>0</v>
      </c>
      <c r="N652" t="n">
        <v>0</v>
      </c>
      <c r="O652" t="n">
        <v>0</v>
      </c>
      <c r="P652" t="n">
        <v>0</v>
      </c>
      <c r="Q652" t="n">
        <v>1</v>
      </c>
      <c r="R652" s="2" t="inlineStr">
        <is>
          <t>Grönpyrola</t>
        </is>
      </c>
      <c r="S652">
        <f>HYPERLINK("https://klasma.github.io/Logging_0484/artfynd/A 25919-2024 artfynd.xlsx", "A 25919-2024")</f>
        <v/>
      </c>
      <c r="T652">
        <f>HYPERLINK("https://klasma.github.io/Logging_0484/kartor/A 25919-2024 karta.png", "A 25919-2024")</f>
        <v/>
      </c>
      <c r="V652">
        <f>HYPERLINK("https://klasma.github.io/Logging_0484/klagomål/A 25919-2024 FSC-klagomål.docx", "A 25919-2024")</f>
        <v/>
      </c>
      <c r="W652">
        <f>HYPERLINK("https://klasma.github.io/Logging_0484/klagomålsmail/A 25919-2024 FSC-klagomål mail.docx", "A 25919-2024")</f>
        <v/>
      </c>
      <c r="X652">
        <f>HYPERLINK("https://klasma.github.io/Logging_0484/tillsyn/A 25919-2024 tillsynsbegäran.docx", "A 25919-2024")</f>
        <v/>
      </c>
      <c r="Y652">
        <f>HYPERLINK("https://klasma.github.io/Logging_0484/tillsynsmail/A 25919-2024 tillsynsbegäran mail.docx", "A 25919-2024")</f>
        <v/>
      </c>
    </row>
    <row r="653" ht="15" customHeight="1">
      <c r="A653" t="inlineStr">
        <is>
          <t>A 28779-2024</t>
        </is>
      </c>
      <c r="B653" s="1" t="n">
        <v>45478</v>
      </c>
      <c r="C653" s="1" t="n">
        <v>45843</v>
      </c>
      <c r="D653" t="inlineStr">
        <is>
          <t>SÖDERMANLANDS LÄN</t>
        </is>
      </c>
      <c r="E653" t="inlineStr">
        <is>
          <t>FLEN</t>
        </is>
      </c>
      <c r="G653" t="n">
        <v>2.5</v>
      </c>
      <c r="H653" t="n">
        <v>0</v>
      </c>
      <c r="I653" t="n">
        <v>0</v>
      </c>
      <c r="J653" t="n">
        <v>1</v>
      </c>
      <c r="K653" t="n">
        <v>0</v>
      </c>
      <c r="L653" t="n">
        <v>0</v>
      </c>
      <c r="M653" t="n">
        <v>0</v>
      </c>
      <c r="N653" t="n">
        <v>0</v>
      </c>
      <c r="O653" t="n">
        <v>1</v>
      </c>
      <c r="P653" t="n">
        <v>0</v>
      </c>
      <c r="Q653" t="n">
        <v>1</v>
      </c>
      <c r="R653" s="2" t="inlineStr">
        <is>
          <t>Svinrot</t>
        </is>
      </c>
      <c r="S653">
        <f>HYPERLINK("https://klasma.github.io/Logging_0482/artfynd/A 28779-2024 artfynd.xlsx", "A 28779-2024")</f>
        <v/>
      </c>
      <c r="T653">
        <f>HYPERLINK("https://klasma.github.io/Logging_0482/kartor/A 28779-2024 karta.png", "A 28779-2024")</f>
        <v/>
      </c>
      <c r="V653">
        <f>HYPERLINK("https://klasma.github.io/Logging_0482/klagomål/A 28779-2024 FSC-klagomål.docx", "A 28779-2024")</f>
        <v/>
      </c>
      <c r="W653">
        <f>HYPERLINK("https://klasma.github.io/Logging_0482/klagomålsmail/A 28779-2024 FSC-klagomål mail.docx", "A 28779-2024")</f>
        <v/>
      </c>
      <c r="X653">
        <f>HYPERLINK("https://klasma.github.io/Logging_0482/tillsyn/A 28779-2024 tillsynsbegäran.docx", "A 28779-2024")</f>
        <v/>
      </c>
      <c r="Y653">
        <f>HYPERLINK("https://klasma.github.io/Logging_0482/tillsynsmail/A 28779-2024 tillsynsbegäran mail.docx", "A 28779-2024")</f>
        <v/>
      </c>
    </row>
    <row r="654" ht="15" customHeight="1">
      <c r="A654" t="inlineStr">
        <is>
          <t>A 29788-2024</t>
        </is>
      </c>
      <c r="B654" s="1" t="n">
        <v>45485</v>
      </c>
      <c r="C654" s="1" t="n">
        <v>45843</v>
      </c>
      <c r="D654" t="inlineStr">
        <is>
          <t>SÖDERMANLANDS LÄN</t>
        </is>
      </c>
      <c r="E654" t="inlineStr">
        <is>
          <t>VINGÅKER</t>
        </is>
      </c>
      <c r="G654" t="n">
        <v>7.4</v>
      </c>
      <c r="H654" t="n">
        <v>1</v>
      </c>
      <c r="I654" t="n">
        <v>0</v>
      </c>
      <c r="J654" t="n">
        <v>0</v>
      </c>
      <c r="K654" t="n">
        <v>1</v>
      </c>
      <c r="L654" t="n">
        <v>0</v>
      </c>
      <c r="M654" t="n">
        <v>0</v>
      </c>
      <c r="N654" t="n">
        <v>0</v>
      </c>
      <c r="O654" t="n">
        <v>1</v>
      </c>
      <c r="P654" t="n">
        <v>1</v>
      </c>
      <c r="Q654" t="n">
        <v>1</v>
      </c>
      <c r="R654" s="2" t="inlineStr">
        <is>
          <t>Knärot</t>
        </is>
      </c>
      <c r="S654">
        <f>HYPERLINK("https://klasma.github.io/Logging_0428/artfynd/A 29788-2024 artfynd.xlsx", "A 29788-2024")</f>
        <v/>
      </c>
      <c r="T654">
        <f>HYPERLINK("https://klasma.github.io/Logging_0428/kartor/A 29788-2024 karta.png", "A 29788-2024")</f>
        <v/>
      </c>
      <c r="U654">
        <f>HYPERLINK("https://klasma.github.io/Logging_0428/knärot/A 29788-2024 karta knärot.png", "A 29788-2024")</f>
        <v/>
      </c>
      <c r="V654">
        <f>HYPERLINK("https://klasma.github.io/Logging_0428/klagomål/A 29788-2024 FSC-klagomål.docx", "A 29788-2024")</f>
        <v/>
      </c>
      <c r="W654">
        <f>HYPERLINK("https://klasma.github.io/Logging_0428/klagomålsmail/A 29788-2024 FSC-klagomål mail.docx", "A 29788-2024")</f>
        <v/>
      </c>
      <c r="X654">
        <f>HYPERLINK("https://klasma.github.io/Logging_0428/tillsyn/A 29788-2024 tillsynsbegäran.docx", "A 29788-2024")</f>
        <v/>
      </c>
      <c r="Y654">
        <f>HYPERLINK("https://klasma.github.io/Logging_0428/tillsynsmail/A 29788-2024 tillsynsbegäran mail.docx", "A 29788-2024")</f>
        <v/>
      </c>
    </row>
    <row r="655" ht="15" customHeight="1">
      <c r="A655" t="inlineStr">
        <is>
          <t>A 33202-2024</t>
        </is>
      </c>
      <c r="B655" s="1" t="n">
        <v>45518</v>
      </c>
      <c r="C655" s="1" t="n">
        <v>45843</v>
      </c>
      <c r="D655" t="inlineStr">
        <is>
          <t>SÖDERMANLANDS LÄN</t>
        </is>
      </c>
      <c r="E655" t="inlineStr">
        <is>
          <t>ESKILSTUNA</t>
        </is>
      </c>
      <c r="G655" t="n">
        <v>6.3</v>
      </c>
      <c r="H655" t="n">
        <v>1</v>
      </c>
      <c r="I655" t="n">
        <v>0</v>
      </c>
      <c r="J655" t="n">
        <v>1</v>
      </c>
      <c r="K655" t="n">
        <v>0</v>
      </c>
      <c r="L655" t="n">
        <v>0</v>
      </c>
      <c r="M655" t="n">
        <v>0</v>
      </c>
      <c r="N655" t="n">
        <v>0</v>
      </c>
      <c r="O655" t="n">
        <v>1</v>
      </c>
      <c r="P655" t="n">
        <v>0</v>
      </c>
      <c r="Q655" t="n">
        <v>1</v>
      </c>
      <c r="R655" s="2" t="inlineStr">
        <is>
          <t>Talltita</t>
        </is>
      </c>
      <c r="S655">
        <f>HYPERLINK("https://klasma.github.io/Logging_0484/artfynd/A 33202-2024 artfynd.xlsx", "A 33202-2024")</f>
        <v/>
      </c>
      <c r="T655">
        <f>HYPERLINK("https://klasma.github.io/Logging_0484/kartor/A 33202-2024 karta.png", "A 33202-2024")</f>
        <v/>
      </c>
      <c r="V655">
        <f>HYPERLINK("https://klasma.github.io/Logging_0484/klagomål/A 33202-2024 FSC-klagomål.docx", "A 33202-2024")</f>
        <v/>
      </c>
      <c r="W655">
        <f>HYPERLINK("https://klasma.github.io/Logging_0484/klagomålsmail/A 33202-2024 FSC-klagomål mail.docx", "A 33202-2024")</f>
        <v/>
      </c>
      <c r="X655">
        <f>HYPERLINK("https://klasma.github.io/Logging_0484/tillsyn/A 33202-2024 tillsynsbegäran.docx", "A 33202-2024")</f>
        <v/>
      </c>
      <c r="Y655">
        <f>HYPERLINK("https://klasma.github.io/Logging_0484/tillsynsmail/A 33202-2024 tillsynsbegäran mail.docx", "A 33202-2024")</f>
        <v/>
      </c>
      <c r="Z655">
        <f>HYPERLINK("https://klasma.github.io/Logging_0484/fåglar/A 33202-2024 prioriterade fågelarter.docx", "A 33202-2024")</f>
        <v/>
      </c>
    </row>
    <row r="656" ht="15" customHeight="1">
      <c r="A656" t="inlineStr">
        <is>
          <t>A 33216-2024</t>
        </is>
      </c>
      <c r="B656" s="1" t="n">
        <v>45518</v>
      </c>
      <c r="C656" s="1" t="n">
        <v>45843</v>
      </c>
      <c r="D656" t="inlineStr">
        <is>
          <t>SÖDERMANLANDS LÄN</t>
        </is>
      </c>
      <c r="E656" t="inlineStr">
        <is>
          <t>FLEN</t>
        </is>
      </c>
      <c r="G656" t="n">
        <v>0.8</v>
      </c>
      <c r="H656" t="n">
        <v>0</v>
      </c>
      <c r="I656" t="n">
        <v>1</v>
      </c>
      <c r="J656" t="n">
        <v>0</v>
      </c>
      <c r="K656" t="n">
        <v>0</v>
      </c>
      <c r="L656" t="n">
        <v>0</v>
      </c>
      <c r="M656" t="n">
        <v>0</v>
      </c>
      <c r="N656" t="n">
        <v>0</v>
      </c>
      <c r="O656" t="n">
        <v>0</v>
      </c>
      <c r="P656" t="n">
        <v>0</v>
      </c>
      <c r="Q656" t="n">
        <v>1</v>
      </c>
      <c r="R656" s="2" t="inlineStr">
        <is>
          <t>Dropptaggsvamp</t>
        </is>
      </c>
      <c r="S656">
        <f>HYPERLINK("https://klasma.github.io/Logging_0482/artfynd/A 33216-2024 artfynd.xlsx", "A 33216-2024")</f>
        <v/>
      </c>
      <c r="T656">
        <f>HYPERLINK("https://klasma.github.io/Logging_0482/kartor/A 33216-2024 karta.png", "A 33216-2024")</f>
        <v/>
      </c>
      <c r="V656">
        <f>HYPERLINK("https://klasma.github.io/Logging_0482/klagomål/A 33216-2024 FSC-klagomål.docx", "A 33216-2024")</f>
        <v/>
      </c>
      <c r="W656">
        <f>HYPERLINK("https://klasma.github.io/Logging_0482/klagomålsmail/A 33216-2024 FSC-klagomål mail.docx", "A 33216-2024")</f>
        <v/>
      </c>
      <c r="X656">
        <f>HYPERLINK("https://klasma.github.io/Logging_0482/tillsyn/A 33216-2024 tillsynsbegäran.docx", "A 33216-2024")</f>
        <v/>
      </c>
      <c r="Y656">
        <f>HYPERLINK("https://klasma.github.io/Logging_0482/tillsynsmail/A 33216-2024 tillsynsbegäran mail.docx", "A 33216-2024")</f>
        <v/>
      </c>
    </row>
    <row r="657" ht="15" customHeight="1">
      <c r="A657" t="inlineStr">
        <is>
          <t>A 35360-2024</t>
        </is>
      </c>
      <c r="B657" s="1" t="n">
        <v>45531</v>
      </c>
      <c r="C657" s="1" t="n">
        <v>45843</v>
      </c>
      <c r="D657" t="inlineStr">
        <is>
          <t>SÖDERMANLANDS LÄN</t>
        </is>
      </c>
      <c r="E657" t="inlineStr">
        <is>
          <t>STRÄNGNÄS</t>
        </is>
      </c>
      <c r="F657" t="inlineStr">
        <is>
          <t>Övriga statliga verk och myndigheter</t>
        </is>
      </c>
      <c r="G657" t="n">
        <v>7.6</v>
      </c>
      <c r="H657" t="n">
        <v>0</v>
      </c>
      <c r="I657" t="n">
        <v>1</v>
      </c>
      <c r="J657" t="n">
        <v>0</v>
      </c>
      <c r="K657" t="n">
        <v>0</v>
      </c>
      <c r="L657" t="n">
        <v>0</v>
      </c>
      <c r="M657" t="n">
        <v>0</v>
      </c>
      <c r="N657" t="n">
        <v>0</v>
      </c>
      <c r="O657" t="n">
        <v>0</v>
      </c>
      <c r="P657" t="n">
        <v>0</v>
      </c>
      <c r="Q657" t="n">
        <v>1</v>
      </c>
      <c r="R657" s="2" t="inlineStr">
        <is>
          <t>Grönpyrola</t>
        </is>
      </c>
      <c r="S657">
        <f>HYPERLINK("https://klasma.github.io/Logging_0486/artfynd/A 35360-2024 artfynd.xlsx", "A 35360-2024")</f>
        <v/>
      </c>
      <c r="T657">
        <f>HYPERLINK("https://klasma.github.io/Logging_0486/kartor/A 35360-2024 karta.png", "A 35360-2024")</f>
        <v/>
      </c>
      <c r="V657">
        <f>HYPERLINK("https://klasma.github.io/Logging_0486/klagomål/A 35360-2024 FSC-klagomål.docx", "A 35360-2024")</f>
        <v/>
      </c>
      <c r="W657">
        <f>HYPERLINK("https://klasma.github.io/Logging_0486/klagomålsmail/A 35360-2024 FSC-klagomål mail.docx", "A 35360-2024")</f>
        <v/>
      </c>
      <c r="X657">
        <f>HYPERLINK("https://klasma.github.io/Logging_0486/tillsyn/A 35360-2024 tillsynsbegäran.docx", "A 35360-2024")</f>
        <v/>
      </c>
      <c r="Y657">
        <f>HYPERLINK("https://klasma.github.io/Logging_0486/tillsynsmail/A 35360-2024 tillsynsbegäran mail.docx", "A 35360-2024")</f>
        <v/>
      </c>
    </row>
    <row r="658" ht="15" customHeight="1">
      <c r="A658" t="inlineStr">
        <is>
          <t>A 37282-2024</t>
        </is>
      </c>
      <c r="B658" s="1" t="n">
        <v>45540</v>
      </c>
      <c r="C658" s="1" t="n">
        <v>45843</v>
      </c>
      <c r="D658" t="inlineStr">
        <is>
          <t>SÖDERMANLANDS LÄN</t>
        </is>
      </c>
      <c r="E658" t="inlineStr">
        <is>
          <t>FLEN</t>
        </is>
      </c>
      <c r="G658" t="n">
        <v>3.4</v>
      </c>
      <c r="H658" t="n">
        <v>0</v>
      </c>
      <c r="I658" t="n">
        <v>1</v>
      </c>
      <c r="J658" t="n">
        <v>0</v>
      </c>
      <c r="K658" t="n">
        <v>0</v>
      </c>
      <c r="L658" t="n">
        <v>0</v>
      </c>
      <c r="M658" t="n">
        <v>0</v>
      </c>
      <c r="N658" t="n">
        <v>0</v>
      </c>
      <c r="O658" t="n">
        <v>0</v>
      </c>
      <c r="P658" t="n">
        <v>0</v>
      </c>
      <c r="Q658" t="n">
        <v>1</v>
      </c>
      <c r="R658" s="2" t="inlineStr">
        <is>
          <t>Grönpyrola</t>
        </is>
      </c>
      <c r="S658">
        <f>HYPERLINK("https://klasma.github.io/Logging_0482/artfynd/A 37282-2024 artfynd.xlsx", "A 37282-2024")</f>
        <v/>
      </c>
      <c r="T658">
        <f>HYPERLINK("https://klasma.github.io/Logging_0482/kartor/A 37282-2024 karta.png", "A 37282-2024")</f>
        <v/>
      </c>
      <c r="V658">
        <f>HYPERLINK("https://klasma.github.io/Logging_0482/klagomål/A 37282-2024 FSC-klagomål.docx", "A 37282-2024")</f>
        <v/>
      </c>
      <c r="W658">
        <f>HYPERLINK("https://klasma.github.io/Logging_0482/klagomålsmail/A 37282-2024 FSC-klagomål mail.docx", "A 37282-2024")</f>
        <v/>
      </c>
      <c r="X658">
        <f>HYPERLINK("https://klasma.github.io/Logging_0482/tillsyn/A 37282-2024 tillsynsbegäran.docx", "A 37282-2024")</f>
        <v/>
      </c>
      <c r="Y658">
        <f>HYPERLINK("https://klasma.github.io/Logging_0482/tillsynsmail/A 37282-2024 tillsynsbegäran mail.docx", "A 37282-2024")</f>
        <v/>
      </c>
    </row>
    <row r="659" ht="15" customHeight="1">
      <c r="A659" t="inlineStr">
        <is>
          <t>A 37284-2024</t>
        </is>
      </c>
      <c r="B659" s="1" t="n">
        <v>45540</v>
      </c>
      <c r="C659" s="1" t="n">
        <v>45843</v>
      </c>
      <c r="D659" t="inlineStr">
        <is>
          <t>SÖDERMANLANDS LÄN</t>
        </is>
      </c>
      <c r="E659" t="inlineStr">
        <is>
          <t>FLEN</t>
        </is>
      </c>
      <c r="G659" t="n">
        <v>5.7</v>
      </c>
      <c r="H659" t="n">
        <v>1</v>
      </c>
      <c r="I659" t="n">
        <v>0</v>
      </c>
      <c r="J659" t="n">
        <v>0</v>
      </c>
      <c r="K659" t="n">
        <v>0</v>
      </c>
      <c r="L659" t="n">
        <v>0</v>
      </c>
      <c r="M659" t="n">
        <v>0</v>
      </c>
      <c r="N659" t="n">
        <v>0</v>
      </c>
      <c r="O659" t="n">
        <v>0</v>
      </c>
      <c r="P659" t="n">
        <v>0</v>
      </c>
      <c r="Q659" t="n">
        <v>1</v>
      </c>
      <c r="R659" s="2" t="inlineStr">
        <is>
          <t>Mattlummer</t>
        </is>
      </c>
      <c r="S659">
        <f>HYPERLINK("https://klasma.github.io/Logging_0482/artfynd/A 37284-2024 artfynd.xlsx", "A 37284-2024")</f>
        <v/>
      </c>
      <c r="T659">
        <f>HYPERLINK("https://klasma.github.io/Logging_0482/kartor/A 37284-2024 karta.png", "A 37284-2024")</f>
        <v/>
      </c>
      <c r="V659">
        <f>HYPERLINK("https://klasma.github.io/Logging_0482/klagomål/A 37284-2024 FSC-klagomål.docx", "A 37284-2024")</f>
        <v/>
      </c>
      <c r="W659">
        <f>HYPERLINK("https://klasma.github.io/Logging_0482/klagomålsmail/A 37284-2024 FSC-klagomål mail.docx", "A 37284-2024")</f>
        <v/>
      </c>
      <c r="X659">
        <f>HYPERLINK("https://klasma.github.io/Logging_0482/tillsyn/A 37284-2024 tillsynsbegäran.docx", "A 37284-2024")</f>
        <v/>
      </c>
      <c r="Y659">
        <f>HYPERLINK("https://klasma.github.io/Logging_0482/tillsynsmail/A 37284-2024 tillsynsbegäran mail.docx", "A 37284-2024")</f>
        <v/>
      </c>
    </row>
    <row r="660" ht="15" customHeight="1">
      <c r="A660" t="inlineStr">
        <is>
          <t>A 38013-2024</t>
        </is>
      </c>
      <c r="B660" s="1" t="n">
        <v>45544</v>
      </c>
      <c r="C660" s="1" t="n">
        <v>45843</v>
      </c>
      <c r="D660" t="inlineStr">
        <is>
          <t>SÖDERMANLANDS LÄN</t>
        </is>
      </c>
      <c r="E660" t="inlineStr">
        <is>
          <t>ESKILSTUNA</t>
        </is>
      </c>
      <c r="G660" t="n">
        <v>5</v>
      </c>
      <c r="H660" t="n">
        <v>1</v>
      </c>
      <c r="I660" t="n">
        <v>1</v>
      </c>
      <c r="J660" t="n">
        <v>0</v>
      </c>
      <c r="K660" t="n">
        <v>0</v>
      </c>
      <c r="L660" t="n">
        <v>0</v>
      </c>
      <c r="M660" t="n">
        <v>0</v>
      </c>
      <c r="N660" t="n">
        <v>0</v>
      </c>
      <c r="O660" t="n">
        <v>0</v>
      </c>
      <c r="P660" t="n">
        <v>0</v>
      </c>
      <c r="Q660" t="n">
        <v>1</v>
      </c>
      <c r="R660" s="2" t="inlineStr">
        <is>
          <t>Grön sköldmossa</t>
        </is>
      </c>
      <c r="S660">
        <f>HYPERLINK("https://klasma.github.io/Logging_0484/artfynd/A 38013-2024 artfynd.xlsx", "A 38013-2024")</f>
        <v/>
      </c>
      <c r="T660">
        <f>HYPERLINK("https://klasma.github.io/Logging_0484/kartor/A 38013-2024 karta.png", "A 38013-2024")</f>
        <v/>
      </c>
      <c r="V660">
        <f>HYPERLINK("https://klasma.github.io/Logging_0484/klagomål/A 38013-2024 FSC-klagomål.docx", "A 38013-2024")</f>
        <v/>
      </c>
      <c r="W660">
        <f>HYPERLINK("https://klasma.github.io/Logging_0484/klagomålsmail/A 38013-2024 FSC-klagomål mail.docx", "A 38013-2024")</f>
        <v/>
      </c>
      <c r="X660">
        <f>HYPERLINK("https://klasma.github.io/Logging_0484/tillsyn/A 38013-2024 tillsynsbegäran.docx", "A 38013-2024")</f>
        <v/>
      </c>
      <c r="Y660">
        <f>HYPERLINK("https://klasma.github.io/Logging_0484/tillsynsmail/A 38013-2024 tillsynsbegäran mail.docx", "A 38013-2024")</f>
        <v/>
      </c>
    </row>
    <row r="661" ht="15" customHeight="1">
      <c r="A661" t="inlineStr">
        <is>
          <t>A 40820-2024</t>
        </is>
      </c>
      <c r="B661" s="1" t="n">
        <v>45558</v>
      </c>
      <c r="C661" s="1" t="n">
        <v>45843</v>
      </c>
      <c r="D661" t="inlineStr">
        <is>
          <t>SÖDERMANLANDS LÄN</t>
        </is>
      </c>
      <c r="E661" t="inlineStr">
        <is>
          <t>FLEN</t>
        </is>
      </c>
      <c r="G661" t="n">
        <v>5.7</v>
      </c>
      <c r="H661" t="n">
        <v>1</v>
      </c>
      <c r="I661" t="n">
        <v>0</v>
      </c>
      <c r="J661" t="n">
        <v>0</v>
      </c>
      <c r="K661" t="n">
        <v>1</v>
      </c>
      <c r="L661" t="n">
        <v>0</v>
      </c>
      <c r="M661" t="n">
        <v>0</v>
      </c>
      <c r="N661" t="n">
        <v>0</v>
      </c>
      <c r="O661" t="n">
        <v>1</v>
      </c>
      <c r="P661" t="n">
        <v>1</v>
      </c>
      <c r="Q661" t="n">
        <v>1</v>
      </c>
      <c r="R661" s="2" t="inlineStr">
        <is>
          <t>Knärot</t>
        </is>
      </c>
      <c r="S661">
        <f>HYPERLINK("https://klasma.github.io/Logging_0482/artfynd/A 40820-2024 artfynd.xlsx", "A 40820-2024")</f>
        <v/>
      </c>
      <c r="T661">
        <f>HYPERLINK("https://klasma.github.io/Logging_0482/kartor/A 40820-2024 karta.png", "A 40820-2024")</f>
        <v/>
      </c>
      <c r="U661">
        <f>HYPERLINK("https://klasma.github.io/Logging_0482/knärot/A 40820-2024 karta knärot.png", "A 40820-2024")</f>
        <v/>
      </c>
      <c r="V661">
        <f>HYPERLINK("https://klasma.github.io/Logging_0482/klagomål/A 40820-2024 FSC-klagomål.docx", "A 40820-2024")</f>
        <v/>
      </c>
      <c r="W661">
        <f>HYPERLINK("https://klasma.github.io/Logging_0482/klagomålsmail/A 40820-2024 FSC-klagomål mail.docx", "A 40820-2024")</f>
        <v/>
      </c>
      <c r="X661">
        <f>HYPERLINK("https://klasma.github.io/Logging_0482/tillsyn/A 40820-2024 tillsynsbegäran.docx", "A 40820-2024")</f>
        <v/>
      </c>
      <c r="Y661">
        <f>HYPERLINK("https://klasma.github.io/Logging_0482/tillsynsmail/A 40820-2024 tillsynsbegäran mail.docx", "A 40820-2024")</f>
        <v/>
      </c>
    </row>
    <row r="662" ht="15" customHeight="1">
      <c r="A662" t="inlineStr">
        <is>
          <t>A 43919-2024</t>
        </is>
      </c>
      <c r="B662" s="1" t="n">
        <v>45570</v>
      </c>
      <c r="C662" s="1" t="n">
        <v>45843</v>
      </c>
      <c r="D662" t="inlineStr">
        <is>
          <t>SÖDERMANLANDS LÄN</t>
        </is>
      </c>
      <c r="E662" t="inlineStr">
        <is>
          <t>KATRINEHOLM</t>
        </is>
      </c>
      <c r="G662" t="n">
        <v>4</v>
      </c>
      <c r="H662" t="n">
        <v>1</v>
      </c>
      <c r="I662" t="n">
        <v>0</v>
      </c>
      <c r="J662" t="n">
        <v>0</v>
      </c>
      <c r="K662" t="n">
        <v>0</v>
      </c>
      <c r="L662" t="n">
        <v>0</v>
      </c>
      <c r="M662" t="n">
        <v>0</v>
      </c>
      <c r="N662" t="n">
        <v>0</v>
      </c>
      <c r="O662" t="n">
        <v>0</v>
      </c>
      <c r="P662" t="n">
        <v>0</v>
      </c>
      <c r="Q662" t="n">
        <v>1</v>
      </c>
      <c r="R662" s="2" t="inlineStr">
        <is>
          <t>Mattlummer</t>
        </is>
      </c>
      <c r="S662">
        <f>HYPERLINK("https://klasma.github.io/Logging_0483/artfynd/A 43919-2024 artfynd.xlsx", "A 43919-2024")</f>
        <v/>
      </c>
      <c r="T662">
        <f>HYPERLINK("https://klasma.github.io/Logging_0483/kartor/A 43919-2024 karta.png", "A 43919-2024")</f>
        <v/>
      </c>
      <c r="V662">
        <f>HYPERLINK("https://klasma.github.io/Logging_0483/klagomål/A 43919-2024 FSC-klagomål.docx", "A 43919-2024")</f>
        <v/>
      </c>
      <c r="W662">
        <f>HYPERLINK("https://klasma.github.io/Logging_0483/klagomålsmail/A 43919-2024 FSC-klagomål mail.docx", "A 43919-2024")</f>
        <v/>
      </c>
      <c r="X662">
        <f>HYPERLINK("https://klasma.github.io/Logging_0483/tillsyn/A 43919-2024 tillsynsbegäran.docx", "A 43919-2024")</f>
        <v/>
      </c>
      <c r="Y662">
        <f>HYPERLINK("https://klasma.github.io/Logging_0483/tillsynsmail/A 43919-2024 tillsynsbegäran mail.docx", "A 43919-2024")</f>
        <v/>
      </c>
    </row>
    <row r="663" ht="15" customHeight="1">
      <c r="A663" t="inlineStr">
        <is>
          <t>A 44413-2024</t>
        </is>
      </c>
      <c r="B663" s="1" t="n">
        <v>45573</v>
      </c>
      <c r="C663" s="1" t="n">
        <v>45843</v>
      </c>
      <c r="D663" t="inlineStr">
        <is>
          <t>SÖDERMANLANDS LÄN</t>
        </is>
      </c>
      <c r="E663" t="inlineStr">
        <is>
          <t>KATRINEHOLM</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HYPERLINK("https://klasma.github.io/Logging_0483/artfynd/A 44413-2024 artfynd.xlsx", "A 44413-2024")</f>
        <v/>
      </c>
      <c r="T663">
        <f>HYPERLINK("https://klasma.github.io/Logging_0483/kartor/A 44413-2024 karta.png", "A 44413-2024")</f>
        <v/>
      </c>
      <c r="U663">
        <f>HYPERLINK("https://klasma.github.io/Logging_0483/knärot/A 44413-2024 karta knärot.png", "A 44413-2024")</f>
        <v/>
      </c>
      <c r="V663">
        <f>HYPERLINK("https://klasma.github.io/Logging_0483/klagomål/A 44413-2024 FSC-klagomål.docx", "A 44413-2024")</f>
        <v/>
      </c>
      <c r="W663">
        <f>HYPERLINK("https://klasma.github.io/Logging_0483/klagomålsmail/A 44413-2024 FSC-klagomål mail.docx", "A 44413-2024")</f>
        <v/>
      </c>
      <c r="X663">
        <f>HYPERLINK("https://klasma.github.io/Logging_0483/tillsyn/A 44413-2024 tillsynsbegäran.docx", "A 44413-2024")</f>
        <v/>
      </c>
      <c r="Y663">
        <f>HYPERLINK("https://klasma.github.io/Logging_0483/tillsynsmail/A 44413-2024 tillsynsbegäran mail.docx", "A 44413-2024")</f>
        <v/>
      </c>
    </row>
    <row r="664" ht="15" customHeight="1">
      <c r="A664" t="inlineStr">
        <is>
          <t>A 45459-2024</t>
        </is>
      </c>
      <c r="B664" s="1" t="n">
        <v>45576</v>
      </c>
      <c r="C664" s="1" t="n">
        <v>45843</v>
      </c>
      <c r="D664" t="inlineStr">
        <is>
          <t>SÖDERMANLANDS LÄN</t>
        </is>
      </c>
      <c r="E664" t="inlineStr">
        <is>
          <t>NYKÖPING</t>
        </is>
      </c>
      <c r="G664" t="n">
        <v>11</v>
      </c>
      <c r="H664" t="n">
        <v>0</v>
      </c>
      <c r="I664" t="n">
        <v>0</v>
      </c>
      <c r="J664" t="n">
        <v>1</v>
      </c>
      <c r="K664" t="n">
        <v>0</v>
      </c>
      <c r="L664" t="n">
        <v>0</v>
      </c>
      <c r="M664" t="n">
        <v>0</v>
      </c>
      <c r="N664" t="n">
        <v>0</v>
      </c>
      <c r="O664" t="n">
        <v>1</v>
      </c>
      <c r="P664" t="n">
        <v>0</v>
      </c>
      <c r="Q664" t="n">
        <v>1</v>
      </c>
      <c r="R664" s="2" t="inlineStr">
        <is>
          <t>Motaggsvamp</t>
        </is>
      </c>
      <c r="S664">
        <f>HYPERLINK("https://klasma.github.io/Logging_0480/artfynd/A 45459-2024 artfynd.xlsx", "A 45459-2024")</f>
        <v/>
      </c>
      <c r="T664">
        <f>HYPERLINK("https://klasma.github.io/Logging_0480/kartor/A 45459-2024 karta.png", "A 45459-2024")</f>
        <v/>
      </c>
      <c r="V664">
        <f>HYPERLINK("https://klasma.github.io/Logging_0480/klagomål/A 45459-2024 FSC-klagomål.docx", "A 45459-2024")</f>
        <v/>
      </c>
      <c r="W664">
        <f>HYPERLINK("https://klasma.github.io/Logging_0480/klagomålsmail/A 45459-2024 FSC-klagomål mail.docx", "A 45459-2024")</f>
        <v/>
      </c>
      <c r="X664">
        <f>HYPERLINK("https://klasma.github.io/Logging_0480/tillsyn/A 45459-2024 tillsynsbegäran.docx", "A 45459-2024")</f>
        <v/>
      </c>
      <c r="Y664">
        <f>HYPERLINK("https://klasma.github.io/Logging_0480/tillsynsmail/A 45459-2024 tillsynsbegäran mail.docx", "A 45459-2024")</f>
        <v/>
      </c>
    </row>
    <row r="665" ht="15" customHeight="1">
      <c r="A665" t="inlineStr">
        <is>
          <t>A 45718-2024</t>
        </is>
      </c>
      <c r="B665" s="1" t="n">
        <v>45579</v>
      </c>
      <c r="C665" s="1" t="n">
        <v>45843</v>
      </c>
      <c r="D665" t="inlineStr">
        <is>
          <t>SÖDERMANLANDS LÄN</t>
        </is>
      </c>
      <c r="E665" t="inlineStr">
        <is>
          <t>FLEN</t>
        </is>
      </c>
      <c r="G665" t="n">
        <v>0.9</v>
      </c>
      <c r="H665" t="n">
        <v>1</v>
      </c>
      <c r="I665" t="n">
        <v>0</v>
      </c>
      <c r="J665" t="n">
        <v>0</v>
      </c>
      <c r="K665" t="n">
        <v>1</v>
      </c>
      <c r="L665" t="n">
        <v>0</v>
      </c>
      <c r="M665" t="n">
        <v>0</v>
      </c>
      <c r="N665" t="n">
        <v>0</v>
      </c>
      <c r="O665" t="n">
        <v>1</v>
      </c>
      <c r="P665" t="n">
        <v>1</v>
      </c>
      <c r="Q665" t="n">
        <v>1</v>
      </c>
      <c r="R665" s="2" t="inlineStr">
        <is>
          <t>Knärot</t>
        </is>
      </c>
      <c r="S665">
        <f>HYPERLINK("https://klasma.github.io/Logging_0482/artfynd/A 45718-2024 artfynd.xlsx", "A 45718-2024")</f>
        <v/>
      </c>
      <c r="T665">
        <f>HYPERLINK("https://klasma.github.io/Logging_0482/kartor/A 45718-2024 karta.png", "A 45718-2024")</f>
        <v/>
      </c>
      <c r="U665">
        <f>HYPERLINK("https://klasma.github.io/Logging_0482/knärot/A 45718-2024 karta knärot.png", "A 45718-2024")</f>
        <v/>
      </c>
      <c r="V665">
        <f>HYPERLINK("https://klasma.github.io/Logging_0482/klagomål/A 45718-2024 FSC-klagomål.docx", "A 45718-2024")</f>
        <v/>
      </c>
      <c r="W665">
        <f>HYPERLINK("https://klasma.github.io/Logging_0482/klagomålsmail/A 45718-2024 FSC-klagomål mail.docx", "A 45718-2024")</f>
        <v/>
      </c>
      <c r="X665">
        <f>HYPERLINK("https://klasma.github.io/Logging_0482/tillsyn/A 45718-2024 tillsynsbegäran.docx", "A 45718-2024")</f>
        <v/>
      </c>
      <c r="Y665">
        <f>HYPERLINK("https://klasma.github.io/Logging_0482/tillsynsmail/A 45718-2024 tillsynsbegäran mail.docx", "A 45718-2024")</f>
        <v/>
      </c>
    </row>
    <row r="666" ht="15" customHeight="1">
      <c r="A666" t="inlineStr">
        <is>
          <t>A 46987-2024</t>
        </is>
      </c>
      <c r="B666" s="1" t="n">
        <v>45586</v>
      </c>
      <c r="C666" s="1" t="n">
        <v>45843</v>
      </c>
      <c r="D666" t="inlineStr">
        <is>
          <t>SÖDERMANLANDS LÄN</t>
        </is>
      </c>
      <c r="E666" t="inlineStr">
        <is>
          <t>FLEN</t>
        </is>
      </c>
      <c r="G666" t="n">
        <v>1.2</v>
      </c>
      <c r="H666" t="n">
        <v>0</v>
      </c>
      <c r="I666" t="n">
        <v>0</v>
      </c>
      <c r="J666" t="n">
        <v>1</v>
      </c>
      <c r="K666" t="n">
        <v>0</v>
      </c>
      <c r="L666" t="n">
        <v>0</v>
      </c>
      <c r="M666" t="n">
        <v>0</v>
      </c>
      <c r="N666" t="n">
        <v>0</v>
      </c>
      <c r="O666" t="n">
        <v>1</v>
      </c>
      <c r="P666" t="n">
        <v>0</v>
      </c>
      <c r="Q666" t="n">
        <v>1</v>
      </c>
      <c r="R666" s="2" t="inlineStr">
        <is>
          <t>Svinrot</t>
        </is>
      </c>
      <c r="S666">
        <f>HYPERLINK("https://klasma.github.io/Logging_0482/artfynd/A 46987-2024 artfynd.xlsx", "A 46987-2024")</f>
        <v/>
      </c>
      <c r="T666">
        <f>HYPERLINK("https://klasma.github.io/Logging_0482/kartor/A 46987-2024 karta.png", "A 46987-2024")</f>
        <v/>
      </c>
      <c r="V666">
        <f>HYPERLINK("https://klasma.github.io/Logging_0482/klagomål/A 46987-2024 FSC-klagomål.docx", "A 46987-2024")</f>
        <v/>
      </c>
      <c r="W666">
        <f>HYPERLINK("https://klasma.github.io/Logging_0482/klagomålsmail/A 46987-2024 FSC-klagomål mail.docx", "A 46987-2024")</f>
        <v/>
      </c>
      <c r="X666">
        <f>HYPERLINK("https://klasma.github.io/Logging_0482/tillsyn/A 46987-2024 tillsynsbegäran.docx", "A 46987-2024")</f>
        <v/>
      </c>
      <c r="Y666">
        <f>HYPERLINK("https://klasma.github.io/Logging_0482/tillsynsmail/A 46987-2024 tillsynsbegäran mail.docx", "A 46987-2024")</f>
        <v/>
      </c>
    </row>
    <row r="667" ht="15" customHeight="1">
      <c r="A667" t="inlineStr">
        <is>
          <t>A 48004-2024</t>
        </is>
      </c>
      <c r="B667" s="1" t="n">
        <v>45589</v>
      </c>
      <c r="C667" s="1" t="n">
        <v>45843</v>
      </c>
      <c r="D667" t="inlineStr">
        <is>
          <t>SÖDERMANLANDS LÄN</t>
        </is>
      </c>
      <c r="E667" t="inlineStr">
        <is>
          <t>KATRINEHOLM</t>
        </is>
      </c>
      <c r="G667" t="n">
        <v>2.2</v>
      </c>
      <c r="H667" t="n">
        <v>0</v>
      </c>
      <c r="I667" t="n">
        <v>0</v>
      </c>
      <c r="J667" t="n">
        <v>0</v>
      </c>
      <c r="K667" t="n">
        <v>1</v>
      </c>
      <c r="L667" t="n">
        <v>0</v>
      </c>
      <c r="M667" t="n">
        <v>0</v>
      </c>
      <c r="N667" t="n">
        <v>0</v>
      </c>
      <c r="O667" t="n">
        <v>1</v>
      </c>
      <c r="P667" t="n">
        <v>1</v>
      </c>
      <c r="Q667" t="n">
        <v>1</v>
      </c>
      <c r="R667" s="2" t="inlineStr">
        <is>
          <t>Grenticka</t>
        </is>
      </c>
      <c r="S667">
        <f>HYPERLINK("https://klasma.github.io/Logging_0483/artfynd/A 48004-2024 artfynd.xlsx", "A 48004-2024")</f>
        <v/>
      </c>
      <c r="T667">
        <f>HYPERLINK("https://klasma.github.io/Logging_0483/kartor/A 48004-2024 karta.png", "A 48004-2024")</f>
        <v/>
      </c>
      <c r="V667">
        <f>HYPERLINK("https://klasma.github.io/Logging_0483/klagomål/A 48004-2024 FSC-klagomål.docx", "A 48004-2024")</f>
        <v/>
      </c>
      <c r="W667">
        <f>HYPERLINK("https://klasma.github.io/Logging_0483/klagomålsmail/A 48004-2024 FSC-klagomål mail.docx", "A 48004-2024")</f>
        <v/>
      </c>
      <c r="X667">
        <f>HYPERLINK("https://klasma.github.io/Logging_0483/tillsyn/A 48004-2024 tillsynsbegäran.docx", "A 48004-2024")</f>
        <v/>
      </c>
      <c r="Y667">
        <f>HYPERLINK("https://klasma.github.io/Logging_0483/tillsynsmail/A 48004-2024 tillsynsbegäran mail.docx", "A 48004-2024")</f>
        <v/>
      </c>
    </row>
    <row r="668" ht="15" customHeight="1">
      <c r="A668" t="inlineStr">
        <is>
          <t>A 49594-2024</t>
        </is>
      </c>
      <c r="B668" s="1" t="n">
        <v>45596</v>
      </c>
      <c r="C668" s="1" t="n">
        <v>45843</v>
      </c>
      <c r="D668" t="inlineStr">
        <is>
          <t>SÖDERMANLANDS LÄN</t>
        </is>
      </c>
      <c r="E668" t="inlineStr">
        <is>
          <t>FLEN</t>
        </is>
      </c>
      <c r="F668" t="inlineStr">
        <is>
          <t>Holmen skog AB</t>
        </is>
      </c>
      <c r="G668" t="n">
        <v>2.9</v>
      </c>
      <c r="H668" t="n">
        <v>1</v>
      </c>
      <c r="I668" t="n">
        <v>0</v>
      </c>
      <c r="J668" t="n">
        <v>1</v>
      </c>
      <c r="K668" t="n">
        <v>0</v>
      </c>
      <c r="L668" t="n">
        <v>0</v>
      </c>
      <c r="M668" t="n">
        <v>0</v>
      </c>
      <c r="N668" t="n">
        <v>0</v>
      </c>
      <c r="O668" t="n">
        <v>1</v>
      </c>
      <c r="P668" t="n">
        <v>0</v>
      </c>
      <c r="Q668" t="n">
        <v>1</v>
      </c>
      <c r="R668" s="2" t="inlineStr">
        <is>
          <t>Spillkråka</t>
        </is>
      </c>
      <c r="S668">
        <f>HYPERLINK("https://klasma.github.io/Logging_0482/artfynd/A 49594-2024 artfynd.xlsx", "A 49594-2024")</f>
        <v/>
      </c>
      <c r="T668">
        <f>HYPERLINK("https://klasma.github.io/Logging_0482/kartor/A 49594-2024 karta.png", "A 49594-2024")</f>
        <v/>
      </c>
      <c r="V668">
        <f>HYPERLINK("https://klasma.github.io/Logging_0482/klagomål/A 49594-2024 FSC-klagomål.docx", "A 49594-2024")</f>
        <v/>
      </c>
      <c r="W668">
        <f>HYPERLINK("https://klasma.github.io/Logging_0482/klagomålsmail/A 49594-2024 FSC-klagomål mail.docx", "A 49594-2024")</f>
        <v/>
      </c>
      <c r="X668">
        <f>HYPERLINK("https://klasma.github.io/Logging_0482/tillsyn/A 49594-2024 tillsynsbegäran.docx", "A 49594-2024")</f>
        <v/>
      </c>
      <c r="Y668">
        <f>HYPERLINK("https://klasma.github.io/Logging_0482/tillsynsmail/A 49594-2024 tillsynsbegäran mail.docx", "A 49594-2024")</f>
        <v/>
      </c>
      <c r="Z668">
        <f>HYPERLINK("https://klasma.github.io/Logging_0482/fåglar/A 49594-2024 prioriterade fågelarter.docx", "A 49594-2024")</f>
        <v/>
      </c>
    </row>
    <row r="669" ht="15" customHeight="1">
      <c r="A669" t="inlineStr">
        <is>
          <t>A 51258-2024</t>
        </is>
      </c>
      <c r="B669" s="1" t="n">
        <v>45603</v>
      </c>
      <c r="C669" s="1" t="n">
        <v>45843</v>
      </c>
      <c r="D669" t="inlineStr">
        <is>
          <t>SÖDERMANLANDS LÄN</t>
        </is>
      </c>
      <c r="E669" t="inlineStr">
        <is>
          <t>NYKÖPING</t>
        </is>
      </c>
      <c r="F669" t="inlineStr">
        <is>
          <t>Sveaskog</t>
        </is>
      </c>
      <c r="G669" t="n">
        <v>2.6</v>
      </c>
      <c r="H669" t="n">
        <v>0</v>
      </c>
      <c r="I669" t="n">
        <v>1</v>
      </c>
      <c r="J669" t="n">
        <v>0</v>
      </c>
      <c r="K669" t="n">
        <v>0</v>
      </c>
      <c r="L669" t="n">
        <v>0</v>
      </c>
      <c r="M669" t="n">
        <v>0</v>
      </c>
      <c r="N669" t="n">
        <v>0</v>
      </c>
      <c r="O669" t="n">
        <v>0</v>
      </c>
      <c r="P669" t="n">
        <v>0</v>
      </c>
      <c r="Q669" t="n">
        <v>1</v>
      </c>
      <c r="R669" s="2" t="inlineStr">
        <is>
          <t>Grönpyrola</t>
        </is>
      </c>
      <c r="S669">
        <f>HYPERLINK("https://klasma.github.io/Logging_0480/artfynd/A 51258-2024 artfynd.xlsx", "A 51258-2024")</f>
        <v/>
      </c>
      <c r="T669">
        <f>HYPERLINK("https://klasma.github.io/Logging_0480/kartor/A 51258-2024 karta.png", "A 51258-2024")</f>
        <v/>
      </c>
      <c r="V669">
        <f>HYPERLINK("https://klasma.github.io/Logging_0480/klagomål/A 51258-2024 FSC-klagomål.docx", "A 51258-2024")</f>
        <v/>
      </c>
      <c r="W669">
        <f>HYPERLINK("https://klasma.github.io/Logging_0480/klagomålsmail/A 51258-2024 FSC-klagomål mail.docx", "A 51258-2024")</f>
        <v/>
      </c>
      <c r="X669">
        <f>HYPERLINK("https://klasma.github.io/Logging_0480/tillsyn/A 51258-2024 tillsynsbegäran.docx", "A 51258-2024")</f>
        <v/>
      </c>
      <c r="Y669">
        <f>HYPERLINK("https://klasma.github.io/Logging_0480/tillsynsmail/A 51258-2024 tillsynsbegäran mail.docx", "A 51258-2024")</f>
        <v/>
      </c>
    </row>
    <row r="670" ht="15" customHeight="1">
      <c r="A670" t="inlineStr">
        <is>
          <t>A 51644-2024</t>
        </is>
      </c>
      <c r="B670" s="1" t="n">
        <v>45603</v>
      </c>
      <c r="C670" s="1" t="n">
        <v>45843</v>
      </c>
      <c r="D670" t="inlineStr">
        <is>
          <t>SÖDERMANLANDS LÄN</t>
        </is>
      </c>
      <c r="E670" t="inlineStr">
        <is>
          <t>TROSA</t>
        </is>
      </c>
      <c r="G670" t="n">
        <v>15.2</v>
      </c>
      <c r="H670" t="n">
        <v>1</v>
      </c>
      <c r="I670" t="n">
        <v>0</v>
      </c>
      <c r="J670" t="n">
        <v>0</v>
      </c>
      <c r="K670" t="n">
        <v>0</v>
      </c>
      <c r="L670" t="n">
        <v>0</v>
      </c>
      <c r="M670" t="n">
        <v>0</v>
      </c>
      <c r="N670" t="n">
        <v>0</v>
      </c>
      <c r="O670" t="n">
        <v>0</v>
      </c>
      <c r="P670" t="n">
        <v>0</v>
      </c>
      <c r="Q670" t="n">
        <v>1</v>
      </c>
      <c r="R670" s="2" t="inlineStr">
        <is>
          <t>Gröngöling</t>
        </is>
      </c>
      <c r="S670">
        <f>HYPERLINK("https://klasma.github.io/Logging_0488/artfynd/A 51644-2024 artfynd.xlsx", "A 51644-2024")</f>
        <v/>
      </c>
      <c r="T670">
        <f>HYPERLINK("https://klasma.github.io/Logging_0488/kartor/A 51644-2024 karta.png", "A 51644-2024")</f>
        <v/>
      </c>
      <c r="V670">
        <f>HYPERLINK("https://klasma.github.io/Logging_0488/klagomål/A 51644-2024 FSC-klagomål.docx", "A 51644-2024")</f>
        <v/>
      </c>
      <c r="W670">
        <f>HYPERLINK("https://klasma.github.io/Logging_0488/klagomålsmail/A 51644-2024 FSC-klagomål mail.docx", "A 51644-2024")</f>
        <v/>
      </c>
      <c r="X670">
        <f>HYPERLINK("https://klasma.github.io/Logging_0488/tillsyn/A 51644-2024 tillsynsbegäran.docx", "A 51644-2024")</f>
        <v/>
      </c>
      <c r="Y670">
        <f>HYPERLINK("https://klasma.github.io/Logging_0488/tillsynsmail/A 51644-2024 tillsynsbegäran mail.docx", "A 51644-2024")</f>
        <v/>
      </c>
      <c r="Z670">
        <f>HYPERLINK("https://klasma.github.io/Logging_0488/fåglar/A 51644-2024 prioriterade fågelarter.docx", "A 51644-2024")</f>
        <v/>
      </c>
    </row>
    <row r="671" ht="15" customHeight="1">
      <c r="A671" t="inlineStr">
        <is>
          <t>A 51345-2024</t>
        </is>
      </c>
      <c r="B671" s="1" t="n">
        <v>45603</v>
      </c>
      <c r="C671" s="1" t="n">
        <v>45843</v>
      </c>
      <c r="D671" t="inlineStr">
        <is>
          <t>SÖDERMANLANDS LÄN</t>
        </is>
      </c>
      <c r="E671" t="inlineStr">
        <is>
          <t>ESKILSTUNA</t>
        </is>
      </c>
      <c r="G671" t="n">
        <v>4.9</v>
      </c>
      <c r="H671" t="n">
        <v>1</v>
      </c>
      <c r="I671" t="n">
        <v>0</v>
      </c>
      <c r="J671" t="n">
        <v>0</v>
      </c>
      <c r="K671" t="n">
        <v>0</v>
      </c>
      <c r="L671" t="n">
        <v>0</v>
      </c>
      <c r="M671" t="n">
        <v>0</v>
      </c>
      <c r="N671" t="n">
        <v>0</v>
      </c>
      <c r="O671" t="n">
        <v>0</v>
      </c>
      <c r="P671" t="n">
        <v>0</v>
      </c>
      <c r="Q671" t="n">
        <v>1</v>
      </c>
      <c r="R671" s="2" t="inlineStr">
        <is>
          <t>Revlummer</t>
        </is>
      </c>
      <c r="S671">
        <f>HYPERLINK("https://klasma.github.io/Logging_0484/artfynd/A 51345-2024 artfynd.xlsx", "A 51345-2024")</f>
        <v/>
      </c>
      <c r="T671">
        <f>HYPERLINK("https://klasma.github.io/Logging_0484/kartor/A 51345-2024 karta.png", "A 51345-2024")</f>
        <v/>
      </c>
      <c r="V671">
        <f>HYPERLINK("https://klasma.github.io/Logging_0484/klagomål/A 51345-2024 FSC-klagomål.docx", "A 51345-2024")</f>
        <v/>
      </c>
      <c r="W671">
        <f>HYPERLINK("https://klasma.github.io/Logging_0484/klagomålsmail/A 51345-2024 FSC-klagomål mail.docx", "A 51345-2024")</f>
        <v/>
      </c>
      <c r="X671">
        <f>HYPERLINK("https://klasma.github.io/Logging_0484/tillsyn/A 51345-2024 tillsynsbegäran.docx", "A 51345-2024")</f>
        <v/>
      </c>
      <c r="Y671">
        <f>HYPERLINK("https://klasma.github.io/Logging_0484/tillsynsmail/A 51345-2024 tillsynsbegäran mail.docx", "A 51345-2024")</f>
        <v/>
      </c>
    </row>
    <row r="672" ht="15" customHeight="1">
      <c r="A672" t="inlineStr">
        <is>
          <t>A 51249-2024</t>
        </is>
      </c>
      <c r="B672" s="1" t="n">
        <v>45603</v>
      </c>
      <c r="C672" s="1" t="n">
        <v>45843</v>
      </c>
      <c r="D672" t="inlineStr">
        <is>
          <t>SÖDERMANLANDS LÄN</t>
        </is>
      </c>
      <c r="E672" t="inlineStr">
        <is>
          <t>NYKÖPING</t>
        </is>
      </c>
      <c r="F672" t="inlineStr">
        <is>
          <t>Sveaskog</t>
        </is>
      </c>
      <c r="G672" t="n">
        <v>4</v>
      </c>
      <c r="H672" t="n">
        <v>1</v>
      </c>
      <c r="I672" t="n">
        <v>0</v>
      </c>
      <c r="J672" t="n">
        <v>1</v>
      </c>
      <c r="K672" t="n">
        <v>0</v>
      </c>
      <c r="L672" t="n">
        <v>0</v>
      </c>
      <c r="M672" t="n">
        <v>0</v>
      </c>
      <c r="N672" t="n">
        <v>0</v>
      </c>
      <c r="O672" t="n">
        <v>1</v>
      </c>
      <c r="P672" t="n">
        <v>0</v>
      </c>
      <c r="Q672" t="n">
        <v>1</v>
      </c>
      <c r="R672" s="2" t="inlineStr">
        <is>
          <t>Talltita</t>
        </is>
      </c>
      <c r="S672">
        <f>HYPERLINK("https://klasma.github.io/Logging_0480/artfynd/A 51249-2024 artfynd.xlsx", "A 51249-2024")</f>
        <v/>
      </c>
      <c r="T672">
        <f>HYPERLINK("https://klasma.github.io/Logging_0480/kartor/A 51249-2024 karta.png", "A 51249-2024")</f>
        <v/>
      </c>
      <c r="V672">
        <f>HYPERLINK("https://klasma.github.io/Logging_0480/klagomål/A 51249-2024 FSC-klagomål.docx", "A 51249-2024")</f>
        <v/>
      </c>
      <c r="W672">
        <f>HYPERLINK("https://klasma.github.io/Logging_0480/klagomålsmail/A 51249-2024 FSC-klagomål mail.docx", "A 51249-2024")</f>
        <v/>
      </c>
      <c r="X672">
        <f>HYPERLINK("https://klasma.github.io/Logging_0480/tillsyn/A 51249-2024 tillsynsbegäran.docx", "A 51249-2024")</f>
        <v/>
      </c>
      <c r="Y672">
        <f>HYPERLINK("https://klasma.github.io/Logging_0480/tillsynsmail/A 51249-2024 tillsynsbegäran mail.docx", "A 51249-2024")</f>
        <v/>
      </c>
      <c r="Z672">
        <f>HYPERLINK("https://klasma.github.io/Logging_0480/fåglar/A 51249-2024 prioriterade fågelarter.docx", "A 51249-2024")</f>
        <v/>
      </c>
    </row>
    <row r="673" ht="15" customHeight="1">
      <c r="A673" t="inlineStr">
        <is>
          <t>A 51217-2024</t>
        </is>
      </c>
      <c r="B673" s="1" t="n">
        <v>45603</v>
      </c>
      <c r="C673" s="1" t="n">
        <v>45843</v>
      </c>
      <c r="D673" t="inlineStr">
        <is>
          <t>SÖDERMANLANDS LÄN</t>
        </is>
      </c>
      <c r="E673" t="inlineStr">
        <is>
          <t>GNESTA</t>
        </is>
      </c>
      <c r="G673" t="n">
        <v>16.6</v>
      </c>
      <c r="H673" t="n">
        <v>1</v>
      </c>
      <c r="I673" t="n">
        <v>0</v>
      </c>
      <c r="J673" t="n">
        <v>0</v>
      </c>
      <c r="K673" t="n">
        <v>0</v>
      </c>
      <c r="L673" t="n">
        <v>0</v>
      </c>
      <c r="M673" t="n">
        <v>0</v>
      </c>
      <c r="N673" t="n">
        <v>0</v>
      </c>
      <c r="O673" t="n">
        <v>0</v>
      </c>
      <c r="P673" t="n">
        <v>0</v>
      </c>
      <c r="Q673" t="n">
        <v>1</v>
      </c>
      <c r="R673" s="2" t="inlineStr">
        <is>
          <t>Revlummer</t>
        </is>
      </c>
      <c r="S673">
        <f>HYPERLINK("https://klasma.github.io/Logging_0461/artfynd/A 51217-2024 artfynd.xlsx", "A 51217-2024")</f>
        <v/>
      </c>
      <c r="T673">
        <f>HYPERLINK("https://klasma.github.io/Logging_0461/kartor/A 51217-2024 karta.png", "A 51217-2024")</f>
        <v/>
      </c>
      <c r="V673">
        <f>HYPERLINK("https://klasma.github.io/Logging_0461/klagomål/A 51217-2024 FSC-klagomål.docx", "A 51217-2024")</f>
        <v/>
      </c>
      <c r="W673">
        <f>HYPERLINK("https://klasma.github.io/Logging_0461/klagomålsmail/A 51217-2024 FSC-klagomål mail.docx", "A 51217-2024")</f>
        <v/>
      </c>
      <c r="X673">
        <f>HYPERLINK("https://klasma.github.io/Logging_0461/tillsyn/A 51217-2024 tillsynsbegäran.docx", "A 51217-2024")</f>
        <v/>
      </c>
      <c r="Y673">
        <f>HYPERLINK("https://klasma.github.io/Logging_0461/tillsynsmail/A 51217-2024 tillsynsbegäran mail.docx", "A 51217-2024")</f>
        <v/>
      </c>
    </row>
    <row r="674" ht="15" customHeight="1">
      <c r="A674" t="inlineStr">
        <is>
          <t>A 51095-2024</t>
        </is>
      </c>
      <c r="B674" s="1" t="n">
        <v>45603</v>
      </c>
      <c r="C674" s="1" t="n">
        <v>45843</v>
      </c>
      <c r="D674" t="inlineStr">
        <is>
          <t>SÖDERMANLANDS LÄN</t>
        </is>
      </c>
      <c r="E674" t="inlineStr">
        <is>
          <t>GNESTA</t>
        </is>
      </c>
      <c r="G674" t="n">
        <v>1.5</v>
      </c>
      <c r="H674" t="n">
        <v>1</v>
      </c>
      <c r="I674" t="n">
        <v>0</v>
      </c>
      <c r="J674" t="n">
        <v>0</v>
      </c>
      <c r="K674" t="n">
        <v>0</v>
      </c>
      <c r="L674" t="n">
        <v>0</v>
      </c>
      <c r="M674" t="n">
        <v>0</v>
      </c>
      <c r="N674" t="n">
        <v>0</v>
      </c>
      <c r="O674" t="n">
        <v>0</v>
      </c>
      <c r="P674" t="n">
        <v>0</v>
      </c>
      <c r="Q674" t="n">
        <v>1</v>
      </c>
      <c r="R674" s="2" t="inlineStr">
        <is>
          <t>Blåsippa</t>
        </is>
      </c>
      <c r="S674">
        <f>HYPERLINK("https://klasma.github.io/Logging_0461/artfynd/A 51095-2024 artfynd.xlsx", "A 51095-2024")</f>
        <v/>
      </c>
      <c r="T674">
        <f>HYPERLINK("https://klasma.github.io/Logging_0461/kartor/A 51095-2024 karta.png", "A 51095-2024")</f>
        <v/>
      </c>
      <c r="V674">
        <f>HYPERLINK("https://klasma.github.io/Logging_0461/klagomål/A 51095-2024 FSC-klagomål.docx", "A 51095-2024")</f>
        <v/>
      </c>
      <c r="W674">
        <f>HYPERLINK("https://klasma.github.io/Logging_0461/klagomålsmail/A 51095-2024 FSC-klagomål mail.docx", "A 51095-2024")</f>
        <v/>
      </c>
      <c r="X674">
        <f>HYPERLINK("https://klasma.github.io/Logging_0461/tillsyn/A 51095-2024 tillsynsbegäran.docx", "A 51095-2024")</f>
        <v/>
      </c>
      <c r="Y674">
        <f>HYPERLINK("https://klasma.github.io/Logging_0461/tillsynsmail/A 51095-2024 tillsynsbegäran mail.docx", "A 51095-2024")</f>
        <v/>
      </c>
    </row>
    <row r="675" ht="15" customHeight="1">
      <c r="A675" t="inlineStr">
        <is>
          <t>A 51551-2024</t>
        </is>
      </c>
      <c r="B675" s="1" t="n">
        <v>45603</v>
      </c>
      <c r="C675" s="1" t="n">
        <v>45843</v>
      </c>
      <c r="D675" t="inlineStr">
        <is>
          <t>SÖDERMANLANDS LÄN</t>
        </is>
      </c>
      <c r="E675" t="inlineStr">
        <is>
          <t>TROSA</t>
        </is>
      </c>
      <c r="G675" t="n">
        <v>3</v>
      </c>
      <c r="H675" t="n">
        <v>0</v>
      </c>
      <c r="I675" t="n">
        <v>0</v>
      </c>
      <c r="J675" t="n">
        <v>1</v>
      </c>
      <c r="K675" t="n">
        <v>0</v>
      </c>
      <c r="L675" t="n">
        <v>0</v>
      </c>
      <c r="M675" t="n">
        <v>0</v>
      </c>
      <c r="N675" t="n">
        <v>0</v>
      </c>
      <c r="O675" t="n">
        <v>1</v>
      </c>
      <c r="P675" t="n">
        <v>0</v>
      </c>
      <c r="Q675" t="n">
        <v>1</v>
      </c>
      <c r="R675" s="2" t="inlineStr">
        <is>
          <t>Motaggsvamp</t>
        </is>
      </c>
      <c r="S675">
        <f>HYPERLINK("https://klasma.github.io/Logging_0488/artfynd/A 51551-2024 artfynd.xlsx", "A 51551-2024")</f>
        <v/>
      </c>
      <c r="T675">
        <f>HYPERLINK("https://klasma.github.io/Logging_0488/kartor/A 51551-2024 karta.png", "A 51551-2024")</f>
        <v/>
      </c>
      <c r="V675">
        <f>HYPERLINK("https://klasma.github.io/Logging_0488/klagomål/A 51551-2024 FSC-klagomål.docx", "A 51551-2024")</f>
        <v/>
      </c>
      <c r="W675">
        <f>HYPERLINK("https://klasma.github.io/Logging_0488/klagomålsmail/A 51551-2024 FSC-klagomål mail.docx", "A 51551-2024")</f>
        <v/>
      </c>
      <c r="X675">
        <f>HYPERLINK("https://klasma.github.io/Logging_0488/tillsyn/A 51551-2024 tillsynsbegäran.docx", "A 51551-2024")</f>
        <v/>
      </c>
      <c r="Y675">
        <f>HYPERLINK("https://klasma.github.io/Logging_0488/tillsynsmail/A 51551-2024 tillsynsbegäran mail.docx", "A 51551-2024")</f>
        <v/>
      </c>
    </row>
    <row r="676" ht="15" customHeight="1">
      <c r="A676" t="inlineStr">
        <is>
          <t>A 52594-2024</t>
        </is>
      </c>
      <c r="B676" s="1" t="n">
        <v>45609</v>
      </c>
      <c r="C676" s="1" t="n">
        <v>45843</v>
      </c>
      <c r="D676" t="inlineStr">
        <is>
          <t>SÖDERMANLANDS LÄN</t>
        </is>
      </c>
      <c r="E676" t="inlineStr">
        <is>
          <t>NYKÖPING</t>
        </is>
      </c>
      <c r="F676" t="inlineStr">
        <is>
          <t>Holmen skog AB</t>
        </is>
      </c>
      <c r="G676" t="n">
        <v>1.2</v>
      </c>
      <c r="H676" t="n">
        <v>0</v>
      </c>
      <c r="I676" t="n">
        <v>1</v>
      </c>
      <c r="J676" t="n">
        <v>0</v>
      </c>
      <c r="K676" t="n">
        <v>0</v>
      </c>
      <c r="L676" t="n">
        <v>0</v>
      </c>
      <c r="M676" t="n">
        <v>0</v>
      </c>
      <c r="N676" t="n">
        <v>0</v>
      </c>
      <c r="O676" t="n">
        <v>0</v>
      </c>
      <c r="P676" t="n">
        <v>0</v>
      </c>
      <c r="Q676" t="n">
        <v>1</v>
      </c>
      <c r="R676" s="2" t="inlineStr">
        <is>
          <t>Tibast</t>
        </is>
      </c>
      <c r="S676">
        <f>HYPERLINK("https://klasma.github.io/Logging_0480/artfynd/A 52594-2024 artfynd.xlsx", "A 52594-2024")</f>
        <v/>
      </c>
      <c r="T676">
        <f>HYPERLINK("https://klasma.github.io/Logging_0480/kartor/A 52594-2024 karta.png", "A 52594-2024")</f>
        <v/>
      </c>
      <c r="V676">
        <f>HYPERLINK("https://klasma.github.io/Logging_0480/klagomål/A 52594-2024 FSC-klagomål.docx", "A 52594-2024")</f>
        <v/>
      </c>
      <c r="W676">
        <f>HYPERLINK("https://klasma.github.io/Logging_0480/klagomålsmail/A 52594-2024 FSC-klagomål mail.docx", "A 52594-2024")</f>
        <v/>
      </c>
      <c r="X676">
        <f>HYPERLINK("https://klasma.github.io/Logging_0480/tillsyn/A 52594-2024 tillsynsbegäran.docx", "A 52594-2024")</f>
        <v/>
      </c>
      <c r="Y676">
        <f>HYPERLINK("https://klasma.github.io/Logging_0480/tillsynsmail/A 52594-2024 tillsynsbegäran mail.docx", "A 52594-2024")</f>
        <v/>
      </c>
    </row>
    <row r="677" ht="15" customHeight="1">
      <c r="A677" t="inlineStr">
        <is>
          <t>A 53869-2024</t>
        </is>
      </c>
      <c r="B677" s="1" t="n">
        <v>45614</v>
      </c>
      <c r="C677" s="1" t="n">
        <v>45843</v>
      </c>
      <c r="D677" t="inlineStr">
        <is>
          <t>SÖDERMANLANDS LÄN</t>
        </is>
      </c>
      <c r="E677" t="inlineStr">
        <is>
          <t>TROSA</t>
        </is>
      </c>
      <c r="F677" t="inlineStr">
        <is>
          <t>Övriga statliga verk och myndigheter</t>
        </is>
      </c>
      <c r="G677" t="n">
        <v>20</v>
      </c>
      <c r="H677" t="n">
        <v>1</v>
      </c>
      <c r="I677" t="n">
        <v>0</v>
      </c>
      <c r="J677" t="n">
        <v>0</v>
      </c>
      <c r="K677" t="n">
        <v>0</v>
      </c>
      <c r="L677" t="n">
        <v>0</v>
      </c>
      <c r="M677" t="n">
        <v>0</v>
      </c>
      <c r="N677" t="n">
        <v>0</v>
      </c>
      <c r="O677" t="n">
        <v>0</v>
      </c>
      <c r="P677" t="n">
        <v>0</v>
      </c>
      <c r="Q677" t="n">
        <v>1</v>
      </c>
      <c r="R677" s="2" t="inlineStr">
        <is>
          <t>Kungsfågel</t>
        </is>
      </c>
      <c r="S677">
        <f>HYPERLINK("https://klasma.github.io/Logging_0488/artfynd/A 53869-2024 artfynd.xlsx", "A 53869-2024")</f>
        <v/>
      </c>
      <c r="T677">
        <f>HYPERLINK("https://klasma.github.io/Logging_0488/kartor/A 53869-2024 karta.png", "A 53869-2024")</f>
        <v/>
      </c>
      <c r="V677">
        <f>HYPERLINK("https://klasma.github.io/Logging_0488/klagomål/A 53869-2024 FSC-klagomål.docx", "A 53869-2024")</f>
        <v/>
      </c>
      <c r="W677">
        <f>HYPERLINK("https://klasma.github.io/Logging_0488/klagomålsmail/A 53869-2024 FSC-klagomål mail.docx", "A 53869-2024")</f>
        <v/>
      </c>
      <c r="X677">
        <f>HYPERLINK("https://klasma.github.io/Logging_0488/tillsyn/A 53869-2024 tillsynsbegäran.docx", "A 53869-2024")</f>
        <v/>
      </c>
      <c r="Y677">
        <f>HYPERLINK("https://klasma.github.io/Logging_0488/tillsynsmail/A 53869-2024 tillsynsbegäran mail.docx", "A 53869-2024")</f>
        <v/>
      </c>
      <c r="Z677">
        <f>HYPERLINK("https://klasma.github.io/Logging_0488/fåglar/A 53869-2024 prioriterade fågelarter.docx", "A 53869-2024")</f>
        <v/>
      </c>
    </row>
    <row r="678" ht="15" customHeight="1">
      <c r="A678" t="inlineStr">
        <is>
          <t>A 54715-2024</t>
        </is>
      </c>
      <c r="B678" s="1" t="n">
        <v>45617</v>
      </c>
      <c r="C678" s="1" t="n">
        <v>45843</v>
      </c>
      <c r="D678" t="inlineStr">
        <is>
          <t>SÖDERMANLANDS LÄN</t>
        </is>
      </c>
      <c r="E678" t="inlineStr">
        <is>
          <t>STRÄNGNÄS</t>
        </is>
      </c>
      <c r="G678" t="n">
        <v>5</v>
      </c>
      <c r="H678" t="n">
        <v>0</v>
      </c>
      <c r="I678" t="n">
        <v>1</v>
      </c>
      <c r="J678" t="n">
        <v>0</v>
      </c>
      <c r="K678" t="n">
        <v>0</v>
      </c>
      <c r="L678" t="n">
        <v>0</v>
      </c>
      <c r="M678" t="n">
        <v>0</v>
      </c>
      <c r="N678" t="n">
        <v>0</v>
      </c>
      <c r="O678" t="n">
        <v>0</v>
      </c>
      <c r="P678" t="n">
        <v>0</v>
      </c>
      <c r="Q678" t="n">
        <v>1</v>
      </c>
      <c r="R678" s="2" t="inlineStr">
        <is>
          <t>Dropptaggsvamp</t>
        </is>
      </c>
      <c r="S678">
        <f>HYPERLINK("https://klasma.github.io/Logging_0486/artfynd/A 54715-2024 artfynd.xlsx", "A 54715-2024")</f>
        <v/>
      </c>
      <c r="T678">
        <f>HYPERLINK("https://klasma.github.io/Logging_0486/kartor/A 54715-2024 karta.png", "A 54715-2024")</f>
        <v/>
      </c>
      <c r="V678">
        <f>HYPERLINK("https://klasma.github.io/Logging_0486/klagomål/A 54715-2024 FSC-klagomål.docx", "A 54715-2024")</f>
        <v/>
      </c>
      <c r="W678">
        <f>HYPERLINK("https://klasma.github.io/Logging_0486/klagomålsmail/A 54715-2024 FSC-klagomål mail.docx", "A 54715-2024")</f>
        <v/>
      </c>
      <c r="X678">
        <f>HYPERLINK("https://klasma.github.io/Logging_0486/tillsyn/A 54715-2024 tillsynsbegäran.docx", "A 54715-2024")</f>
        <v/>
      </c>
      <c r="Y678">
        <f>HYPERLINK("https://klasma.github.io/Logging_0486/tillsynsmail/A 54715-2024 tillsynsbegäran mail.docx", "A 54715-2024")</f>
        <v/>
      </c>
    </row>
    <row r="679" ht="15" customHeight="1">
      <c r="A679" t="inlineStr">
        <is>
          <t>A 57251-2024</t>
        </is>
      </c>
      <c r="B679" s="1" t="n">
        <v>45629</v>
      </c>
      <c r="C679" s="1" t="n">
        <v>45843</v>
      </c>
      <c r="D679" t="inlineStr">
        <is>
          <t>SÖDERMANLANDS LÄN</t>
        </is>
      </c>
      <c r="E679" t="inlineStr">
        <is>
          <t>FLEN</t>
        </is>
      </c>
      <c r="G679" t="n">
        <v>4</v>
      </c>
      <c r="H679" t="n">
        <v>1</v>
      </c>
      <c r="I679" t="n">
        <v>0</v>
      </c>
      <c r="J679" t="n">
        <v>0</v>
      </c>
      <c r="K679" t="n">
        <v>0</v>
      </c>
      <c r="L679" t="n">
        <v>0</v>
      </c>
      <c r="M679" t="n">
        <v>0</v>
      </c>
      <c r="N679" t="n">
        <v>0</v>
      </c>
      <c r="O679" t="n">
        <v>0</v>
      </c>
      <c r="P679" t="n">
        <v>0</v>
      </c>
      <c r="Q679" t="n">
        <v>1</v>
      </c>
      <c r="R679" s="2" t="inlineStr">
        <is>
          <t>Blåsippa</t>
        </is>
      </c>
      <c r="S679">
        <f>HYPERLINK("https://klasma.github.io/Logging_0482/artfynd/A 57251-2024 artfynd.xlsx", "A 57251-2024")</f>
        <v/>
      </c>
      <c r="T679">
        <f>HYPERLINK("https://klasma.github.io/Logging_0482/kartor/A 57251-2024 karta.png", "A 57251-2024")</f>
        <v/>
      </c>
      <c r="V679">
        <f>HYPERLINK("https://klasma.github.io/Logging_0482/klagomål/A 57251-2024 FSC-klagomål.docx", "A 57251-2024")</f>
        <v/>
      </c>
      <c r="W679">
        <f>HYPERLINK("https://klasma.github.io/Logging_0482/klagomålsmail/A 57251-2024 FSC-klagomål mail.docx", "A 57251-2024")</f>
        <v/>
      </c>
      <c r="X679">
        <f>HYPERLINK("https://klasma.github.io/Logging_0482/tillsyn/A 57251-2024 tillsynsbegäran.docx", "A 57251-2024")</f>
        <v/>
      </c>
      <c r="Y679">
        <f>HYPERLINK("https://klasma.github.io/Logging_0482/tillsynsmail/A 57251-2024 tillsynsbegäran mail.docx", "A 57251-2024")</f>
        <v/>
      </c>
    </row>
    <row r="680" ht="15" customHeight="1">
      <c r="A680" t="inlineStr">
        <is>
          <t>A 59214-2024</t>
        </is>
      </c>
      <c r="B680" s="1" t="n">
        <v>45636</v>
      </c>
      <c r="C680" s="1" t="n">
        <v>45843</v>
      </c>
      <c r="D680" t="inlineStr">
        <is>
          <t>SÖDERMANLANDS LÄN</t>
        </is>
      </c>
      <c r="E680" t="inlineStr">
        <is>
          <t>NYKÖPING</t>
        </is>
      </c>
      <c r="G680" t="n">
        <v>5.1</v>
      </c>
      <c r="H680" t="n">
        <v>0</v>
      </c>
      <c r="I680" t="n">
        <v>1</v>
      </c>
      <c r="J680" t="n">
        <v>0</v>
      </c>
      <c r="K680" t="n">
        <v>0</v>
      </c>
      <c r="L680" t="n">
        <v>0</v>
      </c>
      <c r="M680" t="n">
        <v>0</v>
      </c>
      <c r="N680" t="n">
        <v>0</v>
      </c>
      <c r="O680" t="n">
        <v>0</v>
      </c>
      <c r="P680" t="n">
        <v>0</v>
      </c>
      <c r="Q680" t="n">
        <v>1</v>
      </c>
      <c r="R680" s="2" t="inlineStr">
        <is>
          <t>Blåmossa</t>
        </is>
      </c>
      <c r="S680">
        <f>HYPERLINK("https://klasma.github.io/Logging_0480/artfynd/A 59214-2024 artfynd.xlsx", "A 59214-2024")</f>
        <v/>
      </c>
      <c r="T680">
        <f>HYPERLINK("https://klasma.github.io/Logging_0480/kartor/A 59214-2024 karta.png", "A 59214-2024")</f>
        <v/>
      </c>
      <c r="V680">
        <f>HYPERLINK("https://klasma.github.io/Logging_0480/klagomål/A 59214-2024 FSC-klagomål.docx", "A 59214-2024")</f>
        <v/>
      </c>
      <c r="W680">
        <f>HYPERLINK("https://klasma.github.io/Logging_0480/klagomålsmail/A 59214-2024 FSC-klagomål mail.docx", "A 59214-2024")</f>
        <v/>
      </c>
      <c r="X680">
        <f>HYPERLINK("https://klasma.github.io/Logging_0480/tillsyn/A 59214-2024 tillsynsbegäran.docx", "A 59214-2024")</f>
        <v/>
      </c>
      <c r="Y680">
        <f>HYPERLINK("https://klasma.github.io/Logging_0480/tillsynsmail/A 59214-2024 tillsynsbegäran mail.docx", "A 59214-2024")</f>
        <v/>
      </c>
    </row>
    <row r="681" ht="15" customHeight="1">
      <c r="A681" t="inlineStr">
        <is>
          <t>A 60529-2024</t>
        </is>
      </c>
      <c r="B681" s="1" t="n">
        <v>45643</v>
      </c>
      <c r="C681" s="1" t="n">
        <v>45843</v>
      </c>
      <c r="D681" t="inlineStr">
        <is>
          <t>SÖDERMANLANDS LÄN</t>
        </is>
      </c>
      <c r="E681" t="inlineStr">
        <is>
          <t>FLEN</t>
        </is>
      </c>
      <c r="G681" t="n">
        <v>2.5</v>
      </c>
      <c r="H681" t="n">
        <v>0</v>
      </c>
      <c r="I681" t="n">
        <v>1</v>
      </c>
      <c r="J681" t="n">
        <v>0</v>
      </c>
      <c r="K681" t="n">
        <v>0</v>
      </c>
      <c r="L681" t="n">
        <v>0</v>
      </c>
      <c r="M681" t="n">
        <v>0</v>
      </c>
      <c r="N681" t="n">
        <v>0</v>
      </c>
      <c r="O681" t="n">
        <v>0</v>
      </c>
      <c r="P681" t="n">
        <v>0</v>
      </c>
      <c r="Q681" t="n">
        <v>1</v>
      </c>
      <c r="R681" s="2" t="inlineStr">
        <is>
          <t>Skarp dropptaggsvamp</t>
        </is>
      </c>
      <c r="S681">
        <f>HYPERLINK("https://klasma.github.io/Logging_0482/artfynd/A 60529-2024 artfynd.xlsx", "A 60529-2024")</f>
        <v/>
      </c>
      <c r="T681">
        <f>HYPERLINK("https://klasma.github.io/Logging_0482/kartor/A 60529-2024 karta.png", "A 60529-2024")</f>
        <v/>
      </c>
      <c r="V681">
        <f>HYPERLINK("https://klasma.github.io/Logging_0482/klagomål/A 60529-2024 FSC-klagomål.docx", "A 60529-2024")</f>
        <v/>
      </c>
      <c r="W681">
        <f>HYPERLINK("https://klasma.github.io/Logging_0482/klagomålsmail/A 60529-2024 FSC-klagomål mail.docx", "A 60529-2024")</f>
        <v/>
      </c>
      <c r="X681">
        <f>HYPERLINK("https://klasma.github.io/Logging_0482/tillsyn/A 60529-2024 tillsynsbegäran.docx", "A 60529-2024")</f>
        <v/>
      </c>
      <c r="Y681">
        <f>HYPERLINK("https://klasma.github.io/Logging_0482/tillsynsmail/A 60529-2024 tillsynsbegäran mail.docx", "A 60529-2024")</f>
        <v/>
      </c>
    </row>
    <row r="682" ht="15" customHeight="1">
      <c r="A682" t="inlineStr">
        <is>
          <t>A 61838-2024</t>
        </is>
      </c>
      <c r="B682" s="1" t="n">
        <v>45649</v>
      </c>
      <c r="C682" s="1" t="n">
        <v>45843</v>
      </c>
      <c r="D682" t="inlineStr">
        <is>
          <t>SÖDERMANLANDS LÄN</t>
        </is>
      </c>
      <c r="E682" t="inlineStr">
        <is>
          <t>STRÄNGNÄS</t>
        </is>
      </c>
      <c r="G682" t="n">
        <v>2.5</v>
      </c>
      <c r="H682" t="n">
        <v>0</v>
      </c>
      <c r="I682" t="n">
        <v>1</v>
      </c>
      <c r="J682" t="n">
        <v>0</v>
      </c>
      <c r="K682" t="n">
        <v>0</v>
      </c>
      <c r="L682" t="n">
        <v>0</v>
      </c>
      <c r="M682" t="n">
        <v>0</v>
      </c>
      <c r="N682" t="n">
        <v>0</v>
      </c>
      <c r="O682" t="n">
        <v>0</v>
      </c>
      <c r="P682" t="n">
        <v>0</v>
      </c>
      <c r="Q682" t="n">
        <v>1</v>
      </c>
      <c r="R682" s="2" t="inlineStr">
        <is>
          <t>Igelkottsröksvamp</t>
        </is>
      </c>
      <c r="S682">
        <f>HYPERLINK("https://klasma.github.io/Logging_0486/artfynd/A 61838-2024 artfynd.xlsx", "A 61838-2024")</f>
        <v/>
      </c>
      <c r="T682">
        <f>HYPERLINK("https://klasma.github.io/Logging_0486/kartor/A 61838-2024 karta.png", "A 61838-2024")</f>
        <v/>
      </c>
      <c r="V682">
        <f>HYPERLINK("https://klasma.github.io/Logging_0486/klagomål/A 61838-2024 FSC-klagomål.docx", "A 61838-2024")</f>
        <v/>
      </c>
      <c r="W682">
        <f>HYPERLINK("https://klasma.github.io/Logging_0486/klagomålsmail/A 61838-2024 FSC-klagomål mail.docx", "A 61838-2024")</f>
        <v/>
      </c>
      <c r="X682">
        <f>HYPERLINK("https://klasma.github.io/Logging_0486/tillsyn/A 61838-2024 tillsynsbegäran.docx", "A 61838-2024")</f>
        <v/>
      </c>
      <c r="Y682">
        <f>HYPERLINK("https://klasma.github.io/Logging_0486/tillsynsmail/A 61838-2024 tillsynsbegäran mail.docx", "A 61838-2024")</f>
        <v/>
      </c>
    </row>
    <row r="683" ht="15" customHeight="1">
      <c r="A683" t="inlineStr">
        <is>
          <t>A 1861-2025</t>
        </is>
      </c>
      <c r="B683" s="1" t="n">
        <v>45671</v>
      </c>
      <c r="C683" s="1" t="n">
        <v>45843</v>
      </c>
      <c r="D683" t="inlineStr">
        <is>
          <t>SÖDERMANLANDS LÄN</t>
        </is>
      </c>
      <c r="E683" t="inlineStr">
        <is>
          <t>FLEN</t>
        </is>
      </c>
      <c r="G683" t="n">
        <v>4.5</v>
      </c>
      <c r="H683" t="n">
        <v>0</v>
      </c>
      <c r="I683" t="n">
        <v>0</v>
      </c>
      <c r="J683" t="n">
        <v>0</v>
      </c>
      <c r="K683" t="n">
        <v>0</v>
      </c>
      <c r="L683" t="n">
        <v>0</v>
      </c>
      <c r="M683" t="n">
        <v>1</v>
      </c>
      <c r="N683" t="n">
        <v>0</v>
      </c>
      <c r="O683" t="n">
        <v>1</v>
      </c>
      <c r="P683" t="n">
        <v>1</v>
      </c>
      <c r="Q683" t="n">
        <v>1</v>
      </c>
      <c r="R683" s="2" t="inlineStr">
        <is>
          <t>Skogsalm</t>
        </is>
      </c>
      <c r="S683">
        <f>HYPERLINK("https://klasma.github.io/Logging_0482/artfynd/A 1861-2025 artfynd.xlsx", "A 1861-2025")</f>
        <v/>
      </c>
      <c r="T683">
        <f>HYPERLINK("https://klasma.github.io/Logging_0482/kartor/A 1861-2025 karta.png", "A 1861-2025")</f>
        <v/>
      </c>
      <c r="V683">
        <f>HYPERLINK("https://klasma.github.io/Logging_0482/klagomål/A 1861-2025 FSC-klagomål.docx", "A 1861-2025")</f>
        <v/>
      </c>
      <c r="W683">
        <f>HYPERLINK("https://klasma.github.io/Logging_0482/klagomålsmail/A 1861-2025 FSC-klagomål mail.docx", "A 1861-2025")</f>
        <v/>
      </c>
      <c r="X683">
        <f>HYPERLINK("https://klasma.github.io/Logging_0482/tillsyn/A 1861-2025 tillsynsbegäran.docx", "A 1861-2025")</f>
        <v/>
      </c>
      <c r="Y683">
        <f>HYPERLINK("https://klasma.github.io/Logging_0482/tillsynsmail/A 1861-2025 tillsynsbegäran mail.docx", "A 1861-2025")</f>
        <v/>
      </c>
    </row>
    <row r="684" ht="15" customHeight="1">
      <c r="A684" t="inlineStr">
        <is>
          <t>A 2515-2025</t>
        </is>
      </c>
      <c r="B684" s="1" t="n">
        <v>45674</v>
      </c>
      <c r="C684" s="1" t="n">
        <v>45843</v>
      </c>
      <c r="D684" t="inlineStr">
        <is>
          <t>SÖDERMANLANDS LÄN</t>
        </is>
      </c>
      <c r="E684" t="inlineStr">
        <is>
          <t>ESKILSTUNA</t>
        </is>
      </c>
      <c r="G684" t="n">
        <v>0.6</v>
      </c>
      <c r="H684" t="n">
        <v>1</v>
      </c>
      <c r="I684" t="n">
        <v>0</v>
      </c>
      <c r="J684" t="n">
        <v>1</v>
      </c>
      <c r="K684" t="n">
        <v>0</v>
      </c>
      <c r="L684" t="n">
        <v>0</v>
      </c>
      <c r="M684" t="n">
        <v>0</v>
      </c>
      <c r="N684" t="n">
        <v>0</v>
      </c>
      <c r="O684" t="n">
        <v>1</v>
      </c>
      <c r="P684" t="n">
        <v>0</v>
      </c>
      <c r="Q684" t="n">
        <v>1</v>
      </c>
      <c r="R684" s="2" t="inlineStr">
        <is>
          <t>Spillkråka</t>
        </is>
      </c>
      <c r="S684">
        <f>HYPERLINK("https://klasma.github.io/Logging_0484/artfynd/A 2515-2025 artfynd.xlsx", "A 2515-2025")</f>
        <v/>
      </c>
      <c r="T684">
        <f>HYPERLINK("https://klasma.github.io/Logging_0484/kartor/A 2515-2025 karta.png", "A 2515-2025")</f>
        <v/>
      </c>
      <c r="U684">
        <f>HYPERLINK("https://klasma.github.io/Logging_0484/knärot/A 2515-2025 karta knärot.png", "A 2515-2025")</f>
        <v/>
      </c>
      <c r="V684">
        <f>HYPERLINK("https://klasma.github.io/Logging_0484/klagomål/A 2515-2025 FSC-klagomål.docx", "A 2515-2025")</f>
        <v/>
      </c>
      <c r="W684">
        <f>HYPERLINK("https://klasma.github.io/Logging_0484/klagomålsmail/A 2515-2025 FSC-klagomål mail.docx", "A 2515-2025")</f>
        <v/>
      </c>
      <c r="X684">
        <f>HYPERLINK("https://klasma.github.io/Logging_0484/tillsyn/A 2515-2025 tillsynsbegäran.docx", "A 2515-2025")</f>
        <v/>
      </c>
      <c r="Y684">
        <f>HYPERLINK("https://klasma.github.io/Logging_0484/tillsynsmail/A 2515-2025 tillsynsbegäran mail.docx", "A 2515-2025")</f>
        <v/>
      </c>
      <c r="Z684">
        <f>HYPERLINK("https://klasma.github.io/Logging_0484/fåglar/A 2515-2025 prioriterade fågelarter.docx", "A 2515-2025")</f>
        <v/>
      </c>
    </row>
    <row r="685" ht="15" customHeight="1">
      <c r="A685" t="inlineStr">
        <is>
          <t>A 2837-2025</t>
        </is>
      </c>
      <c r="B685" s="1" t="n">
        <v>45677</v>
      </c>
      <c r="C685" s="1" t="n">
        <v>45843</v>
      </c>
      <c r="D685" t="inlineStr">
        <is>
          <t>SÖDERMANLANDS LÄN</t>
        </is>
      </c>
      <c r="E685" t="inlineStr">
        <is>
          <t>NYKÖPING</t>
        </is>
      </c>
      <c r="G685" t="n">
        <v>5.2</v>
      </c>
      <c r="H685" t="n">
        <v>0</v>
      </c>
      <c r="I685" t="n">
        <v>1</v>
      </c>
      <c r="J685" t="n">
        <v>0</v>
      </c>
      <c r="K685" t="n">
        <v>0</v>
      </c>
      <c r="L685" t="n">
        <v>0</v>
      </c>
      <c r="M685" t="n">
        <v>0</v>
      </c>
      <c r="N685" t="n">
        <v>0</v>
      </c>
      <c r="O685" t="n">
        <v>0</v>
      </c>
      <c r="P685" t="n">
        <v>0</v>
      </c>
      <c r="Q685" t="n">
        <v>1</v>
      </c>
      <c r="R685" s="2" t="inlineStr">
        <is>
          <t>Hasselticka</t>
        </is>
      </c>
      <c r="S685">
        <f>HYPERLINK("https://klasma.github.io/Logging_0480/artfynd/A 2837-2025 artfynd.xlsx", "A 2837-2025")</f>
        <v/>
      </c>
      <c r="T685">
        <f>HYPERLINK("https://klasma.github.io/Logging_0480/kartor/A 2837-2025 karta.png", "A 2837-2025")</f>
        <v/>
      </c>
      <c r="V685">
        <f>HYPERLINK("https://klasma.github.io/Logging_0480/klagomål/A 2837-2025 FSC-klagomål.docx", "A 2837-2025")</f>
        <v/>
      </c>
      <c r="W685">
        <f>HYPERLINK("https://klasma.github.io/Logging_0480/klagomålsmail/A 2837-2025 FSC-klagomål mail.docx", "A 2837-2025")</f>
        <v/>
      </c>
      <c r="X685">
        <f>HYPERLINK("https://klasma.github.io/Logging_0480/tillsyn/A 2837-2025 tillsynsbegäran.docx", "A 2837-2025")</f>
        <v/>
      </c>
      <c r="Y685">
        <f>HYPERLINK("https://klasma.github.io/Logging_0480/tillsynsmail/A 2837-2025 tillsynsbegäran mail.docx", "A 2837-2025")</f>
        <v/>
      </c>
    </row>
    <row r="686" ht="15" customHeight="1">
      <c r="A686" t="inlineStr">
        <is>
          <t>A 3700-2025</t>
        </is>
      </c>
      <c r="B686" s="1" t="n">
        <v>45681</v>
      </c>
      <c r="C686" s="1" t="n">
        <v>45843</v>
      </c>
      <c r="D686" t="inlineStr">
        <is>
          <t>SÖDERMANLANDS LÄN</t>
        </is>
      </c>
      <c r="E686" t="inlineStr">
        <is>
          <t>NYKÖPING</t>
        </is>
      </c>
      <c r="G686" t="n">
        <v>3.2</v>
      </c>
      <c r="H686" t="n">
        <v>1</v>
      </c>
      <c r="I686" t="n">
        <v>0</v>
      </c>
      <c r="J686" t="n">
        <v>1</v>
      </c>
      <c r="K686" t="n">
        <v>0</v>
      </c>
      <c r="L686" t="n">
        <v>0</v>
      </c>
      <c r="M686" t="n">
        <v>0</v>
      </c>
      <c r="N686" t="n">
        <v>0</v>
      </c>
      <c r="O686" t="n">
        <v>1</v>
      </c>
      <c r="P686" t="n">
        <v>0</v>
      </c>
      <c r="Q686" t="n">
        <v>1</v>
      </c>
      <c r="R686" s="2" t="inlineStr">
        <is>
          <t>Havsörn</t>
        </is>
      </c>
      <c r="S686">
        <f>HYPERLINK("https://klasma.github.io/Logging_0480/artfynd/A 3700-2025 artfynd.xlsx", "A 3700-2025")</f>
        <v/>
      </c>
      <c r="T686">
        <f>HYPERLINK("https://klasma.github.io/Logging_0480/kartor/A 3700-2025 karta.png", "A 3700-2025")</f>
        <v/>
      </c>
      <c r="V686">
        <f>HYPERLINK("https://klasma.github.io/Logging_0480/klagomål/A 3700-2025 FSC-klagomål.docx", "A 3700-2025")</f>
        <v/>
      </c>
      <c r="W686">
        <f>HYPERLINK("https://klasma.github.io/Logging_0480/klagomålsmail/A 3700-2025 FSC-klagomål mail.docx", "A 3700-2025")</f>
        <v/>
      </c>
      <c r="X686">
        <f>HYPERLINK("https://klasma.github.io/Logging_0480/tillsyn/A 3700-2025 tillsynsbegäran.docx", "A 3700-2025")</f>
        <v/>
      </c>
      <c r="Y686">
        <f>HYPERLINK("https://klasma.github.io/Logging_0480/tillsynsmail/A 3700-2025 tillsynsbegäran mail.docx", "A 3700-2025")</f>
        <v/>
      </c>
      <c r="Z686">
        <f>HYPERLINK("https://klasma.github.io/Logging_0480/fåglar/A 3700-2025 prioriterade fågelarter.docx", "A 3700-2025")</f>
        <v/>
      </c>
    </row>
    <row r="687" ht="15" customHeight="1">
      <c r="A687" t="inlineStr">
        <is>
          <t>A 4047-2025</t>
        </is>
      </c>
      <c r="B687" s="1" t="n">
        <v>45684</v>
      </c>
      <c r="C687" s="1" t="n">
        <v>45843</v>
      </c>
      <c r="D687" t="inlineStr">
        <is>
          <t>SÖDERMANLANDS LÄN</t>
        </is>
      </c>
      <c r="E687" t="inlineStr">
        <is>
          <t>STRÄNGNÄS</t>
        </is>
      </c>
      <c r="G687" t="n">
        <v>8.5</v>
      </c>
      <c r="H687" t="n">
        <v>0</v>
      </c>
      <c r="I687" t="n">
        <v>1</v>
      </c>
      <c r="J687" t="n">
        <v>0</v>
      </c>
      <c r="K687" t="n">
        <v>0</v>
      </c>
      <c r="L687" t="n">
        <v>0</v>
      </c>
      <c r="M687" t="n">
        <v>0</v>
      </c>
      <c r="N687" t="n">
        <v>0</v>
      </c>
      <c r="O687" t="n">
        <v>0</v>
      </c>
      <c r="P687" t="n">
        <v>0</v>
      </c>
      <c r="Q687" t="n">
        <v>1</v>
      </c>
      <c r="R687" s="2" t="inlineStr">
        <is>
          <t>Grönpyrola</t>
        </is>
      </c>
      <c r="S687">
        <f>HYPERLINK("https://klasma.github.io/Logging_0486/artfynd/A 4047-2025 artfynd.xlsx", "A 4047-2025")</f>
        <v/>
      </c>
      <c r="T687">
        <f>HYPERLINK("https://klasma.github.io/Logging_0486/kartor/A 4047-2025 karta.png", "A 4047-2025")</f>
        <v/>
      </c>
      <c r="V687">
        <f>HYPERLINK("https://klasma.github.io/Logging_0486/klagomål/A 4047-2025 FSC-klagomål.docx", "A 4047-2025")</f>
        <v/>
      </c>
      <c r="W687">
        <f>HYPERLINK("https://klasma.github.io/Logging_0486/klagomålsmail/A 4047-2025 FSC-klagomål mail.docx", "A 4047-2025")</f>
        <v/>
      </c>
      <c r="X687">
        <f>HYPERLINK("https://klasma.github.io/Logging_0486/tillsyn/A 4047-2025 tillsynsbegäran.docx", "A 4047-2025")</f>
        <v/>
      </c>
      <c r="Y687">
        <f>HYPERLINK("https://klasma.github.io/Logging_0486/tillsynsmail/A 4047-2025 tillsynsbegäran mail.docx", "A 4047-2025")</f>
        <v/>
      </c>
    </row>
    <row r="688" ht="15" customHeight="1">
      <c r="A688" t="inlineStr">
        <is>
          <t>A 4149-2025</t>
        </is>
      </c>
      <c r="B688" s="1" t="n">
        <v>45685</v>
      </c>
      <c r="C688" s="1" t="n">
        <v>45843</v>
      </c>
      <c r="D688" t="inlineStr">
        <is>
          <t>SÖDERMANLANDS LÄN</t>
        </is>
      </c>
      <c r="E688" t="inlineStr">
        <is>
          <t>ESKILSTUNA</t>
        </is>
      </c>
      <c r="F688" t="inlineStr">
        <is>
          <t>Holmen skog AB</t>
        </is>
      </c>
      <c r="G688" t="n">
        <v>8.800000000000001</v>
      </c>
      <c r="H688" t="n">
        <v>0</v>
      </c>
      <c r="I688" t="n">
        <v>1</v>
      </c>
      <c r="J688" t="n">
        <v>0</v>
      </c>
      <c r="K688" t="n">
        <v>0</v>
      </c>
      <c r="L688" t="n">
        <v>0</v>
      </c>
      <c r="M688" t="n">
        <v>0</v>
      </c>
      <c r="N688" t="n">
        <v>0</v>
      </c>
      <c r="O688" t="n">
        <v>0</v>
      </c>
      <c r="P688" t="n">
        <v>0</v>
      </c>
      <c r="Q688" t="n">
        <v>1</v>
      </c>
      <c r="R688" s="2" t="inlineStr">
        <is>
          <t>Springkorn</t>
        </is>
      </c>
      <c r="S688">
        <f>HYPERLINK("https://klasma.github.io/Logging_0484/artfynd/A 4149-2025 artfynd.xlsx", "A 4149-2025")</f>
        <v/>
      </c>
      <c r="T688">
        <f>HYPERLINK("https://klasma.github.io/Logging_0484/kartor/A 4149-2025 karta.png", "A 4149-2025")</f>
        <v/>
      </c>
      <c r="V688">
        <f>HYPERLINK("https://klasma.github.io/Logging_0484/klagomål/A 4149-2025 FSC-klagomål.docx", "A 4149-2025")</f>
        <v/>
      </c>
      <c r="W688">
        <f>HYPERLINK("https://klasma.github.io/Logging_0484/klagomålsmail/A 4149-2025 FSC-klagomål mail.docx", "A 4149-2025")</f>
        <v/>
      </c>
      <c r="X688">
        <f>HYPERLINK("https://klasma.github.io/Logging_0484/tillsyn/A 4149-2025 tillsynsbegäran.docx", "A 4149-2025")</f>
        <v/>
      </c>
      <c r="Y688">
        <f>HYPERLINK("https://klasma.github.io/Logging_0484/tillsynsmail/A 4149-2025 tillsynsbegäran mail.docx", "A 4149-2025")</f>
        <v/>
      </c>
    </row>
    <row r="689" ht="15" customHeight="1">
      <c r="A689" t="inlineStr">
        <is>
          <t>A 4889-2025</t>
        </is>
      </c>
      <c r="B689" s="1" t="n">
        <v>45688</v>
      </c>
      <c r="C689" s="1" t="n">
        <v>45843</v>
      </c>
      <c r="D689" t="inlineStr">
        <is>
          <t>SÖDERMANLANDS LÄN</t>
        </is>
      </c>
      <c r="E689" t="inlineStr">
        <is>
          <t>ESKILSTUNA</t>
        </is>
      </c>
      <c r="G689" t="n">
        <v>1</v>
      </c>
      <c r="H689" t="n">
        <v>0</v>
      </c>
      <c r="I689" t="n">
        <v>0</v>
      </c>
      <c r="J689" t="n">
        <v>1</v>
      </c>
      <c r="K689" t="n">
        <v>0</v>
      </c>
      <c r="L689" t="n">
        <v>0</v>
      </c>
      <c r="M689" t="n">
        <v>0</v>
      </c>
      <c r="N689" t="n">
        <v>0</v>
      </c>
      <c r="O689" t="n">
        <v>1</v>
      </c>
      <c r="P689" t="n">
        <v>0</v>
      </c>
      <c r="Q689" t="n">
        <v>1</v>
      </c>
      <c r="R689" s="2" t="inlineStr">
        <is>
          <t>Solvända</t>
        </is>
      </c>
      <c r="S689">
        <f>HYPERLINK("https://klasma.github.io/Logging_0484/artfynd/A 4889-2025 artfynd.xlsx", "A 4889-2025")</f>
        <v/>
      </c>
      <c r="T689">
        <f>HYPERLINK("https://klasma.github.io/Logging_0484/kartor/A 4889-2025 karta.png", "A 4889-2025")</f>
        <v/>
      </c>
      <c r="V689">
        <f>HYPERLINK("https://klasma.github.io/Logging_0484/klagomål/A 4889-2025 FSC-klagomål.docx", "A 4889-2025")</f>
        <v/>
      </c>
      <c r="W689">
        <f>HYPERLINK("https://klasma.github.io/Logging_0484/klagomålsmail/A 4889-2025 FSC-klagomål mail.docx", "A 4889-2025")</f>
        <v/>
      </c>
      <c r="X689">
        <f>HYPERLINK("https://klasma.github.io/Logging_0484/tillsyn/A 4889-2025 tillsynsbegäran.docx", "A 4889-2025")</f>
        <v/>
      </c>
      <c r="Y689">
        <f>HYPERLINK("https://klasma.github.io/Logging_0484/tillsynsmail/A 4889-2025 tillsynsbegäran mail.docx", "A 4889-2025")</f>
        <v/>
      </c>
    </row>
    <row r="690" ht="15" customHeight="1">
      <c r="A690" t="inlineStr">
        <is>
          <t>A 5203-2025</t>
        </is>
      </c>
      <c r="B690" s="1" t="n">
        <v>45691</v>
      </c>
      <c r="C690" s="1" t="n">
        <v>45843</v>
      </c>
      <c r="D690" t="inlineStr">
        <is>
          <t>SÖDERMANLANDS LÄN</t>
        </is>
      </c>
      <c r="E690" t="inlineStr">
        <is>
          <t>ESKILSTUNA</t>
        </is>
      </c>
      <c r="F690" t="inlineStr">
        <is>
          <t>Holmen skog AB</t>
        </is>
      </c>
      <c r="G690" t="n">
        <v>2.5</v>
      </c>
      <c r="H690" t="n">
        <v>1</v>
      </c>
      <c r="I690" t="n">
        <v>0</v>
      </c>
      <c r="J690" t="n">
        <v>0</v>
      </c>
      <c r="K690" t="n">
        <v>0</v>
      </c>
      <c r="L690" t="n">
        <v>0</v>
      </c>
      <c r="M690" t="n">
        <v>0</v>
      </c>
      <c r="N690" t="n">
        <v>0</v>
      </c>
      <c r="O690" t="n">
        <v>0</v>
      </c>
      <c r="P690" t="n">
        <v>0</v>
      </c>
      <c r="Q690" t="n">
        <v>1</v>
      </c>
      <c r="R690" s="2" t="inlineStr">
        <is>
          <t>Nattskärra</t>
        </is>
      </c>
      <c r="S690">
        <f>HYPERLINK("https://klasma.github.io/Logging_0484/artfynd/A 5203-2025 artfynd.xlsx", "A 5203-2025")</f>
        <v/>
      </c>
      <c r="T690">
        <f>HYPERLINK("https://klasma.github.io/Logging_0484/kartor/A 5203-2025 karta.png", "A 5203-2025")</f>
        <v/>
      </c>
      <c r="V690">
        <f>HYPERLINK("https://klasma.github.io/Logging_0484/klagomål/A 5203-2025 FSC-klagomål.docx", "A 5203-2025")</f>
        <v/>
      </c>
      <c r="W690">
        <f>HYPERLINK("https://klasma.github.io/Logging_0484/klagomålsmail/A 5203-2025 FSC-klagomål mail.docx", "A 5203-2025")</f>
        <v/>
      </c>
      <c r="X690">
        <f>HYPERLINK("https://klasma.github.io/Logging_0484/tillsyn/A 5203-2025 tillsynsbegäran.docx", "A 5203-2025")</f>
        <v/>
      </c>
      <c r="Y690">
        <f>HYPERLINK("https://klasma.github.io/Logging_0484/tillsynsmail/A 5203-2025 tillsynsbegäran mail.docx", "A 5203-2025")</f>
        <v/>
      </c>
      <c r="Z690">
        <f>HYPERLINK("https://klasma.github.io/Logging_0484/fåglar/A 5203-2025 prioriterade fågelarter.docx", "A 5203-2025")</f>
        <v/>
      </c>
    </row>
    <row r="691" ht="15" customHeight="1">
      <c r="A691" t="inlineStr">
        <is>
          <t>A 7274-2025</t>
        </is>
      </c>
      <c r="B691" s="1" t="n">
        <v>45702</v>
      </c>
      <c r="C691" s="1" t="n">
        <v>45843</v>
      </c>
      <c r="D691" t="inlineStr">
        <is>
          <t>SÖDERMANLANDS LÄN</t>
        </is>
      </c>
      <c r="E691" t="inlineStr">
        <is>
          <t>NYKÖPING</t>
        </is>
      </c>
      <c r="F691" t="inlineStr">
        <is>
          <t>Övriga Aktiebolag</t>
        </is>
      </c>
      <c r="G691" t="n">
        <v>6</v>
      </c>
      <c r="H691" t="n">
        <v>1</v>
      </c>
      <c r="I691" t="n">
        <v>0</v>
      </c>
      <c r="J691" t="n">
        <v>1</v>
      </c>
      <c r="K691" t="n">
        <v>0</v>
      </c>
      <c r="L691" t="n">
        <v>0</v>
      </c>
      <c r="M691" t="n">
        <v>0</v>
      </c>
      <c r="N691" t="n">
        <v>0</v>
      </c>
      <c r="O691" t="n">
        <v>1</v>
      </c>
      <c r="P691" t="n">
        <v>0</v>
      </c>
      <c r="Q691" t="n">
        <v>1</v>
      </c>
      <c r="R691" s="2" t="inlineStr">
        <is>
          <t>Järpe</t>
        </is>
      </c>
      <c r="S691">
        <f>HYPERLINK("https://klasma.github.io/Logging_0480/artfynd/A 7274-2025 artfynd.xlsx", "A 7274-2025")</f>
        <v/>
      </c>
      <c r="T691">
        <f>HYPERLINK("https://klasma.github.io/Logging_0480/kartor/A 7274-2025 karta.png", "A 7274-2025")</f>
        <v/>
      </c>
      <c r="V691">
        <f>HYPERLINK("https://klasma.github.io/Logging_0480/klagomål/A 7274-2025 FSC-klagomål.docx", "A 7274-2025")</f>
        <v/>
      </c>
      <c r="W691">
        <f>HYPERLINK("https://klasma.github.io/Logging_0480/klagomålsmail/A 7274-2025 FSC-klagomål mail.docx", "A 7274-2025")</f>
        <v/>
      </c>
      <c r="X691">
        <f>HYPERLINK("https://klasma.github.io/Logging_0480/tillsyn/A 7274-2025 tillsynsbegäran.docx", "A 7274-2025")</f>
        <v/>
      </c>
      <c r="Y691">
        <f>HYPERLINK("https://klasma.github.io/Logging_0480/tillsynsmail/A 7274-2025 tillsynsbegäran mail.docx", "A 7274-2025")</f>
        <v/>
      </c>
      <c r="Z691">
        <f>HYPERLINK("https://klasma.github.io/Logging_0480/fåglar/A 7274-2025 prioriterade fågelarter.docx", "A 7274-2025")</f>
        <v/>
      </c>
    </row>
    <row r="692" ht="15" customHeight="1">
      <c r="A692" t="inlineStr">
        <is>
          <t>A 9066-2025</t>
        </is>
      </c>
      <c r="B692" s="1" t="n">
        <v>45713</v>
      </c>
      <c r="C692" s="1" t="n">
        <v>45843</v>
      </c>
      <c r="D692" t="inlineStr">
        <is>
          <t>SÖDERMANLANDS LÄN</t>
        </is>
      </c>
      <c r="E692" t="inlineStr">
        <is>
          <t>FLEN</t>
        </is>
      </c>
      <c r="G692" t="n">
        <v>4.5</v>
      </c>
      <c r="H692" t="n">
        <v>0</v>
      </c>
      <c r="I692" t="n">
        <v>0</v>
      </c>
      <c r="J692" t="n">
        <v>1</v>
      </c>
      <c r="K692" t="n">
        <v>0</v>
      </c>
      <c r="L692" t="n">
        <v>0</v>
      </c>
      <c r="M692" t="n">
        <v>0</v>
      </c>
      <c r="N692" t="n">
        <v>0</v>
      </c>
      <c r="O692" t="n">
        <v>1</v>
      </c>
      <c r="P692" t="n">
        <v>0</v>
      </c>
      <c r="Q692" t="n">
        <v>1</v>
      </c>
      <c r="R692" s="2" t="inlineStr">
        <is>
          <t>Gullklöver</t>
        </is>
      </c>
      <c r="S692">
        <f>HYPERLINK("https://klasma.github.io/Logging_0482/artfynd/A 9066-2025 artfynd.xlsx", "A 9066-2025")</f>
        <v/>
      </c>
      <c r="T692">
        <f>HYPERLINK("https://klasma.github.io/Logging_0482/kartor/A 9066-2025 karta.png", "A 9066-2025")</f>
        <v/>
      </c>
      <c r="V692">
        <f>HYPERLINK("https://klasma.github.io/Logging_0482/klagomål/A 9066-2025 FSC-klagomål.docx", "A 9066-2025")</f>
        <v/>
      </c>
      <c r="W692">
        <f>HYPERLINK("https://klasma.github.io/Logging_0482/klagomålsmail/A 9066-2025 FSC-klagomål mail.docx", "A 9066-2025")</f>
        <v/>
      </c>
      <c r="X692">
        <f>HYPERLINK("https://klasma.github.io/Logging_0482/tillsyn/A 9066-2025 tillsynsbegäran.docx", "A 9066-2025")</f>
        <v/>
      </c>
      <c r="Y692">
        <f>HYPERLINK("https://klasma.github.io/Logging_0482/tillsynsmail/A 9066-2025 tillsynsbegäran mail.docx", "A 9066-2025")</f>
        <v/>
      </c>
    </row>
    <row r="693" ht="15" customHeight="1">
      <c r="A693" t="inlineStr">
        <is>
          <t>A 10828-2025</t>
        </is>
      </c>
      <c r="B693" s="1" t="n">
        <v>45722</v>
      </c>
      <c r="C693" s="1" t="n">
        <v>45843</v>
      </c>
      <c r="D693" t="inlineStr">
        <is>
          <t>SÖDERMANLANDS LÄN</t>
        </is>
      </c>
      <c r="E693" t="inlineStr">
        <is>
          <t>FLEN</t>
        </is>
      </c>
      <c r="F693" t="inlineStr">
        <is>
          <t>Holmen skog AB</t>
        </is>
      </c>
      <c r="G693" t="n">
        <v>3.7</v>
      </c>
      <c r="H693" t="n">
        <v>0</v>
      </c>
      <c r="I693" t="n">
        <v>0</v>
      </c>
      <c r="J693" t="n">
        <v>1</v>
      </c>
      <c r="K693" t="n">
        <v>0</v>
      </c>
      <c r="L693" t="n">
        <v>0</v>
      </c>
      <c r="M693" t="n">
        <v>0</v>
      </c>
      <c r="N693" t="n">
        <v>0</v>
      </c>
      <c r="O693" t="n">
        <v>1</v>
      </c>
      <c r="P693" t="n">
        <v>0</v>
      </c>
      <c r="Q693" t="n">
        <v>1</v>
      </c>
      <c r="R693" s="2" t="inlineStr">
        <is>
          <t>Tallticka</t>
        </is>
      </c>
      <c r="S693">
        <f>HYPERLINK("https://klasma.github.io/Logging_040482/artfynd/A 10828-2025 artfynd.xlsx", "A 10828-2025")</f>
        <v/>
      </c>
      <c r="T693">
        <f>HYPERLINK("https://klasma.github.io/Logging_040482/kartor/A 10828-2025 karta.png", "A 10828-2025")</f>
        <v/>
      </c>
      <c r="V693">
        <f>HYPERLINK("https://klasma.github.io/Logging_040482/klagomål/A 10828-2025 FSC-klagomål.docx", "A 10828-2025")</f>
        <v/>
      </c>
      <c r="W693">
        <f>HYPERLINK("https://klasma.github.io/Logging_040482/klagomålsmail/A 10828-2025 FSC-klagomål mail.docx", "A 10828-2025")</f>
        <v/>
      </c>
      <c r="X693">
        <f>HYPERLINK("https://klasma.github.io/Logging_040482/tillsyn/A 10828-2025 tillsynsbegäran.docx", "A 10828-2025")</f>
        <v/>
      </c>
      <c r="Y693">
        <f>HYPERLINK("https://klasma.github.io/Logging_040482/tillsynsmail/A 10828-2025 tillsynsbegäran mail.docx", "A 10828-2025")</f>
        <v/>
      </c>
    </row>
    <row r="694" ht="15" customHeight="1">
      <c r="A694" t="inlineStr">
        <is>
          <t>A 14101-2025</t>
        </is>
      </c>
      <c r="B694" s="1" t="n">
        <v>45740</v>
      </c>
      <c r="C694" s="1" t="n">
        <v>45843</v>
      </c>
      <c r="D694" t="inlineStr">
        <is>
          <t>SÖDERMANLANDS LÄN</t>
        </is>
      </c>
      <c r="E694" t="inlineStr">
        <is>
          <t>FLEN</t>
        </is>
      </c>
      <c r="F694" t="inlineStr">
        <is>
          <t>Övriga statliga verk och myndigheter</t>
        </is>
      </c>
      <c r="G694" t="n">
        <v>1.3</v>
      </c>
      <c r="H694" t="n">
        <v>0</v>
      </c>
      <c r="I694" t="n">
        <v>0</v>
      </c>
      <c r="J694" t="n">
        <v>1</v>
      </c>
      <c r="K694" t="n">
        <v>0</v>
      </c>
      <c r="L694" t="n">
        <v>0</v>
      </c>
      <c r="M694" t="n">
        <v>0</v>
      </c>
      <c r="N694" t="n">
        <v>0</v>
      </c>
      <c r="O694" t="n">
        <v>1</v>
      </c>
      <c r="P694" t="n">
        <v>0</v>
      </c>
      <c r="Q694" t="n">
        <v>1</v>
      </c>
      <c r="R694" s="2" t="inlineStr">
        <is>
          <t>Motaggsvamp</t>
        </is>
      </c>
      <c r="S694">
        <f>HYPERLINK("https://klasma.github.io/Logging_040482/artfynd/A 14101-2025 artfynd.xlsx", "A 14101-2025")</f>
        <v/>
      </c>
      <c r="T694">
        <f>HYPERLINK("https://klasma.github.io/Logging_040482/kartor/A 14101-2025 karta.png", "A 14101-2025")</f>
        <v/>
      </c>
      <c r="V694">
        <f>HYPERLINK("https://klasma.github.io/Logging_040482/klagomål/A 14101-2025 FSC-klagomål.docx", "A 14101-2025")</f>
        <v/>
      </c>
      <c r="W694">
        <f>HYPERLINK("https://klasma.github.io/Logging_040482/klagomålsmail/A 14101-2025 FSC-klagomål mail.docx", "A 14101-2025")</f>
        <v/>
      </c>
      <c r="X694">
        <f>HYPERLINK("https://klasma.github.io/Logging_040482/tillsyn/A 14101-2025 tillsynsbegäran.docx", "A 14101-2025")</f>
        <v/>
      </c>
      <c r="Y694">
        <f>HYPERLINK("https://klasma.github.io/Logging_040482/tillsynsmail/A 14101-2025 tillsynsbegäran mail.docx", "A 14101-2025")</f>
        <v/>
      </c>
    </row>
    <row r="695" ht="15" customHeight="1">
      <c r="A695" t="inlineStr">
        <is>
          <t>A 14273-2025</t>
        </is>
      </c>
      <c r="B695" s="1" t="n">
        <v>45740</v>
      </c>
      <c r="C695" s="1" t="n">
        <v>45843</v>
      </c>
      <c r="D695" t="inlineStr">
        <is>
          <t>SÖDERMANLANDS LÄN</t>
        </is>
      </c>
      <c r="E695" t="inlineStr">
        <is>
          <t>FLEN</t>
        </is>
      </c>
      <c r="F695" t="inlineStr">
        <is>
          <t>Holmen skog AB</t>
        </is>
      </c>
      <c r="G695" t="n">
        <v>3.1</v>
      </c>
      <c r="H695" t="n">
        <v>0</v>
      </c>
      <c r="I695" t="n">
        <v>0</v>
      </c>
      <c r="J695" t="n">
        <v>1</v>
      </c>
      <c r="K695" t="n">
        <v>0</v>
      </c>
      <c r="L695" t="n">
        <v>0</v>
      </c>
      <c r="M695" t="n">
        <v>0</v>
      </c>
      <c r="N695" t="n">
        <v>0</v>
      </c>
      <c r="O695" t="n">
        <v>1</v>
      </c>
      <c r="P695" t="n">
        <v>0</v>
      </c>
      <c r="Q695" t="n">
        <v>1</v>
      </c>
      <c r="R695" s="2" t="inlineStr">
        <is>
          <t>Vedskivlav</t>
        </is>
      </c>
      <c r="S695">
        <f>HYPERLINK("https://klasma.github.io/Logging_040482/artfynd/A 14273-2025 artfynd.xlsx", "A 14273-2025")</f>
        <v/>
      </c>
      <c r="T695">
        <f>HYPERLINK("https://klasma.github.io/Logging_040482/kartor/A 14273-2025 karta.png", "A 14273-2025")</f>
        <v/>
      </c>
      <c r="V695">
        <f>HYPERLINK("https://klasma.github.io/Logging_040482/klagomål/A 14273-2025 FSC-klagomål.docx", "A 14273-2025")</f>
        <v/>
      </c>
      <c r="W695">
        <f>HYPERLINK("https://klasma.github.io/Logging_040482/klagomålsmail/A 14273-2025 FSC-klagomål mail.docx", "A 14273-2025")</f>
        <v/>
      </c>
      <c r="X695">
        <f>HYPERLINK("https://klasma.github.io/Logging_040482/tillsyn/A 14273-2025 tillsynsbegäran.docx", "A 14273-2025")</f>
        <v/>
      </c>
      <c r="Y695">
        <f>HYPERLINK("https://klasma.github.io/Logging_040482/tillsynsmail/A 14273-2025 tillsynsbegäran mail.docx", "A 14273-2025")</f>
        <v/>
      </c>
    </row>
    <row r="696" ht="15" customHeight="1">
      <c r="A696" t="inlineStr">
        <is>
          <t>A 14113-2025</t>
        </is>
      </c>
      <c r="B696" s="1" t="n">
        <v>45740</v>
      </c>
      <c r="C696" s="1" t="n">
        <v>45843</v>
      </c>
      <c r="D696" t="inlineStr">
        <is>
          <t>SÖDERMANLANDS LÄN</t>
        </is>
      </c>
      <c r="E696" t="inlineStr">
        <is>
          <t>FLEN</t>
        </is>
      </c>
      <c r="F696" t="inlineStr">
        <is>
          <t>Övriga statliga verk och myndigheter</t>
        </is>
      </c>
      <c r="G696" t="n">
        <v>3.6</v>
      </c>
      <c r="H696" t="n">
        <v>1</v>
      </c>
      <c r="I696" t="n">
        <v>0</v>
      </c>
      <c r="J696" t="n">
        <v>0</v>
      </c>
      <c r="K696" t="n">
        <v>0</v>
      </c>
      <c r="L696" t="n">
        <v>0</v>
      </c>
      <c r="M696" t="n">
        <v>0</v>
      </c>
      <c r="N696" t="n">
        <v>0</v>
      </c>
      <c r="O696" t="n">
        <v>0</v>
      </c>
      <c r="P696" t="n">
        <v>0</v>
      </c>
      <c r="Q696" t="n">
        <v>1</v>
      </c>
      <c r="R696" s="2" t="inlineStr">
        <is>
          <t>Blåsippa</t>
        </is>
      </c>
      <c r="S696">
        <f>HYPERLINK("https://klasma.github.io/Logging_040482/artfynd/A 14113-2025 artfynd.xlsx", "A 14113-2025")</f>
        <v/>
      </c>
      <c r="T696">
        <f>HYPERLINK("https://klasma.github.io/Logging_040482/kartor/A 14113-2025 karta.png", "A 14113-2025")</f>
        <v/>
      </c>
      <c r="V696">
        <f>HYPERLINK("https://klasma.github.io/Logging_040482/klagomål/A 14113-2025 FSC-klagomål.docx", "A 14113-2025")</f>
        <v/>
      </c>
      <c r="W696">
        <f>HYPERLINK("https://klasma.github.io/Logging_040482/klagomålsmail/A 14113-2025 FSC-klagomål mail.docx", "A 14113-2025")</f>
        <v/>
      </c>
      <c r="X696">
        <f>HYPERLINK("https://klasma.github.io/Logging_040482/tillsyn/A 14113-2025 tillsynsbegäran.docx", "A 14113-2025")</f>
        <v/>
      </c>
      <c r="Y696">
        <f>HYPERLINK("https://klasma.github.io/Logging_040482/tillsynsmail/A 14113-2025 tillsynsbegäran mail.docx", "A 14113-2025")</f>
        <v/>
      </c>
    </row>
    <row r="697" ht="15" customHeight="1">
      <c r="A697" t="inlineStr">
        <is>
          <t>A 15011-2025</t>
        </is>
      </c>
      <c r="B697" s="1" t="n">
        <v>45743</v>
      </c>
      <c r="C697" s="1" t="n">
        <v>45843</v>
      </c>
      <c r="D697" t="inlineStr">
        <is>
          <t>SÖDERMANLANDS LÄN</t>
        </is>
      </c>
      <c r="E697" t="inlineStr">
        <is>
          <t>FLEN</t>
        </is>
      </c>
      <c r="G697" t="n">
        <v>3</v>
      </c>
      <c r="H697" t="n">
        <v>0</v>
      </c>
      <c r="I697" t="n">
        <v>1</v>
      </c>
      <c r="J697" t="n">
        <v>0</v>
      </c>
      <c r="K697" t="n">
        <v>0</v>
      </c>
      <c r="L697" t="n">
        <v>0</v>
      </c>
      <c r="M697" t="n">
        <v>0</v>
      </c>
      <c r="N697" t="n">
        <v>0</v>
      </c>
      <c r="O697" t="n">
        <v>0</v>
      </c>
      <c r="P697" t="n">
        <v>0</v>
      </c>
      <c r="Q697" t="n">
        <v>1</v>
      </c>
      <c r="R697" s="2" t="inlineStr">
        <is>
          <t>Grönpyrola</t>
        </is>
      </c>
      <c r="S697">
        <f>HYPERLINK("https://klasma.github.io/Logging_040482/artfynd/A 15011-2025 artfynd.xlsx", "A 15011-2025")</f>
        <v/>
      </c>
      <c r="T697">
        <f>HYPERLINK("https://klasma.github.io/Logging_040482/kartor/A 15011-2025 karta.png", "A 15011-2025")</f>
        <v/>
      </c>
      <c r="V697">
        <f>HYPERLINK("https://klasma.github.io/Logging_040482/klagomål/A 15011-2025 FSC-klagomål.docx", "A 15011-2025")</f>
        <v/>
      </c>
      <c r="W697">
        <f>HYPERLINK("https://klasma.github.io/Logging_040482/klagomålsmail/A 15011-2025 FSC-klagomål mail.docx", "A 15011-2025")</f>
        <v/>
      </c>
      <c r="X697">
        <f>HYPERLINK("https://klasma.github.io/Logging_040482/tillsyn/A 15011-2025 tillsynsbegäran.docx", "A 15011-2025")</f>
        <v/>
      </c>
      <c r="Y697">
        <f>HYPERLINK("https://klasma.github.io/Logging_040482/tillsynsmail/A 15011-2025 tillsynsbegäran mail.docx", "A 15011-2025")</f>
        <v/>
      </c>
    </row>
    <row r="698" ht="15" customHeight="1">
      <c r="A698" t="inlineStr">
        <is>
          <t>A 16831-2025</t>
        </is>
      </c>
      <c r="B698" s="1" t="n">
        <v>45754</v>
      </c>
      <c r="C698" s="1" t="n">
        <v>45843</v>
      </c>
      <c r="D698" t="inlineStr">
        <is>
          <t>SÖDERMANLANDS LÄN</t>
        </is>
      </c>
      <c r="E698" t="inlineStr">
        <is>
          <t>FLEN</t>
        </is>
      </c>
      <c r="F698" t="inlineStr">
        <is>
          <t>Holmen skog AB</t>
        </is>
      </c>
      <c r="G698" t="n">
        <v>6.6</v>
      </c>
      <c r="H698" t="n">
        <v>0</v>
      </c>
      <c r="I698" t="n">
        <v>1</v>
      </c>
      <c r="J698" t="n">
        <v>0</v>
      </c>
      <c r="K698" t="n">
        <v>0</v>
      </c>
      <c r="L698" t="n">
        <v>0</v>
      </c>
      <c r="M698" t="n">
        <v>0</v>
      </c>
      <c r="N698" t="n">
        <v>0</v>
      </c>
      <c r="O698" t="n">
        <v>0</v>
      </c>
      <c r="P698" t="n">
        <v>0</v>
      </c>
      <c r="Q698" t="n">
        <v>1</v>
      </c>
      <c r="R698" s="2" t="inlineStr">
        <is>
          <t>Grönpyrola</t>
        </is>
      </c>
      <c r="S698">
        <f>HYPERLINK("https://klasma.github.io/Logging_040482/artfynd/A 16831-2025 artfynd.xlsx", "A 16831-2025")</f>
        <v/>
      </c>
      <c r="T698">
        <f>HYPERLINK("https://klasma.github.io/Logging_040482/kartor/A 16831-2025 karta.png", "A 16831-2025")</f>
        <v/>
      </c>
      <c r="V698">
        <f>HYPERLINK("https://klasma.github.io/Logging_040482/klagomål/A 16831-2025 FSC-klagomål.docx", "A 16831-2025")</f>
        <v/>
      </c>
      <c r="W698">
        <f>HYPERLINK("https://klasma.github.io/Logging_040482/klagomålsmail/A 16831-2025 FSC-klagomål mail.docx", "A 16831-2025")</f>
        <v/>
      </c>
      <c r="X698">
        <f>HYPERLINK("https://klasma.github.io/Logging_040482/tillsyn/A 16831-2025 tillsynsbegäran.docx", "A 16831-2025")</f>
        <v/>
      </c>
      <c r="Y698">
        <f>HYPERLINK("https://klasma.github.io/Logging_040482/tillsynsmail/A 16831-2025 tillsynsbegäran mail.docx", "A 16831-2025")</f>
        <v/>
      </c>
    </row>
    <row r="699" ht="15" customHeight="1">
      <c r="A699" t="inlineStr">
        <is>
          <t>A 22474-2025</t>
        </is>
      </c>
      <c r="B699" s="1" t="n">
        <v>45786</v>
      </c>
      <c r="C699" s="1" t="n">
        <v>45843</v>
      </c>
      <c r="D699" t="inlineStr">
        <is>
          <t>SÖDERMANLANDS LÄN</t>
        </is>
      </c>
      <c r="E699" t="inlineStr">
        <is>
          <t>KATRINEHOLM</t>
        </is>
      </c>
      <c r="F699" t="inlineStr">
        <is>
          <t>Övriga Aktiebolag</t>
        </is>
      </c>
      <c r="G699" t="n">
        <v>7.6</v>
      </c>
      <c r="H699" t="n">
        <v>1</v>
      </c>
      <c r="I699" t="n">
        <v>0</v>
      </c>
      <c r="J699" t="n">
        <v>0</v>
      </c>
      <c r="K699" t="n">
        <v>0</v>
      </c>
      <c r="L699" t="n">
        <v>0</v>
      </c>
      <c r="M699" t="n">
        <v>0</v>
      </c>
      <c r="N699" t="n">
        <v>0</v>
      </c>
      <c r="O699" t="n">
        <v>0</v>
      </c>
      <c r="P699" t="n">
        <v>0</v>
      </c>
      <c r="Q699" t="n">
        <v>1</v>
      </c>
      <c r="R699" s="2" t="inlineStr">
        <is>
          <t>Mattlummer</t>
        </is>
      </c>
      <c r="S699">
        <f>HYPERLINK("https://klasma.github.io/Logging_040483/artfynd/A 22474-2025 artfynd.xlsx", "A 22474-2025")</f>
        <v/>
      </c>
      <c r="T699">
        <f>HYPERLINK("https://klasma.github.io/Logging_040483/kartor/A 22474-2025 karta.png", "A 22474-2025")</f>
        <v/>
      </c>
      <c r="V699">
        <f>HYPERLINK("https://klasma.github.io/Logging_040483/klagomål/A 22474-2025 FSC-klagomål.docx", "A 22474-2025")</f>
        <v/>
      </c>
      <c r="W699">
        <f>HYPERLINK("https://klasma.github.io/Logging_040483/klagomålsmail/A 22474-2025 FSC-klagomål mail.docx", "A 22474-2025")</f>
        <v/>
      </c>
      <c r="X699">
        <f>HYPERLINK("https://klasma.github.io/Logging_040483/tillsyn/A 22474-2025 tillsynsbegäran.docx", "A 22474-2025")</f>
        <v/>
      </c>
      <c r="Y699">
        <f>HYPERLINK("https://klasma.github.io/Logging_040483/tillsynsmail/A 22474-2025 tillsynsbegäran mail.docx", "A 22474-2025")</f>
        <v/>
      </c>
    </row>
    <row r="700" ht="15" customHeight="1">
      <c r="A700" t="inlineStr">
        <is>
          <t>A 24464-2025</t>
        </is>
      </c>
      <c r="B700" s="1" t="n">
        <v>45798</v>
      </c>
      <c r="C700" s="1" t="n">
        <v>45843</v>
      </c>
      <c r="D700" t="inlineStr">
        <is>
          <t>SÖDERMANLANDS LÄN</t>
        </is>
      </c>
      <c r="E700" t="inlineStr">
        <is>
          <t>FLEN</t>
        </is>
      </c>
      <c r="F700" t="inlineStr">
        <is>
          <t>Holmen skog AB</t>
        </is>
      </c>
      <c r="G700" t="n">
        <v>1.1</v>
      </c>
      <c r="H700" t="n">
        <v>0</v>
      </c>
      <c r="I700" t="n">
        <v>0</v>
      </c>
      <c r="J700" t="n">
        <v>1</v>
      </c>
      <c r="K700" t="n">
        <v>0</v>
      </c>
      <c r="L700" t="n">
        <v>0</v>
      </c>
      <c r="M700" t="n">
        <v>0</v>
      </c>
      <c r="N700" t="n">
        <v>0</v>
      </c>
      <c r="O700" t="n">
        <v>1</v>
      </c>
      <c r="P700" t="n">
        <v>0</v>
      </c>
      <c r="Q700" t="n">
        <v>1</v>
      </c>
      <c r="R700" s="2" t="inlineStr">
        <is>
          <t>Motaggsvamp</t>
        </is>
      </c>
      <c r="S700">
        <f>HYPERLINK("https://klasma.github.io/Logging_040482/artfynd/A 24464-2025 artfynd.xlsx", "A 24464-2025")</f>
        <v/>
      </c>
      <c r="T700">
        <f>HYPERLINK("https://klasma.github.io/Logging_040482/kartor/A 24464-2025 karta.png", "A 24464-2025")</f>
        <v/>
      </c>
      <c r="V700">
        <f>HYPERLINK("https://klasma.github.io/Logging_040482/klagomål/A 24464-2025 FSC-klagomål.docx", "A 24464-2025")</f>
        <v/>
      </c>
      <c r="W700">
        <f>HYPERLINK("https://klasma.github.io/Logging_040482/klagomålsmail/A 24464-2025 FSC-klagomål mail.docx", "A 24464-2025")</f>
        <v/>
      </c>
      <c r="X700">
        <f>HYPERLINK("https://klasma.github.io/Logging_040482/tillsyn/A 24464-2025 tillsynsbegäran.docx", "A 24464-2025")</f>
        <v/>
      </c>
      <c r="Y700">
        <f>HYPERLINK("https://klasma.github.io/Logging_040482/tillsynsmail/A 24464-2025 tillsynsbegäran mail.docx", "A 24464-2025")</f>
        <v/>
      </c>
    </row>
    <row r="701" ht="15" customHeight="1">
      <c r="A701" t="inlineStr">
        <is>
          <t>A 27488-2025</t>
        </is>
      </c>
      <c r="B701" s="1" t="n">
        <v>45813</v>
      </c>
      <c r="C701" s="1" t="n">
        <v>45843</v>
      </c>
      <c r="D701" t="inlineStr">
        <is>
          <t>SÖDERMANLANDS LÄN</t>
        </is>
      </c>
      <c r="E701" t="inlineStr">
        <is>
          <t>NYKÖPING</t>
        </is>
      </c>
      <c r="F701" t="inlineStr">
        <is>
          <t>Sveaskog</t>
        </is>
      </c>
      <c r="G701" t="n">
        <v>1.3</v>
      </c>
      <c r="H701" t="n">
        <v>0</v>
      </c>
      <c r="I701" t="n">
        <v>0</v>
      </c>
      <c r="J701" t="n">
        <v>1</v>
      </c>
      <c r="K701" t="n">
        <v>0</v>
      </c>
      <c r="L701" t="n">
        <v>0</v>
      </c>
      <c r="M701" t="n">
        <v>0</v>
      </c>
      <c r="N701" t="n">
        <v>0</v>
      </c>
      <c r="O701" t="n">
        <v>1</v>
      </c>
      <c r="P701" t="n">
        <v>0</v>
      </c>
      <c r="Q701" t="n">
        <v>1</v>
      </c>
      <c r="R701" s="2" t="inlineStr">
        <is>
          <t>Svinrot</t>
        </is>
      </c>
      <c r="S701">
        <f>HYPERLINK("https://klasma.github.io/Logging_040480/artfynd/A 27488-2025 artfynd.xlsx", "A 27488-2025")</f>
        <v/>
      </c>
      <c r="T701">
        <f>HYPERLINK("https://klasma.github.io/Logging_040480/kartor/A 27488-2025 karta.png", "A 27488-2025")</f>
        <v/>
      </c>
      <c r="V701">
        <f>HYPERLINK("https://klasma.github.io/Logging_040480/klagomål/A 27488-2025 FSC-klagomål.docx", "A 27488-2025")</f>
        <v/>
      </c>
      <c r="W701">
        <f>HYPERLINK("https://klasma.github.io/Logging_040480/klagomålsmail/A 27488-2025 FSC-klagomål mail.docx", "A 27488-2025")</f>
        <v/>
      </c>
      <c r="X701">
        <f>HYPERLINK("https://klasma.github.io/Logging_040480/tillsyn/A 27488-2025 tillsynsbegäran.docx", "A 27488-2025")</f>
        <v/>
      </c>
      <c r="Y701">
        <f>HYPERLINK("https://klasma.github.io/Logging_040480/tillsynsmail/A 27488-2025 tillsynsbegäran mail.docx", "A 27488-2025")</f>
        <v/>
      </c>
    </row>
    <row r="702" ht="15" customHeight="1">
      <c r="A702" t="inlineStr">
        <is>
          <t>A 27926-2025</t>
        </is>
      </c>
      <c r="B702" s="1" t="n">
        <v>45814</v>
      </c>
      <c r="C702" s="1" t="n">
        <v>45843</v>
      </c>
      <c r="D702" t="inlineStr">
        <is>
          <t>SÖDERMANLANDS LÄN</t>
        </is>
      </c>
      <c r="E702" t="inlineStr">
        <is>
          <t>KATRINEHOLM</t>
        </is>
      </c>
      <c r="F702" t="inlineStr">
        <is>
          <t>Allmännings- och besparingsskogar</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HYPERLINK("https://klasma.github.io/Logging_040483/artfynd/A 27926-2025 artfynd.xlsx", "A 27926-2025")</f>
        <v/>
      </c>
      <c r="T702">
        <f>HYPERLINK("https://klasma.github.io/Logging_040483/kartor/A 27926-2025 karta.png", "A 27926-2025")</f>
        <v/>
      </c>
      <c r="V702">
        <f>HYPERLINK("https://klasma.github.io/Logging_040483/klagomål/A 27926-2025 FSC-klagomål.docx", "A 27926-2025")</f>
        <v/>
      </c>
      <c r="W702">
        <f>HYPERLINK("https://klasma.github.io/Logging_040483/klagomålsmail/A 27926-2025 FSC-klagomål mail.docx", "A 27926-2025")</f>
        <v/>
      </c>
      <c r="X702">
        <f>HYPERLINK("https://klasma.github.io/Logging_040483/tillsyn/A 27926-2025 tillsynsbegäran.docx", "A 27926-2025")</f>
        <v/>
      </c>
      <c r="Y702">
        <f>HYPERLINK("https://klasma.github.io/Logging_040483/tillsynsmail/A 27926-2025 tillsynsbegäran mail.docx", "A 27926-2025")</f>
        <v/>
      </c>
    </row>
    <row r="703" ht="15" customHeight="1">
      <c r="A703" t="inlineStr">
        <is>
          <t>A 32766-2025</t>
        </is>
      </c>
      <c r="B703" s="1" t="n">
        <v>45839</v>
      </c>
      <c r="C703" s="1" t="n">
        <v>45843</v>
      </c>
      <c r="D703" t="inlineStr">
        <is>
          <t>SÖDERMANLANDS LÄN</t>
        </is>
      </c>
      <c r="E703" t="inlineStr">
        <is>
          <t>STRÄNGNÄS</t>
        </is>
      </c>
      <c r="G703" t="n">
        <v>3.5</v>
      </c>
      <c r="H703" t="n">
        <v>0</v>
      </c>
      <c r="I703" t="n">
        <v>1</v>
      </c>
      <c r="J703" t="n">
        <v>0</v>
      </c>
      <c r="K703" t="n">
        <v>0</v>
      </c>
      <c r="L703" t="n">
        <v>0</v>
      </c>
      <c r="M703" t="n">
        <v>0</v>
      </c>
      <c r="N703" t="n">
        <v>0</v>
      </c>
      <c r="O703" t="n">
        <v>0</v>
      </c>
      <c r="P703" t="n">
        <v>0</v>
      </c>
      <c r="Q703" t="n">
        <v>1</v>
      </c>
      <c r="R703" s="2" t="inlineStr">
        <is>
          <t>Grönpyrola</t>
        </is>
      </c>
      <c r="S703">
        <f>HYPERLINK("https://klasma.github.io/Logging_040486/artfynd/A 32766-2025 artfynd.xlsx", "A 32766-2025")</f>
        <v/>
      </c>
      <c r="T703">
        <f>HYPERLINK("https://klasma.github.io/Logging_040486/kartor/A 32766-2025 karta.png", "A 32766-2025")</f>
        <v/>
      </c>
      <c r="V703">
        <f>HYPERLINK("https://klasma.github.io/Logging_040486/klagomål/A 32766-2025 FSC-klagomål.docx", "A 32766-2025")</f>
        <v/>
      </c>
      <c r="W703">
        <f>HYPERLINK("https://klasma.github.io/Logging_040486/klagomålsmail/A 32766-2025 FSC-klagomål mail.docx", "A 32766-2025")</f>
        <v/>
      </c>
      <c r="X703">
        <f>HYPERLINK("https://klasma.github.io/Logging_040486/tillsyn/A 32766-2025 tillsynsbegäran.docx", "A 32766-2025")</f>
        <v/>
      </c>
      <c r="Y703">
        <f>HYPERLINK("https://klasma.github.io/Logging_040486/tillsynsmail/A 32766-2025 tillsynsbegäran mail.docx", "A 32766-2025")</f>
        <v/>
      </c>
    </row>
    <row r="704" ht="15" customHeight="1">
      <c r="A704" t="inlineStr">
        <is>
          <t>A 32901-2025</t>
        </is>
      </c>
      <c r="B704" s="1" t="n">
        <v>45839</v>
      </c>
      <c r="C704" s="1" t="n">
        <v>45843</v>
      </c>
      <c r="D704" t="inlineStr">
        <is>
          <t>SÖDERMANLANDS LÄN</t>
        </is>
      </c>
      <c r="E704" t="inlineStr">
        <is>
          <t>FLEN</t>
        </is>
      </c>
      <c r="G704" t="n">
        <v>2.6</v>
      </c>
      <c r="H704" t="n">
        <v>0</v>
      </c>
      <c r="I704" t="n">
        <v>0</v>
      </c>
      <c r="J704" t="n">
        <v>1</v>
      </c>
      <c r="K704" t="n">
        <v>0</v>
      </c>
      <c r="L704" t="n">
        <v>0</v>
      </c>
      <c r="M704" t="n">
        <v>0</v>
      </c>
      <c r="N704" t="n">
        <v>0</v>
      </c>
      <c r="O704" t="n">
        <v>1</v>
      </c>
      <c r="P704" t="n">
        <v>0</v>
      </c>
      <c r="Q704" t="n">
        <v>1</v>
      </c>
      <c r="R704" s="2" t="inlineStr">
        <is>
          <t>Ullticka</t>
        </is>
      </c>
      <c r="S704">
        <f>HYPERLINK("https://klasma.github.io/Logging_040482/artfynd/A 32901-2025 artfynd.xlsx", "A 32901-2025")</f>
        <v/>
      </c>
      <c r="T704">
        <f>HYPERLINK("https://klasma.github.io/Logging_040482/kartor/A 32901-2025 karta.png", "A 32901-2025")</f>
        <v/>
      </c>
      <c r="V704">
        <f>HYPERLINK("https://klasma.github.io/Logging_040482/klagomål/A 32901-2025 FSC-klagomål.docx", "A 32901-2025")</f>
        <v/>
      </c>
      <c r="W704">
        <f>HYPERLINK("https://klasma.github.io/Logging_040482/klagomålsmail/A 32901-2025 FSC-klagomål mail.docx", "A 32901-2025")</f>
        <v/>
      </c>
      <c r="X704">
        <f>HYPERLINK("https://klasma.github.io/Logging_040482/tillsyn/A 32901-2025 tillsynsbegäran.docx", "A 32901-2025")</f>
        <v/>
      </c>
      <c r="Y704">
        <f>HYPERLINK("https://klasma.github.io/Logging_040482/tillsynsmail/A 32901-2025 tillsynsbegäran mail.docx", "A 32901-2025")</f>
        <v/>
      </c>
    </row>
    <row r="705" ht="15" customHeight="1">
      <c r="A705" t="inlineStr">
        <is>
          <t>A 17818-2019</t>
        </is>
      </c>
      <c r="B705" s="1" t="n">
        <v>43556</v>
      </c>
      <c r="C705" s="1" t="n">
        <v>45843</v>
      </c>
      <c r="D705" t="inlineStr">
        <is>
          <t>SÖDERMANLANDS LÄN</t>
        </is>
      </c>
      <c r="E705" t="inlineStr">
        <is>
          <t>NYKÖPING</t>
        </is>
      </c>
      <c r="G705" t="n">
        <v>9.9</v>
      </c>
      <c r="H705" t="n">
        <v>0</v>
      </c>
      <c r="I705" t="n">
        <v>0</v>
      </c>
      <c r="J705" t="n">
        <v>0</v>
      </c>
      <c r="K705" t="n">
        <v>0</v>
      </c>
      <c r="L705" t="n">
        <v>0</v>
      </c>
      <c r="M705" t="n">
        <v>0</v>
      </c>
      <c r="N705" t="n">
        <v>0</v>
      </c>
      <c r="O705" t="n">
        <v>0</v>
      </c>
      <c r="P705" t="n">
        <v>0</v>
      </c>
      <c r="Q705" t="n">
        <v>0</v>
      </c>
      <c r="R705" s="2" t="inlineStr"/>
    </row>
    <row r="706" ht="15" customHeight="1">
      <c r="A706" t="inlineStr">
        <is>
          <t>A 17815-2019</t>
        </is>
      </c>
      <c r="B706" s="1" t="n">
        <v>43556</v>
      </c>
      <c r="C706" s="1" t="n">
        <v>45843</v>
      </c>
      <c r="D706" t="inlineStr">
        <is>
          <t>SÖDERMANLANDS LÄN</t>
        </is>
      </c>
      <c r="E706" t="inlineStr">
        <is>
          <t>NYKÖPING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17823-2019</t>
        </is>
      </c>
      <c r="B707" s="1" t="n">
        <v>43556</v>
      </c>
      <c r="C707" s="1" t="n">
        <v>45843</v>
      </c>
      <c r="D707" t="inlineStr">
        <is>
          <t>SÖDERMANLANDS LÄN</t>
        </is>
      </c>
      <c r="E707" t="inlineStr">
        <is>
          <t>NYKÖPING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18002-2019</t>
        </is>
      </c>
      <c r="B708" s="1" t="n">
        <v>43556</v>
      </c>
      <c r="C708" s="1" t="n">
        <v>45843</v>
      </c>
      <c r="D708" t="inlineStr">
        <is>
          <t>SÖDERMANLANDS LÄN</t>
        </is>
      </c>
      <c r="E708" t="inlineStr">
        <is>
          <t>GNESTA</t>
        </is>
      </c>
      <c r="G708" t="n">
        <v>2</v>
      </c>
      <c r="H708" t="n">
        <v>0</v>
      </c>
      <c r="I708" t="n">
        <v>0</v>
      </c>
      <c r="J708" t="n">
        <v>0</v>
      </c>
      <c r="K708" t="n">
        <v>0</v>
      </c>
      <c r="L708" t="n">
        <v>0</v>
      </c>
      <c r="M708" t="n">
        <v>0</v>
      </c>
      <c r="N708" t="n">
        <v>0</v>
      </c>
      <c r="O708" t="n">
        <v>0</v>
      </c>
      <c r="P708" t="n">
        <v>0</v>
      </c>
      <c r="Q708" t="n">
        <v>0</v>
      </c>
      <c r="R708" s="2" t="inlineStr"/>
    </row>
    <row r="709" ht="15" customHeight="1">
      <c r="A709" t="inlineStr">
        <is>
          <t>A 17953-2019</t>
        </is>
      </c>
      <c r="B709" s="1" t="n">
        <v>43557</v>
      </c>
      <c r="C709" s="1" t="n">
        <v>45843</v>
      </c>
      <c r="D709" t="inlineStr">
        <is>
          <t>SÖDERMANLANDS LÄN</t>
        </is>
      </c>
      <c r="E709" t="inlineStr">
        <is>
          <t>ESKILSTUNA</t>
        </is>
      </c>
      <c r="G709" t="n">
        <v>0.2</v>
      </c>
      <c r="H709" t="n">
        <v>0</v>
      </c>
      <c r="I709" t="n">
        <v>0</v>
      </c>
      <c r="J709" t="n">
        <v>0</v>
      </c>
      <c r="K709" t="n">
        <v>0</v>
      </c>
      <c r="L709" t="n">
        <v>0</v>
      </c>
      <c r="M709" t="n">
        <v>0</v>
      </c>
      <c r="N709" t="n">
        <v>0</v>
      </c>
      <c r="O709" t="n">
        <v>0</v>
      </c>
      <c r="P709" t="n">
        <v>0</v>
      </c>
      <c r="Q709" t="n">
        <v>0</v>
      </c>
      <c r="R709" s="2" t="inlineStr"/>
    </row>
    <row r="710" ht="15" customHeight="1">
      <c r="A710" t="inlineStr">
        <is>
          <t>A 18324-2019</t>
        </is>
      </c>
      <c r="B710" s="1" t="n">
        <v>43557</v>
      </c>
      <c r="C710" s="1" t="n">
        <v>45843</v>
      </c>
      <c r="D710" t="inlineStr">
        <is>
          <t>SÖDERMANLANDS LÄN</t>
        </is>
      </c>
      <c r="E710" t="inlineStr">
        <is>
          <t>STRÄNGNÄS</t>
        </is>
      </c>
      <c r="G710" t="n">
        <v>3.3</v>
      </c>
      <c r="H710" t="n">
        <v>0</v>
      </c>
      <c r="I710" t="n">
        <v>0</v>
      </c>
      <c r="J710" t="n">
        <v>0</v>
      </c>
      <c r="K710" t="n">
        <v>0</v>
      </c>
      <c r="L710" t="n">
        <v>0</v>
      </c>
      <c r="M710" t="n">
        <v>0</v>
      </c>
      <c r="N710" t="n">
        <v>0</v>
      </c>
      <c r="O710" t="n">
        <v>0</v>
      </c>
      <c r="P710" t="n">
        <v>0</v>
      </c>
      <c r="Q710" t="n">
        <v>0</v>
      </c>
      <c r="R710" s="2" t="inlineStr"/>
    </row>
    <row r="711" ht="15" customHeight="1">
      <c r="A711" t="inlineStr">
        <is>
          <t>A 18328-2019</t>
        </is>
      </c>
      <c r="B711" s="1" t="n">
        <v>43557</v>
      </c>
      <c r="C711" s="1" t="n">
        <v>45843</v>
      </c>
      <c r="D711" t="inlineStr">
        <is>
          <t>SÖDERMANLANDS LÄN</t>
        </is>
      </c>
      <c r="E711" t="inlineStr">
        <is>
          <t>STRÄNGNÄS</t>
        </is>
      </c>
      <c r="G711" t="n">
        <v>12.8</v>
      </c>
      <c r="H711" t="n">
        <v>0</v>
      </c>
      <c r="I711" t="n">
        <v>0</v>
      </c>
      <c r="J711" t="n">
        <v>0</v>
      </c>
      <c r="K711" t="n">
        <v>0</v>
      </c>
      <c r="L711" t="n">
        <v>0</v>
      </c>
      <c r="M711" t="n">
        <v>0</v>
      </c>
      <c r="N711" t="n">
        <v>0</v>
      </c>
      <c r="O711" t="n">
        <v>0</v>
      </c>
      <c r="P711" t="n">
        <v>0</v>
      </c>
      <c r="Q711" t="n">
        <v>0</v>
      </c>
      <c r="R711" s="2" t="inlineStr"/>
    </row>
    <row r="712" ht="15" customHeight="1">
      <c r="A712" t="inlineStr">
        <is>
          <t>A 18391-2019</t>
        </is>
      </c>
      <c r="B712" s="1" t="n">
        <v>43558</v>
      </c>
      <c r="C712" s="1" t="n">
        <v>45843</v>
      </c>
      <c r="D712" t="inlineStr">
        <is>
          <t>SÖDERMANLANDS LÄN</t>
        </is>
      </c>
      <c r="E712" t="inlineStr">
        <is>
          <t>FLEN</t>
        </is>
      </c>
      <c r="G712" t="n">
        <v>0.8</v>
      </c>
      <c r="H712" t="n">
        <v>0</v>
      </c>
      <c r="I712" t="n">
        <v>0</v>
      </c>
      <c r="J712" t="n">
        <v>0</v>
      </c>
      <c r="K712" t="n">
        <v>0</v>
      </c>
      <c r="L712" t="n">
        <v>0</v>
      </c>
      <c r="M712" t="n">
        <v>0</v>
      </c>
      <c r="N712" t="n">
        <v>0</v>
      </c>
      <c r="O712" t="n">
        <v>0</v>
      </c>
      <c r="P712" t="n">
        <v>0</v>
      </c>
      <c r="Q712" t="n">
        <v>0</v>
      </c>
      <c r="R712" s="2" t="inlineStr"/>
    </row>
    <row r="713" ht="15" customHeight="1">
      <c r="A713" t="inlineStr">
        <is>
          <t>A 18334-2019</t>
        </is>
      </c>
      <c r="B713" s="1" t="n">
        <v>43558</v>
      </c>
      <c r="C713" s="1" t="n">
        <v>45843</v>
      </c>
      <c r="D713" t="inlineStr">
        <is>
          <t>SÖDERMANLANDS LÄN</t>
        </is>
      </c>
      <c r="E713" t="inlineStr">
        <is>
          <t>NYKÖPING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18224-2019</t>
        </is>
      </c>
      <c r="B714" s="1" t="n">
        <v>43558</v>
      </c>
      <c r="C714" s="1" t="n">
        <v>45843</v>
      </c>
      <c r="D714" t="inlineStr">
        <is>
          <t>SÖDERMANLANDS LÄN</t>
        </is>
      </c>
      <c r="E714" t="inlineStr">
        <is>
          <t>ESKILSTUNA</t>
        </is>
      </c>
      <c r="G714" t="n">
        <v>2.1</v>
      </c>
      <c r="H714" t="n">
        <v>0</v>
      </c>
      <c r="I714" t="n">
        <v>0</v>
      </c>
      <c r="J714" t="n">
        <v>0</v>
      </c>
      <c r="K714" t="n">
        <v>0</v>
      </c>
      <c r="L714" t="n">
        <v>0</v>
      </c>
      <c r="M714" t="n">
        <v>0</v>
      </c>
      <c r="N714" t="n">
        <v>0</v>
      </c>
      <c r="O714" t="n">
        <v>0</v>
      </c>
      <c r="P714" t="n">
        <v>0</v>
      </c>
      <c r="Q714" t="n">
        <v>0</v>
      </c>
      <c r="R714" s="2" t="inlineStr"/>
    </row>
    <row r="715" ht="15" customHeight="1">
      <c r="A715" t="inlineStr">
        <is>
          <t>A 18543-2019</t>
        </is>
      </c>
      <c r="B715" s="1" t="n">
        <v>43558</v>
      </c>
      <c r="C715" s="1" t="n">
        <v>45843</v>
      </c>
      <c r="D715" t="inlineStr">
        <is>
          <t>SÖDERMANLANDS LÄN</t>
        </is>
      </c>
      <c r="E715" t="inlineStr">
        <is>
          <t>FLEN</t>
        </is>
      </c>
      <c r="F715" t="inlineStr">
        <is>
          <t>Övriga statliga verk och myndigheter</t>
        </is>
      </c>
      <c r="G715" t="n">
        <v>1.3</v>
      </c>
      <c r="H715" t="n">
        <v>0</v>
      </c>
      <c r="I715" t="n">
        <v>0</v>
      </c>
      <c r="J715" t="n">
        <v>0</v>
      </c>
      <c r="K715" t="n">
        <v>0</v>
      </c>
      <c r="L715" t="n">
        <v>0</v>
      </c>
      <c r="M715" t="n">
        <v>0</v>
      </c>
      <c r="N715" t="n">
        <v>0</v>
      </c>
      <c r="O715" t="n">
        <v>0</v>
      </c>
      <c r="P715" t="n">
        <v>0</v>
      </c>
      <c r="Q715" t="n">
        <v>0</v>
      </c>
      <c r="R715" s="2" t="inlineStr"/>
    </row>
    <row r="716" ht="15" customHeight="1">
      <c r="A716" t="inlineStr">
        <is>
          <t>A 18493-2019</t>
        </is>
      </c>
      <c r="B716" s="1" t="n">
        <v>43558</v>
      </c>
      <c r="C716" s="1" t="n">
        <v>45843</v>
      </c>
      <c r="D716" t="inlineStr">
        <is>
          <t>SÖDERMANLANDS LÄN</t>
        </is>
      </c>
      <c r="E716" t="inlineStr">
        <is>
          <t>ESKILSTUNA</t>
        </is>
      </c>
      <c r="G716" t="n">
        <v>3</v>
      </c>
      <c r="H716" t="n">
        <v>0</v>
      </c>
      <c r="I716" t="n">
        <v>0</v>
      </c>
      <c r="J716" t="n">
        <v>0</v>
      </c>
      <c r="K716" t="n">
        <v>0</v>
      </c>
      <c r="L716" t="n">
        <v>0</v>
      </c>
      <c r="M716" t="n">
        <v>0</v>
      </c>
      <c r="N716" t="n">
        <v>0</v>
      </c>
      <c r="O716" t="n">
        <v>0</v>
      </c>
      <c r="P716" t="n">
        <v>0</v>
      </c>
      <c r="Q716" t="n">
        <v>0</v>
      </c>
      <c r="R716" s="2" t="inlineStr"/>
    </row>
    <row r="717" ht="15" customHeight="1">
      <c r="A717" t="inlineStr">
        <is>
          <t>A 18561-2019</t>
        </is>
      </c>
      <c r="B717" s="1" t="n">
        <v>43559</v>
      </c>
      <c r="C717" s="1" t="n">
        <v>45843</v>
      </c>
      <c r="D717" t="inlineStr">
        <is>
          <t>SÖDERMANLANDS LÄN</t>
        </is>
      </c>
      <c r="E717" t="inlineStr">
        <is>
          <t>STRÄNGNÄS</t>
        </is>
      </c>
      <c r="F717" t="inlineStr">
        <is>
          <t>Allmännings- och besparingsskogar</t>
        </is>
      </c>
      <c r="G717" t="n">
        <v>2.7</v>
      </c>
      <c r="H717" t="n">
        <v>0</v>
      </c>
      <c r="I717" t="n">
        <v>0</v>
      </c>
      <c r="J717" t="n">
        <v>0</v>
      </c>
      <c r="K717" t="n">
        <v>0</v>
      </c>
      <c r="L717" t="n">
        <v>0</v>
      </c>
      <c r="M717" t="n">
        <v>0</v>
      </c>
      <c r="N717" t="n">
        <v>0</v>
      </c>
      <c r="O717" t="n">
        <v>0</v>
      </c>
      <c r="P717" t="n">
        <v>0</v>
      </c>
      <c r="Q717" t="n">
        <v>0</v>
      </c>
      <c r="R717" s="2" t="inlineStr"/>
    </row>
    <row r="718" ht="15" customHeight="1">
      <c r="A718" t="inlineStr">
        <is>
          <t>A 18639-2019</t>
        </is>
      </c>
      <c r="B718" s="1" t="n">
        <v>43559</v>
      </c>
      <c r="C718" s="1" t="n">
        <v>45843</v>
      </c>
      <c r="D718" t="inlineStr">
        <is>
          <t>SÖDERMANLANDS LÄN</t>
        </is>
      </c>
      <c r="E718" t="inlineStr">
        <is>
          <t>GNESTA</t>
        </is>
      </c>
      <c r="G718" t="n">
        <v>3.1</v>
      </c>
      <c r="H718" t="n">
        <v>0</v>
      </c>
      <c r="I718" t="n">
        <v>0</v>
      </c>
      <c r="J718" t="n">
        <v>0</v>
      </c>
      <c r="K718" t="n">
        <v>0</v>
      </c>
      <c r="L718" t="n">
        <v>0</v>
      </c>
      <c r="M718" t="n">
        <v>0</v>
      </c>
      <c r="N718" t="n">
        <v>0</v>
      </c>
      <c r="O718" t="n">
        <v>0</v>
      </c>
      <c r="P718" t="n">
        <v>0</v>
      </c>
      <c r="Q718" t="n">
        <v>0</v>
      </c>
      <c r="R718" s="2" t="inlineStr"/>
    </row>
    <row r="719" ht="15" customHeight="1">
      <c r="A719" t="inlineStr">
        <is>
          <t>A 18700-2019</t>
        </is>
      </c>
      <c r="B719" s="1" t="n">
        <v>43559</v>
      </c>
      <c r="C719" s="1" t="n">
        <v>45843</v>
      </c>
      <c r="D719" t="inlineStr">
        <is>
          <t>SÖDERMANLANDS LÄN</t>
        </is>
      </c>
      <c r="E719" t="inlineStr">
        <is>
          <t>FLEN</t>
        </is>
      </c>
      <c r="G719" t="n">
        <v>3.5</v>
      </c>
      <c r="H719" t="n">
        <v>0</v>
      </c>
      <c r="I719" t="n">
        <v>0</v>
      </c>
      <c r="J719" t="n">
        <v>0</v>
      </c>
      <c r="K719" t="n">
        <v>0</v>
      </c>
      <c r="L719" t="n">
        <v>0</v>
      </c>
      <c r="M719" t="n">
        <v>0</v>
      </c>
      <c r="N719" t="n">
        <v>0</v>
      </c>
      <c r="O719" t="n">
        <v>0</v>
      </c>
      <c r="P719" t="n">
        <v>0</v>
      </c>
      <c r="Q719" t="n">
        <v>0</v>
      </c>
      <c r="R719" s="2" t="inlineStr"/>
    </row>
    <row r="720" ht="15" customHeight="1">
      <c r="A720" t="inlineStr">
        <is>
          <t>A 18698-2019</t>
        </is>
      </c>
      <c r="B720" s="1" t="n">
        <v>43559</v>
      </c>
      <c r="C720" s="1" t="n">
        <v>45843</v>
      </c>
      <c r="D720" t="inlineStr">
        <is>
          <t>SÖDERMANLANDS LÄN</t>
        </is>
      </c>
      <c r="E720" t="inlineStr">
        <is>
          <t>ESKILSTUNA</t>
        </is>
      </c>
      <c r="G720" t="n">
        <v>10</v>
      </c>
      <c r="H720" t="n">
        <v>0</v>
      </c>
      <c r="I720" t="n">
        <v>0</v>
      </c>
      <c r="J720" t="n">
        <v>0</v>
      </c>
      <c r="K720" t="n">
        <v>0</v>
      </c>
      <c r="L720" t="n">
        <v>0</v>
      </c>
      <c r="M720" t="n">
        <v>0</v>
      </c>
      <c r="N720" t="n">
        <v>0</v>
      </c>
      <c r="O720" t="n">
        <v>0</v>
      </c>
      <c r="P720" t="n">
        <v>0</v>
      </c>
      <c r="Q720" t="n">
        <v>0</v>
      </c>
      <c r="R720" s="2" t="inlineStr"/>
    </row>
    <row r="721" ht="15" customHeight="1">
      <c r="A721" t="inlineStr">
        <is>
          <t>A 18688-2019</t>
        </is>
      </c>
      <c r="B721" s="1" t="n">
        <v>43559</v>
      </c>
      <c r="C721" s="1" t="n">
        <v>45843</v>
      </c>
      <c r="D721" t="inlineStr">
        <is>
          <t>SÖDERMANLANDS LÄN</t>
        </is>
      </c>
      <c r="E721" t="inlineStr">
        <is>
          <t>FLEN</t>
        </is>
      </c>
      <c r="G721" t="n">
        <v>1.9</v>
      </c>
      <c r="H721" t="n">
        <v>0</v>
      </c>
      <c r="I721" t="n">
        <v>0</v>
      </c>
      <c r="J721" t="n">
        <v>0</v>
      </c>
      <c r="K721" t="n">
        <v>0</v>
      </c>
      <c r="L721" t="n">
        <v>0</v>
      </c>
      <c r="M721" t="n">
        <v>0</v>
      </c>
      <c r="N721" t="n">
        <v>0</v>
      </c>
      <c r="O721" t="n">
        <v>0</v>
      </c>
      <c r="P721" t="n">
        <v>0</v>
      </c>
      <c r="Q721" t="n">
        <v>0</v>
      </c>
      <c r="R721" s="2" t="inlineStr"/>
    </row>
    <row r="722" ht="15" customHeight="1">
      <c r="A722" t="inlineStr">
        <is>
          <t>A 18423-2019</t>
        </is>
      </c>
      <c r="B722" s="1" t="n">
        <v>43559</v>
      </c>
      <c r="C722" s="1" t="n">
        <v>45843</v>
      </c>
      <c r="D722" t="inlineStr">
        <is>
          <t>SÖDERMANLANDS LÄN</t>
        </is>
      </c>
      <c r="E722" t="inlineStr">
        <is>
          <t>ESKILSTUNA</t>
        </is>
      </c>
      <c r="G722" t="n">
        <v>1.1</v>
      </c>
      <c r="H722" t="n">
        <v>0</v>
      </c>
      <c r="I722" t="n">
        <v>0</v>
      </c>
      <c r="J722" t="n">
        <v>0</v>
      </c>
      <c r="K722" t="n">
        <v>0</v>
      </c>
      <c r="L722" t="n">
        <v>0</v>
      </c>
      <c r="M722" t="n">
        <v>0</v>
      </c>
      <c r="N722" t="n">
        <v>0</v>
      </c>
      <c r="O722" t="n">
        <v>0</v>
      </c>
      <c r="P722" t="n">
        <v>0</v>
      </c>
      <c r="Q722" t="n">
        <v>0</v>
      </c>
      <c r="R722" s="2" t="inlineStr"/>
    </row>
    <row r="723" ht="15" customHeight="1">
      <c r="A723" t="inlineStr">
        <is>
          <t>A 18704-2019</t>
        </is>
      </c>
      <c r="B723" s="1" t="n">
        <v>43559</v>
      </c>
      <c r="C723" s="1" t="n">
        <v>45843</v>
      </c>
      <c r="D723" t="inlineStr">
        <is>
          <t>SÖDERMANLANDS LÄN</t>
        </is>
      </c>
      <c r="E723" t="inlineStr">
        <is>
          <t>ESKILSTUNA</t>
        </is>
      </c>
      <c r="G723" t="n">
        <v>7.8</v>
      </c>
      <c r="H723" t="n">
        <v>0</v>
      </c>
      <c r="I723" t="n">
        <v>0</v>
      </c>
      <c r="J723" t="n">
        <v>0</v>
      </c>
      <c r="K723" t="n">
        <v>0</v>
      </c>
      <c r="L723" t="n">
        <v>0</v>
      </c>
      <c r="M723" t="n">
        <v>0</v>
      </c>
      <c r="N723" t="n">
        <v>0</v>
      </c>
      <c r="O723" t="n">
        <v>0</v>
      </c>
      <c r="P723" t="n">
        <v>0</v>
      </c>
      <c r="Q723" t="n">
        <v>0</v>
      </c>
      <c r="R723" s="2" t="inlineStr"/>
    </row>
    <row r="724" ht="15" customHeight="1">
      <c r="A724" t="inlineStr">
        <is>
          <t>A 18632-2019</t>
        </is>
      </c>
      <c r="B724" s="1" t="n">
        <v>43559</v>
      </c>
      <c r="C724" s="1" t="n">
        <v>45843</v>
      </c>
      <c r="D724" t="inlineStr">
        <is>
          <t>SÖDERMANLANDS LÄN</t>
        </is>
      </c>
      <c r="E724" t="inlineStr">
        <is>
          <t>VINGÅKER</t>
        </is>
      </c>
      <c r="G724" t="n">
        <v>6.4</v>
      </c>
      <c r="H724" t="n">
        <v>0</v>
      </c>
      <c r="I724" t="n">
        <v>0</v>
      </c>
      <c r="J724" t="n">
        <v>0</v>
      </c>
      <c r="K724" t="n">
        <v>0</v>
      </c>
      <c r="L724" t="n">
        <v>0</v>
      </c>
      <c r="M724" t="n">
        <v>0</v>
      </c>
      <c r="N724" t="n">
        <v>0</v>
      </c>
      <c r="O724" t="n">
        <v>0</v>
      </c>
      <c r="P724" t="n">
        <v>0</v>
      </c>
      <c r="Q724" t="n">
        <v>0</v>
      </c>
      <c r="R724" s="2" t="inlineStr"/>
    </row>
    <row r="725" ht="15" customHeight="1">
      <c r="A725" t="inlineStr">
        <is>
          <t>A 18431-2019</t>
        </is>
      </c>
      <c r="B725" s="1" t="n">
        <v>43559</v>
      </c>
      <c r="C725" s="1" t="n">
        <v>45843</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18645-2019</t>
        </is>
      </c>
      <c r="B726" s="1" t="n">
        <v>43560</v>
      </c>
      <c r="C726" s="1" t="n">
        <v>45843</v>
      </c>
      <c r="D726" t="inlineStr">
        <is>
          <t>SÖDERMANLANDS LÄN</t>
        </is>
      </c>
      <c r="E726" t="inlineStr">
        <is>
          <t>FLEN</t>
        </is>
      </c>
      <c r="G726" t="n">
        <v>8.4</v>
      </c>
      <c r="H726" t="n">
        <v>0</v>
      </c>
      <c r="I726" t="n">
        <v>0</v>
      </c>
      <c r="J726" t="n">
        <v>0</v>
      </c>
      <c r="K726" t="n">
        <v>0</v>
      </c>
      <c r="L726" t="n">
        <v>0</v>
      </c>
      <c r="M726" t="n">
        <v>0</v>
      </c>
      <c r="N726" t="n">
        <v>0</v>
      </c>
      <c r="O726" t="n">
        <v>0</v>
      </c>
      <c r="P726" t="n">
        <v>0</v>
      </c>
      <c r="Q726" t="n">
        <v>0</v>
      </c>
      <c r="R726" s="2" t="inlineStr"/>
    </row>
    <row r="727" ht="15" customHeight="1">
      <c r="A727" t="inlineStr">
        <is>
          <t>A 18824-2019</t>
        </is>
      </c>
      <c r="B727" s="1" t="n">
        <v>43560</v>
      </c>
      <c r="C727" s="1" t="n">
        <v>45843</v>
      </c>
      <c r="D727" t="inlineStr">
        <is>
          <t>SÖDERMANLANDS LÄN</t>
        </is>
      </c>
      <c r="E727" t="inlineStr">
        <is>
          <t>FLEN</t>
        </is>
      </c>
      <c r="G727" t="n">
        <v>0.5</v>
      </c>
      <c r="H727" t="n">
        <v>0</v>
      </c>
      <c r="I727" t="n">
        <v>0</v>
      </c>
      <c r="J727" t="n">
        <v>0</v>
      </c>
      <c r="K727" t="n">
        <v>0</v>
      </c>
      <c r="L727" t="n">
        <v>0</v>
      </c>
      <c r="M727" t="n">
        <v>0</v>
      </c>
      <c r="N727" t="n">
        <v>0</v>
      </c>
      <c r="O727" t="n">
        <v>0</v>
      </c>
      <c r="P727" t="n">
        <v>0</v>
      </c>
      <c r="Q727" t="n">
        <v>0</v>
      </c>
      <c r="R727" s="2" t="inlineStr"/>
    </row>
    <row r="728" ht="15" customHeight="1">
      <c r="A728" t="inlineStr">
        <is>
          <t>A 18740-2019</t>
        </is>
      </c>
      <c r="B728" s="1" t="n">
        <v>43560</v>
      </c>
      <c r="C728" s="1" t="n">
        <v>45843</v>
      </c>
      <c r="D728" t="inlineStr">
        <is>
          <t>SÖDERMANLANDS LÄN</t>
        </is>
      </c>
      <c r="E728" t="inlineStr">
        <is>
          <t>NYKÖPING</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18786-2019</t>
        </is>
      </c>
      <c r="B729" s="1" t="n">
        <v>43562</v>
      </c>
      <c r="C729" s="1" t="n">
        <v>45843</v>
      </c>
      <c r="D729" t="inlineStr">
        <is>
          <t>SÖDERMANLANDS LÄN</t>
        </is>
      </c>
      <c r="E729" t="inlineStr">
        <is>
          <t>NYKÖPING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18793-2019</t>
        </is>
      </c>
      <c r="B730" s="1" t="n">
        <v>43562</v>
      </c>
      <c r="C730" s="1" t="n">
        <v>45843</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18869-2019</t>
        </is>
      </c>
      <c r="B731" s="1" t="n">
        <v>43563</v>
      </c>
      <c r="C731" s="1" t="n">
        <v>45843</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18892-2019</t>
        </is>
      </c>
      <c r="B732" s="1" t="n">
        <v>43563</v>
      </c>
      <c r="C732" s="1" t="n">
        <v>45843</v>
      </c>
      <c r="D732" t="inlineStr">
        <is>
          <t>SÖDERMANLANDS LÄN</t>
        </is>
      </c>
      <c r="E732" t="inlineStr">
        <is>
          <t>GNESTA</t>
        </is>
      </c>
      <c r="G732" t="n">
        <v>5.6</v>
      </c>
      <c r="H732" t="n">
        <v>0</v>
      </c>
      <c r="I732" t="n">
        <v>0</v>
      </c>
      <c r="J732" t="n">
        <v>0</v>
      </c>
      <c r="K732" t="n">
        <v>0</v>
      </c>
      <c r="L732" t="n">
        <v>0</v>
      </c>
      <c r="M732" t="n">
        <v>0</v>
      </c>
      <c r="N732" t="n">
        <v>0</v>
      </c>
      <c r="O732" t="n">
        <v>0</v>
      </c>
      <c r="P732" t="n">
        <v>0</v>
      </c>
      <c r="Q732" t="n">
        <v>0</v>
      </c>
      <c r="R732" s="2" t="inlineStr"/>
    </row>
    <row r="733" ht="15" customHeight="1">
      <c r="A733" t="inlineStr">
        <is>
          <t>A 18950-2019</t>
        </is>
      </c>
      <c r="B733" s="1" t="n">
        <v>43563</v>
      </c>
      <c r="C733" s="1" t="n">
        <v>45843</v>
      </c>
      <c r="D733" t="inlineStr">
        <is>
          <t>SÖDERMANLANDS LÄN</t>
        </is>
      </c>
      <c r="E733" t="inlineStr">
        <is>
          <t>ESKILSTUNA</t>
        </is>
      </c>
      <c r="G733" t="n">
        <v>3</v>
      </c>
      <c r="H733" t="n">
        <v>0</v>
      </c>
      <c r="I733" t="n">
        <v>0</v>
      </c>
      <c r="J733" t="n">
        <v>0</v>
      </c>
      <c r="K733" t="n">
        <v>0</v>
      </c>
      <c r="L733" t="n">
        <v>0</v>
      </c>
      <c r="M733" t="n">
        <v>0</v>
      </c>
      <c r="N733" t="n">
        <v>0</v>
      </c>
      <c r="O733" t="n">
        <v>0</v>
      </c>
      <c r="P733" t="n">
        <v>0</v>
      </c>
      <c r="Q733" t="n">
        <v>0</v>
      </c>
      <c r="R733" s="2" t="inlineStr"/>
    </row>
    <row r="734" ht="15" customHeight="1">
      <c r="A734" t="inlineStr">
        <is>
          <t>A 18862-2019</t>
        </is>
      </c>
      <c r="B734" s="1" t="n">
        <v>43563</v>
      </c>
      <c r="C734" s="1" t="n">
        <v>45843</v>
      </c>
      <c r="D734" t="inlineStr">
        <is>
          <t>SÖDERMANLANDS LÄN</t>
        </is>
      </c>
      <c r="E734" t="inlineStr">
        <is>
          <t>STRÄNGNÄS</t>
        </is>
      </c>
      <c r="G734" t="n">
        <v>2</v>
      </c>
      <c r="H734" t="n">
        <v>0</v>
      </c>
      <c r="I734" t="n">
        <v>0</v>
      </c>
      <c r="J734" t="n">
        <v>0</v>
      </c>
      <c r="K734" t="n">
        <v>0</v>
      </c>
      <c r="L734" t="n">
        <v>0</v>
      </c>
      <c r="M734" t="n">
        <v>0</v>
      </c>
      <c r="N734" t="n">
        <v>0</v>
      </c>
      <c r="O734" t="n">
        <v>0</v>
      </c>
      <c r="P734" t="n">
        <v>0</v>
      </c>
      <c r="Q734" t="n">
        <v>0</v>
      </c>
      <c r="R734" s="2" t="inlineStr"/>
    </row>
    <row r="735" ht="15" customHeight="1">
      <c r="A735" t="inlineStr">
        <is>
          <t>A 19122-2019</t>
        </is>
      </c>
      <c r="B735" s="1" t="n">
        <v>43564</v>
      </c>
      <c r="C735" s="1" t="n">
        <v>45843</v>
      </c>
      <c r="D735" t="inlineStr">
        <is>
          <t>SÖDERMANLANDS LÄN</t>
        </is>
      </c>
      <c r="E735" t="inlineStr">
        <is>
          <t>ESKILSTUNA</t>
        </is>
      </c>
      <c r="G735" t="n">
        <v>2.5</v>
      </c>
      <c r="H735" t="n">
        <v>0</v>
      </c>
      <c r="I735" t="n">
        <v>0</v>
      </c>
      <c r="J735" t="n">
        <v>0</v>
      </c>
      <c r="K735" t="n">
        <v>0</v>
      </c>
      <c r="L735" t="n">
        <v>0</v>
      </c>
      <c r="M735" t="n">
        <v>0</v>
      </c>
      <c r="N735" t="n">
        <v>0</v>
      </c>
      <c r="O735" t="n">
        <v>0</v>
      </c>
      <c r="P735" t="n">
        <v>0</v>
      </c>
      <c r="Q735" t="n">
        <v>0</v>
      </c>
      <c r="R735" s="2" t="inlineStr"/>
    </row>
    <row r="736" ht="15" customHeight="1">
      <c r="A736" t="inlineStr">
        <is>
          <t>A 19166-2019</t>
        </is>
      </c>
      <c r="B736" s="1" t="n">
        <v>43564</v>
      </c>
      <c r="C736" s="1" t="n">
        <v>45843</v>
      </c>
      <c r="D736" t="inlineStr">
        <is>
          <t>SÖDERMANLANDS LÄN</t>
        </is>
      </c>
      <c r="E736" t="inlineStr">
        <is>
          <t>GNESTA</t>
        </is>
      </c>
      <c r="G736" t="n">
        <v>1</v>
      </c>
      <c r="H736" t="n">
        <v>0</v>
      </c>
      <c r="I736" t="n">
        <v>0</v>
      </c>
      <c r="J736" t="n">
        <v>0</v>
      </c>
      <c r="K736" t="n">
        <v>0</v>
      </c>
      <c r="L736" t="n">
        <v>0</v>
      </c>
      <c r="M736" t="n">
        <v>0</v>
      </c>
      <c r="N736" t="n">
        <v>0</v>
      </c>
      <c r="O736" t="n">
        <v>0</v>
      </c>
      <c r="P736" t="n">
        <v>0</v>
      </c>
      <c r="Q736" t="n">
        <v>0</v>
      </c>
      <c r="R736" s="2" t="inlineStr"/>
    </row>
    <row r="737" ht="15" customHeight="1">
      <c r="A737" t="inlineStr">
        <is>
          <t>A 19291-2019</t>
        </is>
      </c>
      <c r="B737" s="1" t="n">
        <v>43565</v>
      </c>
      <c r="C737" s="1" t="n">
        <v>45843</v>
      </c>
      <c r="D737" t="inlineStr">
        <is>
          <t>SÖDERMANLANDS LÄN</t>
        </is>
      </c>
      <c r="E737" t="inlineStr">
        <is>
          <t>ESKILSTUNA</t>
        </is>
      </c>
      <c r="G737" t="n">
        <v>0.6</v>
      </c>
      <c r="H737" t="n">
        <v>0</v>
      </c>
      <c r="I737" t="n">
        <v>0</v>
      </c>
      <c r="J737" t="n">
        <v>0</v>
      </c>
      <c r="K737" t="n">
        <v>0</v>
      </c>
      <c r="L737" t="n">
        <v>0</v>
      </c>
      <c r="M737" t="n">
        <v>0</v>
      </c>
      <c r="N737" t="n">
        <v>0</v>
      </c>
      <c r="O737" t="n">
        <v>0</v>
      </c>
      <c r="P737" t="n">
        <v>0</v>
      </c>
      <c r="Q737" t="n">
        <v>0</v>
      </c>
      <c r="R737" s="2" t="inlineStr"/>
    </row>
    <row r="738" ht="15" customHeight="1">
      <c r="A738" t="inlineStr">
        <is>
          <t>A 19374-2019</t>
        </is>
      </c>
      <c r="B738" s="1" t="n">
        <v>43565</v>
      </c>
      <c r="C738" s="1" t="n">
        <v>45843</v>
      </c>
      <c r="D738" t="inlineStr">
        <is>
          <t>SÖDERMANLANDS LÄN</t>
        </is>
      </c>
      <c r="E738" t="inlineStr">
        <is>
          <t>KATRINEHOLM</t>
        </is>
      </c>
      <c r="G738" t="n">
        <v>1.7</v>
      </c>
      <c r="H738" t="n">
        <v>0</v>
      </c>
      <c r="I738" t="n">
        <v>0</v>
      </c>
      <c r="J738" t="n">
        <v>0</v>
      </c>
      <c r="K738" t="n">
        <v>0</v>
      </c>
      <c r="L738" t="n">
        <v>0</v>
      </c>
      <c r="M738" t="n">
        <v>0</v>
      </c>
      <c r="N738" t="n">
        <v>0</v>
      </c>
      <c r="O738" t="n">
        <v>0</v>
      </c>
      <c r="P738" t="n">
        <v>0</v>
      </c>
      <c r="Q738" t="n">
        <v>0</v>
      </c>
      <c r="R738" s="2" t="inlineStr"/>
    </row>
    <row r="739" ht="15" customHeight="1">
      <c r="A739" t="inlineStr">
        <is>
          <t>A 19449-2019</t>
        </is>
      </c>
      <c r="B739" s="1" t="n">
        <v>43565</v>
      </c>
      <c r="C739" s="1" t="n">
        <v>45843</v>
      </c>
      <c r="D739" t="inlineStr">
        <is>
          <t>SÖDERMANLANDS LÄN</t>
        </is>
      </c>
      <c r="E739" t="inlineStr">
        <is>
          <t>VINGÅKER</t>
        </is>
      </c>
      <c r="G739" t="n">
        <v>2.7</v>
      </c>
      <c r="H739" t="n">
        <v>0</v>
      </c>
      <c r="I739" t="n">
        <v>0</v>
      </c>
      <c r="J739" t="n">
        <v>0</v>
      </c>
      <c r="K739" t="n">
        <v>0</v>
      </c>
      <c r="L739" t="n">
        <v>0</v>
      </c>
      <c r="M739" t="n">
        <v>0</v>
      </c>
      <c r="N739" t="n">
        <v>0</v>
      </c>
      <c r="O739" t="n">
        <v>0</v>
      </c>
      <c r="P739" t="n">
        <v>0</v>
      </c>
      <c r="Q739" t="n">
        <v>0</v>
      </c>
      <c r="R739" s="2" t="inlineStr"/>
    </row>
    <row r="740" ht="15" customHeight="1">
      <c r="A740" t="inlineStr">
        <is>
          <t>A 19476-2019</t>
        </is>
      </c>
      <c r="B740" s="1" t="n">
        <v>43565</v>
      </c>
      <c r="C740" s="1" t="n">
        <v>45843</v>
      </c>
      <c r="D740" t="inlineStr">
        <is>
          <t>SÖDERMANLANDS LÄN</t>
        </is>
      </c>
      <c r="E740" t="inlineStr">
        <is>
          <t>NYKÖPING</t>
        </is>
      </c>
      <c r="G740" t="n">
        <v>7.5</v>
      </c>
      <c r="H740" t="n">
        <v>0</v>
      </c>
      <c r="I740" t="n">
        <v>0</v>
      </c>
      <c r="J740" t="n">
        <v>0</v>
      </c>
      <c r="K740" t="n">
        <v>0</v>
      </c>
      <c r="L740" t="n">
        <v>0</v>
      </c>
      <c r="M740" t="n">
        <v>0</v>
      </c>
      <c r="N740" t="n">
        <v>0</v>
      </c>
      <c r="O740" t="n">
        <v>0</v>
      </c>
      <c r="P740" t="n">
        <v>0</v>
      </c>
      <c r="Q740" t="n">
        <v>0</v>
      </c>
      <c r="R740" s="2" t="inlineStr"/>
    </row>
    <row r="741" ht="15" customHeight="1">
      <c r="A741" t="inlineStr">
        <is>
          <t>A 19395-2019</t>
        </is>
      </c>
      <c r="B741" s="1" t="n">
        <v>43565</v>
      </c>
      <c r="C741" s="1" t="n">
        <v>45843</v>
      </c>
      <c r="D741" t="inlineStr">
        <is>
          <t>SÖDERMANLANDS LÄN</t>
        </is>
      </c>
      <c r="E741" t="inlineStr">
        <is>
          <t>FLEN</t>
        </is>
      </c>
      <c r="G741" t="n">
        <v>5.7</v>
      </c>
      <c r="H741" t="n">
        <v>0</v>
      </c>
      <c r="I741" t="n">
        <v>0</v>
      </c>
      <c r="J741" t="n">
        <v>0</v>
      </c>
      <c r="K741" t="n">
        <v>0</v>
      </c>
      <c r="L741" t="n">
        <v>0</v>
      </c>
      <c r="M741" t="n">
        <v>0</v>
      </c>
      <c r="N741" t="n">
        <v>0</v>
      </c>
      <c r="O741" t="n">
        <v>0</v>
      </c>
      <c r="P741" t="n">
        <v>0</v>
      </c>
      <c r="Q741" t="n">
        <v>0</v>
      </c>
      <c r="R741" s="2" t="inlineStr"/>
    </row>
    <row r="742" ht="15" customHeight="1">
      <c r="A742" t="inlineStr">
        <is>
          <t>A 19427-2019</t>
        </is>
      </c>
      <c r="B742" s="1" t="n">
        <v>43565</v>
      </c>
      <c r="C742" s="1" t="n">
        <v>45843</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19511-2019</t>
        </is>
      </c>
      <c r="B743" s="1" t="n">
        <v>43565</v>
      </c>
      <c r="C743" s="1" t="n">
        <v>45843</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19469-2019</t>
        </is>
      </c>
      <c r="B744" s="1" t="n">
        <v>43565</v>
      </c>
      <c r="C744" s="1" t="n">
        <v>45843</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19692-2019</t>
        </is>
      </c>
      <c r="B745" s="1" t="n">
        <v>43566</v>
      </c>
      <c r="C745" s="1" t="n">
        <v>45843</v>
      </c>
      <c r="D745" t="inlineStr">
        <is>
          <t>SÖDERMANLANDS LÄN</t>
        </is>
      </c>
      <c r="E745" t="inlineStr">
        <is>
          <t>NYKÖPING</t>
        </is>
      </c>
      <c r="F745" t="inlineStr">
        <is>
          <t>Kyrkan</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19804-2019</t>
        </is>
      </c>
      <c r="B746" s="1" t="n">
        <v>43566</v>
      </c>
      <c r="C746" s="1" t="n">
        <v>45843</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19874-2019</t>
        </is>
      </c>
      <c r="B747" s="1" t="n">
        <v>43567</v>
      </c>
      <c r="C747" s="1" t="n">
        <v>45843</v>
      </c>
      <c r="D747" t="inlineStr">
        <is>
          <t>SÖDERMANLANDS LÄN</t>
        </is>
      </c>
      <c r="E747" t="inlineStr">
        <is>
          <t>STRÄNGNÄS</t>
        </is>
      </c>
      <c r="G747" t="n">
        <v>12.6</v>
      </c>
      <c r="H747" t="n">
        <v>0</v>
      </c>
      <c r="I747" t="n">
        <v>0</v>
      </c>
      <c r="J747" t="n">
        <v>0</v>
      </c>
      <c r="K747" t="n">
        <v>0</v>
      </c>
      <c r="L747" t="n">
        <v>0</v>
      </c>
      <c r="M747" t="n">
        <v>0</v>
      </c>
      <c r="N747" t="n">
        <v>0</v>
      </c>
      <c r="O747" t="n">
        <v>0</v>
      </c>
      <c r="P747" t="n">
        <v>0</v>
      </c>
      <c r="Q747" t="n">
        <v>0</v>
      </c>
      <c r="R747" s="2" t="inlineStr"/>
    </row>
    <row r="748" ht="15" customHeight="1">
      <c r="A748" t="inlineStr">
        <is>
          <t>A 19834-2019</t>
        </is>
      </c>
      <c r="B748" s="1" t="n">
        <v>43567</v>
      </c>
      <c r="C748" s="1" t="n">
        <v>45843</v>
      </c>
      <c r="D748" t="inlineStr">
        <is>
          <t>SÖDERMANLANDS LÄN</t>
        </is>
      </c>
      <c r="E748" t="inlineStr">
        <is>
          <t>FLEN</t>
        </is>
      </c>
      <c r="G748" t="n">
        <v>7.5</v>
      </c>
      <c r="H748" t="n">
        <v>0</v>
      </c>
      <c r="I748" t="n">
        <v>0</v>
      </c>
      <c r="J748" t="n">
        <v>0</v>
      </c>
      <c r="K748" t="n">
        <v>0</v>
      </c>
      <c r="L748" t="n">
        <v>0</v>
      </c>
      <c r="M748" t="n">
        <v>0</v>
      </c>
      <c r="N748" t="n">
        <v>0</v>
      </c>
      <c r="O748" t="n">
        <v>0</v>
      </c>
      <c r="P748" t="n">
        <v>0</v>
      </c>
      <c r="Q748" t="n">
        <v>0</v>
      </c>
      <c r="R748" s="2" t="inlineStr"/>
    </row>
    <row r="749" ht="15" customHeight="1">
      <c r="A749" t="inlineStr">
        <is>
          <t>A 20179-2019</t>
        </is>
      </c>
      <c r="B749" s="1" t="n">
        <v>43570</v>
      </c>
      <c r="C749" s="1" t="n">
        <v>45843</v>
      </c>
      <c r="D749" t="inlineStr">
        <is>
          <t>SÖDERMANLANDS LÄN</t>
        </is>
      </c>
      <c r="E749" t="inlineStr">
        <is>
          <t>ESKILSTUNA</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20284-2019</t>
        </is>
      </c>
      <c r="B750" s="1" t="n">
        <v>43570</v>
      </c>
      <c r="C750" s="1" t="n">
        <v>45843</v>
      </c>
      <c r="D750" t="inlineStr">
        <is>
          <t>SÖDERMANLANDS LÄN</t>
        </is>
      </c>
      <c r="E750" t="inlineStr">
        <is>
          <t>FLEN</t>
        </is>
      </c>
      <c r="G750" t="n">
        <v>6.5</v>
      </c>
      <c r="H750" t="n">
        <v>0</v>
      </c>
      <c r="I750" t="n">
        <v>0</v>
      </c>
      <c r="J750" t="n">
        <v>0</v>
      </c>
      <c r="K750" t="n">
        <v>0</v>
      </c>
      <c r="L750" t="n">
        <v>0</v>
      </c>
      <c r="M750" t="n">
        <v>0</v>
      </c>
      <c r="N750" t="n">
        <v>0</v>
      </c>
      <c r="O750" t="n">
        <v>0</v>
      </c>
      <c r="P750" t="n">
        <v>0</v>
      </c>
      <c r="Q750" t="n">
        <v>0</v>
      </c>
      <c r="R750" s="2" t="inlineStr"/>
    </row>
    <row r="751" ht="15" customHeight="1">
      <c r="A751" t="inlineStr">
        <is>
          <t>A 20084-2019</t>
        </is>
      </c>
      <c r="B751" s="1" t="n">
        <v>43570</v>
      </c>
      <c r="C751" s="1" t="n">
        <v>45843</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19980-2019</t>
        </is>
      </c>
      <c r="B752" s="1" t="n">
        <v>43570</v>
      </c>
      <c r="C752" s="1" t="n">
        <v>45843</v>
      </c>
      <c r="D752" t="inlineStr">
        <is>
          <t>SÖDERMANLANDS LÄN</t>
        </is>
      </c>
      <c r="E752" t="inlineStr">
        <is>
          <t>NYKÖPING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20081-2019</t>
        </is>
      </c>
      <c r="B753" s="1" t="n">
        <v>43570</v>
      </c>
      <c r="C753" s="1" t="n">
        <v>45843</v>
      </c>
      <c r="D753" t="inlineStr">
        <is>
          <t>SÖDERMANLANDS LÄN</t>
        </is>
      </c>
      <c r="E753" t="inlineStr">
        <is>
          <t>KATRINEHOLM</t>
        </is>
      </c>
      <c r="G753" t="n">
        <v>2.8</v>
      </c>
      <c r="H753" t="n">
        <v>0</v>
      </c>
      <c r="I753" t="n">
        <v>0</v>
      </c>
      <c r="J753" t="n">
        <v>0</v>
      </c>
      <c r="K753" t="n">
        <v>0</v>
      </c>
      <c r="L753" t="n">
        <v>0</v>
      </c>
      <c r="M753" t="n">
        <v>0</v>
      </c>
      <c r="N753" t="n">
        <v>0</v>
      </c>
      <c r="O753" t="n">
        <v>0</v>
      </c>
      <c r="P753" t="n">
        <v>0</v>
      </c>
      <c r="Q753" t="n">
        <v>0</v>
      </c>
      <c r="R753" s="2" t="inlineStr"/>
    </row>
    <row r="754" ht="15" customHeight="1">
      <c r="A754" t="inlineStr">
        <is>
          <t>A 20089-2019</t>
        </is>
      </c>
      <c r="B754" s="1" t="n">
        <v>43570</v>
      </c>
      <c r="C754" s="1" t="n">
        <v>45843</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20529-2019</t>
        </is>
      </c>
      <c r="B755" s="1" t="n">
        <v>43572</v>
      </c>
      <c r="C755" s="1" t="n">
        <v>45843</v>
      </c>
      <c r="D755" t="inlineStr">
        <is>
          <t>SÖDERMANLANDS LÄN</t>
        </is>
      </c>
      <c r="E755" t="inlineStr">
        <is>
          <t>GNESTA</t>
        </is>
      </c>
      <c r="G755" t="n">
        <v>2.8</v>
      </c>
      <c r="H755" t="n">
        <v>0</v>
      </c>
      <c r="I755" t="n">
        <v>0</v>
      </c>
      <c r="J755" t="n">
        <v>0</v>
      </c>
      <c r="K755" t="n">
        <v>0</v>
      </c>
      <c r="L755" t="n">
        <v>0</v>
      </c>
      <c r="M755" t="n">
        <v>0</v>
      </c>
      <c r="N755" t="n">
        <v>0</v>
      </c>
      <c r="O755" t="n">
        <v>0</v>
      </c>
      <c r="P755" t="n">
        <v>0</v>
      </c>
      <c r="Q755" t="n">
        <v>0</v>
      </c>
      <c r="R755" s="2" t="inlineStr"/>
    </row>
    <row r="756" ht="15" customHeight="1">
      <c r="A756" t="inlineStr">
        <is>
          <t>A 20666-2019</t>
        </is>
      </c>
      <c r="B756" s="1" t="n">
        <v>43572</v>
      </c>
      <c r="C756" s="1" t="n">
        <v>45843</v>
      </c>
      <c r="D756" t="inlineStr">
        <is>
          <t>SÖDERMANLANDS LÄN</t>
        </is>
      </c>
      <c r="E756" t="inlineStr">
        <is>
          <t>STRÄNGNÄS</t>
        </is>
      </c>
      <c r="G756" t="n">
        <v>1.4</v>
      </c>
      <c r="H756" t="n">
        <v>0</v>
      </c>
      <c r="I756" t="n">
        <v>0</v>
      </c>
      <c r="J756" t="n">
        <v>0</v>
      </c>
      <c r="K756" t="n">
        <v>0</v>
      </c>
      <c r="L756" t="n">
        <v>0</v>
      </c>
      <c r="M756" t="n">
        <v>0</v>
      </c>
      <c r="N756" t="n">
        <v>0</v>
      </c>
      <c r="O756" t="n">
        <v>0</v>
      </c>
      <c r="P756" t="n">
        <v>0</v>
      </c>
      <c r="Q756" t="n">
        <v>0</v>
      </c>
      <c r="R756" s="2" t="inlineStr"/>
    </row>
    <row r="757" ht="15" customHeight="1">
      <c r="A757" t="inlineStr">
        <is>
          <t>A 20729-2019</t>
        </is>
      </c>
      <c r="B757" s="1" t="n">
        <v>43573</v>
      </c>
      <c r="C757" s="1" t="n">
        <v>45843</v>
      </c>
      <c r="D757" t="inlineStr">
        <is>
          <t>SÖDERMANLANDS LÄN</t>
        </is>
      </c>
      <c r="E757" t="inlineStr">
        <is>
          <t>VINGÅKER</t>
        </is>
      </c>
      <c r="G757" t="n">
        <v>0.9</v>
      </c>
      <c r="H757" t="n">
        <v>0</v>
      </c>
      <c r="I757" t="n">
        <v>0</v>
      </c>
      <c r="J757" t="n">
        <v>0</v>
      </c>
      <c r="K757" t="n">
        <v>0</v>
      </c>
      <c r="L757" t="n">
        <v>0</v>
      </c>
      <c r="M757" t="n">
        <v>0</v>
      </c>
      <c r="N757" t="n">
        <v>0</v>
      </c>
      <c r="O757" t="n">
        <v>0</v>
      </c>
      <c r="P757" t="n">
        <v>0</v>
      </c>
      <c r="Q757" t="n">
        <v>0</v>
      </c>
      <c r="R757" s="2" t="inlineStr"/>
    </row>
    <row r="758" ht="15" customHeight="1">
      <c r="A758" t="inlineStr">
        <is>
          <t>A 21555-2019</t>
        </is>
      </c>
      <c r="B758" s="1" t="n">
        <v>43580</v>
      </c>
      <c r="C758" s="1" t="n">
        <v>45843</v>
      </c>
      <c r="D758" t="inlineStr">
        <is>
          <t>SÖDERMANLANDS LÄN</t>
        </is>
      </c>
      <c r="E758" t="inlineStr">
        <is>
          <t>ESKILSTUNA</t>
        </is>
      </c>
      <c r="G758" t="n">
        <v>3.6</v>
      </c>
      <c r="H758" t="n">
        <v>0</v>
      </c>
      <c r="I758" t="n">
        <v>0</v>
      </c>
      <c r="J758" t="n">
        <v>0</v>
      </c>
      <c r="K758" t="n">
        <v>0</v>
      </c>
      <c r="L758" t="n">
        <v>0</v>
      </c>
      <c r="M758" t="n">
        <v>0</v>
      </c>
      <c r="N758" t="n">
        <v>0</v>
      </c>
      <c r="O758" t="n">
        <v>0</v>
      </c>
      <c r="P758" t="n">
        <v>0</v>
      </c>
      <c r="Q758" t="n">
        <v>0</v>
      </c>
      <c r="R758" s="2" t="inlineStr"/>
    </row>
    <row r="759" ht="15" customHeight="1">
      <c r="A759" t="inlineStr">
        <is>
          <t>A 21575-2019</t>
        </is>
      </c>
      <c r="B759" s="1" t="n">
        <v>43580</v>
      </c>
      <c r="C759" s="1" t="n">
        <v>45843</v>
      </c>
      <c r="D759" t="inlineStr">
        <is>
          <t>SÖDERMANLANDS LÄN</t>
        </is>
      </c>
      <c r="E759" t="inlineStr">
        <is>
          <t>VINGÅKER</t>
        </is>
      </c>
      <c r="G759" t="n">
        <v>2.4</v>
      </c>
      <c r="H759" t="n">
        <v>0</v>
      </c>
      <c r="I759" t="n">
        <v>0</v>
      </c>
      <c r="J759" t="n">
        <v>0</v>
      </c>
      <c r="K759" t="n">
        <v>0</v>
      </c>
      <c r="L759" t="n">
        <v>0</v>
      </c>
      <c r="M759" t="n">
        <v>0</v>
      </c>
      <c r="N759" t="n">
        <v>0</v>
      </c>
      <c r="O759" t="n">
        <v>0</v>
      </c>
      <c r="P759" t="n">
        <v>0</v>
      </c>
      <c r="Q759" t="n">
        <v>0</v>
      </c>
      <c r="R759" s="2" t="inlineStr"/>
    </row>
    <row r="760" ht="15" customHeight="1">
      <c r="A760" t="inlineStr">
        <is>
          <t>A 21632-2019</t>
        </is>
      </c>
      <c r="B760" s="1" t="n">
        <v>43580</v>
      </c>
      <c r="C760" s="1" t="n">
        <v>45843</v>
      </c>
      <c r="D760" t="inlineStr">
        <is>
          <t>SÖDERMANLANDS LÄN</t>
        </is>
      </c>
      <c r="E760" t="inlineStr">
        <is>
          <t>VINGÅKER</t>
        </is>
      </c>
      <c r="G760" t="n">
        <v>4.6</v>
      </c>
      <c r="H760" t="n">
        <v>0</v>
      </c>
      <c r="I760" t="n">
        <v>0</v>
      </c>
      <c r="J760" t="n">
        <v>0</v>
      </c>
      <c r="K760" t="n">
        <v>0</v>
      </c>
      <c r="L760" t="n">
        <v>0</v>
      </c>
      <c r="M760" t="n">
        <v>0</v>
      </c>
      <c r="N760" t="n">
        <v>0</v>
      </c>
      <c r="O760" t="n">
        <v>0</v>
      </c>
      <c r="P760" t="n">
        <v>0</v>
      </c>
      <c r="Q760" t="n">
        <v>0</v>
      </c>
      <c r="R760" s="2" t="inlineStr"/>
    </row>
    <row r="761" ht="15" customHeight="1">
      <c r="A761" t="inlineStr">
        <is>
          <t>A 21472-2019</t>
        </is>
      </c>
      <c r="B761" s="1" t="n">
        <v>43580</v>
      </c>
      <c r="C761" s="1" t="n">
        <v>45843</v>
      </c>
      <c r="D761" t="inlineStr">
        <is>
          <t>SÖDERMANLANDS LÄN</t>
        </is>
      </c>
      <c r="E761" t="inlineStr">
        <is>
          <t>ESKILSTUNA</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21630-2019</t>
        </is>
      </c>
      <c r="B762" s="1" t="n">
        <v>43580</v>
      </c>
      <c r="C762" s="1" t="n">
        <v>45843</v>
      </c>
      <c r="D762" t="inlineStr">
        <is>
          <t>SÖDERMANLANDS LÄN</t>
        </is>
      </c>
      <c r="E762" t="inlineStr">
        <is>
          <t>VINGÅKER</t>
        </is>
      </c>
      <c r="G762" t="n">
        <v>4.2</v>
      </c>
      <c r="H762" t="n">
        <v>0</v>
      </c>
      <c r="I762" t="n">
        <v>0</v>
      </c>
      <c r="J762" t="n">
        <v>0</v>
      </c>
      <c r="K762" t="n">
        <v>0</v>
      </c>
      <c r="L762" t="n">
        <v>0</v>
      </c>
      <c r="M762" t="n">
        <v>0</v>
      </c>
      <c r="N762" t="n">
        <v>0</v>
      </c>
      <c r="O762" t="n">
        <v>0</v>
      </c>
      <c r="P762" t="n">
        <v>0</v>
      </c>
      <c r="Q762" t="n">
        <v>0</v>
      </c>
      <c r="R762" s="2" t="inlineStr"/>
    </row>
    <row r="763" ht="15" customHeight="1">
      <c r="A763" t="inlineStr">
        <is>
          <t>A 21627-2019</t>
        </is>
      </c>
      <c r="B763" s="1" t="n">
        <v>43580</v>
      </c>
      <c r="C763" s="1" t="n">
        <v>45843</v>
      </c>
      <c r="D763" t="inlineStr">
        <is>
          <t>SÖDERMANLANDS LÄN</t>
        </is>
      </c>
      <c r="E763" t="inlineStr">
        <is>
          <t>VINGÅKER</t>
        </is>
      </c>
      <c r="G763" t="n">
        <v>13.1</v>
      </c>
      <c r="H763" t="n">
        <v>0</v>
      </c>
      <c r="I763" t="n">
        <v>0</v>
      </c>
      <c r="J763" t="n">
        <v>0</v>
      </c>
      <c r="K763" t="n">
        <v>0</v>
      </c>
      <c r="L763" t="n">
        <v>0</v>
      </c>
      <c r="M763" t="n">
        <v>0</v>
      </c>
      <c r="N763" t="n">
        <v>0</v>
      </c>
      <c r="O763" t="n">
        <v>0</v>
      </c>
      <c r="P763" t="n">
        <v>0</v>
      </c>
      <c r="Q763" t="n">
        <v>0</v>
      </c>
      <c r="R763" s="2" t="inlineStr"/>
    </row>
    <row r="764" ht="15" customHeight="1">
      <c r="A764" t="inlineStr">
        <is>
          <t>A 21585-2019</t>
        </is>
      </c>
      <c r="B764" s="1" t="n">
        <v>43580</v>
      </c>
      <c r="C764" s="1" t="n">
        <v>45843</v>
      </c>
      <c r="D764" t="inlineStr">
        <is>
          <t>SÖDERMANLANDS LÄN</t>
        </is>
      </c>
      <c r="E764" t="inlineStr">
        <is>
          <t>NYKÖPING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21691-2019</t>
        </is>
      </c>
      <c r="B765" s="1" t="n">
        <v>43581</v>
      </c>
      <c r="C765" s="1" t="n">
        <v>45843</v>
      </c>
      <c r="D765" t="inlineStr">
        <is>
          <t>SÖDERMANLANDS LÄN</t>
        </is>
      </c>
      <c r="E765" t="inlineStr">
        <is>
          <t>GNESTA</t>
        </is>
      </c>
      <c r="G765" t="n">
        <v>1.2</v>
      </c>
      <c r="H765" t="n">
        <v>0</v>
      </c>
      <c r="I765" t="n">
        <v>0</v>
      </c>
      <c r="J765" t="n">
        <v>0</v>
      </c>
      <c r="K765" t="n">
        <v>0</v>
      </c>
      <c r="L765" t="n">
        <v>0</v>
      </c>
      <c r="M765" t="n">
        <v>0</v>
      </c>
      <c r="N765" t="n">
        <v>0</v>
      </c>
      <c r="O765" t="n">
        <v>0</v>
      </c>
      <c r="P765" t="n">
        <v>0</v>
      </c>
      <c r="Q765" t="n">
        <v>0</v>
      </c>
      <c r="R765" s="2" t="inlineStr"/>
    </row>
    <row r="766" ht="15" customHeight="1">
      <c r="A766" t="inlineStr">
        <is>
          <t>A 21994-2019</t>
        </is>
      </c>
      <c r="B766" s="1" t="n">
        <v>43581</v>
      </c>
      <c r="C766" s="1" t="n">
        <v>45843</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21694-2019</t>
        </is>
      </c>
      <c r="B767" s="1" t="n">
        <v>43581</v>
      </c>
      <c r="C767" s="1" t="n">
        <v>45843</v>
      </c>
      <c r="D767" t="inlineStr">
        <is>
          <t>SÖDERMANLANDS LÄN</t>
        </is>
      </c>
      <c r="E767" t="inlineStr">
        <is>
          <t>NYKÖPING</t>
        </is>
      </c>
      <c r="G767" t="n">
        <v>3.4</v>
      </c>
      <c r="H767" t="n">
        <v>0</v>
      </c>
      <c r="I767" t="n">
        <v>0</v>
      </c>
      <c r="J767" t="n">
        <v>0</v>
      </c>
      <c r="K767" t="n">
        <v>0</v>
      </c>
      <c r="L767" t="n">
        <v>0</v>
      </c>
      <c r="M767" t="n">
        <v>0</v>
      </c>
      <c r="N767" t="n">
        <v>0</v>
      </c>
      <c r="O767" t="n">
        <v>0</v>
      </c>
      <c r="P767" t="n">
        <v>0</v>
      </c>
      <c r="Q767" t="n">
        <v>0</v>
      </c>
      <c r="R767" s="2" t="inlineStr"/>
    </row>
    <row r="768" ht="15" customHeight="1">
      <c r="A768" t="inlineStr">
        <is>
          <t>A 22100-2019</t>
        </is>
      </c>
      <c r="B768" s="1" t="n">
        <v>43584</v>
      </c>
      <c r="C768" s="1" t="n">
        <v>45843</v>
      </c>
      <c r="D768" t="inlineStr">
        <is>
          <t>SÖDERMANLANDS LÄN</t>
        </is>
      </c>
      <c r="E768" t="inlineStr">
        <is>
          <t>GNESTA</t>
        </is>
      </c>
      <c r="G768" t="n">
        <v>2.2</v>
      </c>
      <c r="H768" t="n">
        <v>0</v>
      </c>
      <c r="I768" t="n">
        <v>0</v>
      </c>
      <c r="J768" t="n">
        <v>0</v>
      </c>
      <c r="K768" t="n">
        <v>0</v>
      </c>
      <c r="L768" t="n">
        <v>0</v>
      </c>
      <c r="M768" t="n">
        <v>0</v>
      </c>
      <c r="N768" t="n">
        <v>0</v>
      </c>
      <c r="O768" t="n">
        <v>0</v>
      </c>
      <c r="P768" t="n">
        <v>0</v>
      </c>
      <c r="Q768" t="n">
        <v>0</v>
      </c>
      <c r="R768" s="2" t="inlineStr"/>
    </row>
    <row r="769" ht="15" customHeight="1">
      <c r="A769" t="inlineStr">
        <is>
          <t>A 22101-2019</t>
        </is>
      </c>
      <c r="B769" s="1" t="n">
        <v>43584</v>
      </c>
      <c r="C769" s="1" t="n">
        <v>45843</v>
      </c>
      <c r="D769" t="inlineStr">
        <is>
          <t>SÖDERMANLANDS LÄN</t>
        </is>
      </c>
      <c r="E769" t="inlineStr">
        <is>
          <t>GNESTA</t>
        </is>
      </c>
      <c r="G769" t="n">
        <v>1.5</v>
      </c>
      <c r="H769" t="n">
        <v>0</v>
      </c>
      <c r="I769" t="n">
        <v>0</v>
      </c>
      <c r="J769" t="n">
        <v>0</v>
      </c>
      <c r="K769" t="n">
        <v>0</v>
      </c>
      <c r="L769" t="n">
        <v>0</v>
      </c>
      <c r="M769" t="n">
        <v>0</v>
      </c>
      <c r="N769" t="n">
        <v>0</v>
      </c>
      <c r="O769" t="n">
        <v>0</v>
      </c>
      <c r="P769" t="n">
        <v>0</v>
      </c>
      <c r="Q769" t="n">
        <v>0</v>
      </c>
      <c r="R769" s="2" t="inlineStr"/>
    </row>
    <row r="770" ht="15" customHeight="1">
      <c r="A770" t="inlineStr">
        <is>
          <t>A 21920-2019</t>
        </is>
      </c>
      <c r="B770" s="1" t="n">
        <v>43584</v>
      </c>
      <c r="C770" s="1" t="n">
        <v>45843</v>
      </c>
      <c r="D770" t="inlineStr">
        <is>
          <t>SÖDERMANLANDS LÄN</t>
        </is>
      </c>
      <c r="E770" t="inlineStr">
        <is>
          <t>FLEN</t>
        </is>
      </c>
      <c r="G770" t="n">
        <v>6.8</v>
      </c>
      <c r="H770" t="n">
        <v>0</v>
      </c>
      <c r="I770" t="n">
        <v>0</v>
      </c>
      <c r="J770" t="n">
        <v>0</v>
      </c>
      <c r="K770" t="n">
        <v>0</v>
      </c>
      <c r="L770" t="n">
        <v>0</v>
      </c>
      <c r="M770" t="n">
        <v>0</v>
      </c>
      <c r="N770" t="n">
        <v>0</v>
      </c>
      <c r="O770" t="n">
        <v>0</v>
      </c>
      <c r="P770" t="n">
        <v>0</v>
      </c>
      <c r="Q770" t="n">
        <v>0</v>
      </c>
      <c r="R770" s="2" t="inlineStr"/>
    </row>
    <row r="771" ht="15" customHeight="1">
      <c r="A771" t="inlineStr">
        <is>
          <t>A 22217-2019</t>
        </is>
      </c>
      <c r="B771" s="1" t="n">
        <v>43585</v>
      </c>
      <c r="C771" s="1" t="n">
        <v>45843</v>
      </c>
      <c r="D771" t="inlineStr">
        <is>
          <t>SÖDERMANLANDS LÄN</t>
        </is>
      </c>
      <c r="E771" t="inlineStr">
        <is>
          <t>ESKILSTUNA</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22503-2019</t>
        </is>
      </c>
      <c r="B772" s="1" t="n">
        <v>43587</v>
      </c>
      <c r="C772" s="1" t="n">
        <v>45843</v>
      </c>
      <c r="D772" t="inlineStr">
        <is>
          <t>SÖDERMANLANDS LÄN</t>
        </is>
      </c>
      <c r="E772" t="inlineStr">
        <is>
          <t>VINGÅKER</t>
        </is>
      </c>
      <c r="G772" t="n">
        <v>4.1</v>
      </c>
      <c r="H772" t="n">
        <v>0</v>
      </c>
      <c r="I772" t="n">
        <v>0</v>
      </c>
      <c r="J772" t="n">
        <v>0</v>
      </c>
      <c r="K772" t="n">
        <v>0</v>
      </c>
      <c r="L772" t="n">
        <v>0</v>
      </c>
      <c r="M772" t="n">
        <v>0</v>
      </c>
      <c r="N772" t="n">
        <v>0</v>
      </c>
      <c r="O772" t="n">
        <v>0</v>
      </c>
      <c r="P772" t="n">
        <v>0</v>
      </c>
      <c r="Q772" t="n">
        <v>0</v>
      </c>
      <c r="R772" s="2" t="inlineStr"/>
    </row>
    <row r="773" ht="15" customHeight="1">
      <c r="A773" t="inlineStr">
        <is>
          <t>A 22691-2019</t>
        </is>
      </c>
      <c r="B773" s="1" t="n">
        <v>43588</v>
      </c>
      <c r="C773" s="1" t="n">
        <v>45843</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23055-2019</t>
        </is>
      </c>
      <c r="B774" s="1" t="n">
        <v>43591</v>
      </c>
      <c r="C774" s="1" t="n">
        <v>45843</v>
      </c>
      <c r="D774" t="inlineStr">
        <is>
          <t>SÖDERMANLANDS LÄN</t>
        </is>
      </c>
      <c r="E774" t="inlineStr">
        <is>
          <t>NYKÖPING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23053-2019</t>
        </is>
      </c>
      <c r="B775" s="1" t="n">
        <v>43591</v>
      </c>
      <c r="C775" s="1" t="n">
        <v>45843</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22839-2019</t>
        </is>
      </c>
      <c r="B776" s="1" t="n">
        <v>43591</v>
      </c>
      <c r="C776" s="1" t="n">
        <v>45843</v>
      </c>
      <c r="D776" t="inlineStr">
        <is>
          <t>SÖDERMANLANDS LÄN</t>
        </is>
      </c>
      <c r="E776" t="inlineStr">
        <is>
          <t>KATRINEHOLM</t>
        </is>
      </c>
      <c r="G776" t="n">
        <v>4.2</v>
      </c>
      <c r="H776" t="n">
        <v>0</v>
      </c>
      <c r="I776" t="n">
        <v>0</v>
      </c>
      <c r="J776" t="n">
        <v>0</v>
      </c>
      <c r="K776" t="n">
        <v>0</v>
      </c>
      <c r="L776" t="n">
        <v>0</v>
      </c>
      <c r="M776" t="n">
        <v>0</v>
      </c>
      <c r="N776" t="n">
        <v>0</v>
      </c>
      <c r="O776" t="n">
        <v>0</v>
      </c>
      <c r="P776" t="n">
        <v>0</v>
      </c>
      <c r="Q776" t="n">
        <v>0</v>
      </c>
      <c r="R776" s="2" t="inlineStr"/>
    </row>
    <row r="777" ht="15" customHeight="1">
      <c r="A777" t="inlineStr">
        <is>
          <t>A 23265-2019</t>
        </is>
      </c>
      <c r="B777" s="1" t="n">
        <v>43591</v>
      </c>
      <c r="C777" s="1" t="n">
        <v>45843</v>
      </c>
      <c r="D777" t="inlineStr">
        <is>
          <t>SÖDERMANLANDS LÄN</t>
        </is>
      </c>
      <c r="E777" t="inlineStr">
        <is>
          <t>STRÄNGNÄS</t>
        </is>
      </c>
      <c r="G777" t="n">
        <v>12.7</v>
      </c>
      <c r="H777" t="n">
        <v>0</v>
      </c>
      <c r="I777" t="n">
        <v>0</v>
      </c>
      <c r="J777" t="n">
        <v>0</v>
      </c>
      <c r="K777" t="n">
        <v>0</v>
      </c>
      <c r="L777" t="n">
        <v>0</v>
      </c>
      <c r="M777" t="n">
        <v>0</v>
      </c>
      <c r="N777" t="n">
        <v>0</v>
      </c>
      <c r="O777" t="n">
        <v>0</v>
      </c>
      <c r="P777" t="n">
        <v>0</v>
      </c>
      <c r="Q777" t="n">
        <v>0</v>
      </c>
      <c r="R777" s="2" t="inlineStr"/>
    </row>
    <row r="778" ht="15" customHeight="1">
      <c r="A778" t="inlineStr">
        <is>
          <t>A 23244-2019</t>
        </is>
      </c>
      <c r="B778" s="1" t="n">
        <v>43592</v>
      </c>
      <c r="C778" s="1" t="n">
        <v>45843</v>
      </c>
      <c r="D778" t="inlineStr">
        <is>
          <t>SÖDERMANLANDS LÄN</t>
        </is>
      </c>
      <c r="E778" t="inlineStr">
        <is>
          <t>VINGÅKER</t>
        </is>
      </c>
      <c r="F778" t="inlineStr">
        <is>
          <t>Kyrkan</t>
        </is>
      </c>
      <c r="G778" t="n">
        <v>2.9</v>
      </c>
      <c r="H778" t="n">
        <v>0</v>
      </c>
      <c r="I778" t="n">
        <v>0</v>
      </c>
      <c r="J778" t="n">
        <v>0</v>
      </c>
      <c r="K778" t="n">
        <v>0</v>
      </c>
      <c r="L778" t="n">
        <v>0</v>
      </c>
      <c r="M778" t="n">
        <v>0</v>
      </c>
      <c r="N778" t="n">
        <v>0</v>
      </c>
      <c r="O778" t="n">
        <v>0</v>
      </c>
      <c r="P778" t="n">
        <v>0</v>
      </c>
      <c r="Q778" t="n">
        <v>0</v>
      </c>
      <c r="R778" s="2" t="inlineStr"/>
    </row>
    <row r="779" ht="15" customHeight="1">
      <c r="A779" t="inlineStr">
        <is>
          <t>A 23267-2019</t>
        </is>
      </c>
      <c r="B779" s="1" t="n">
        <v>43592</v>
      </c>
      <c r="C779" s="1" t="n">
        <v>45843</v>
      </c>
      <c r="D779" t="inlineStr">
        <is>
          <t>SÖDERMANLANDS LÄN</t>
        </is>
      </c>
      <c r="E779" t="inlineStr">
        <is>
          <t>STRÄNGNÄS</t>
        </is>
      </c>
      <c r="G779" t="n">
        <v>12.1</v>
      </c>
      <c r="H779" t="n">
        <v>0</v>
      </c>
      <c r="I779" t="n">
        <v>0</v>
      </c>
      <c r="J779" t="n">
        <v>0</v>
      </c>
      <c r="K779" t="n">
        <v>0</v>
      </c>
      <c r="L779" t="n">
        <v>0</v>
      </c>
      <c r="M779" t="n">
        <v>0</v>
      </c>
      <c r="N779" t="n">
        <v>0</v>
      </c>
      <c r="O779" t="n">
        <v>0</v>
      </c>
      <c r="P779" t="n">
        <v>0</v>
      </c>
      <c r="Q779" t="n">
        <v>0</v>
      </c>
      <c r="R779" s="2" t="inlineStr"/>
    </row>
    <row r="780" ht="15" customHeight="1">
      <c r="A780" t="inlineStr">
        <is>
          <t>A 23506-2019</t>
        </is>
      </c>
      <c r="B780" s="1" t="n">
        <v>43593</v>
      </c>
      <c r="C780" s="1" t="n">
        <v>45843</v>
      </c>
      <c r="D780" t="inlineStr">
        <is>
          <t>SÖDERMANLANDS LÄN</t>
        </is>
      </c>
      <c r="E780" t="inlineStr">
        <is>
          <t>GNESTA</t>
        </is>
      </c>
      <c r="G780" t="n">
        <v>7.7</v>
      </c>
      <c r="H780" t="n">
        <v>0</v>
      </c>
      <c r="I780" t="n">
        <v>0</v>
      </c>
      <c r="J780" t="n">
        <v>0</v>
      </c>
      <c r="K780" t="n">
        <v>0</v>
      </c>
      <c r="L780" t="n">
        <v>0</v>
      </c>
      <c r="M780" t="n">
        <v>0</v>
      </c>
      <c r="N780" t="n">
        <v>0</v>
      </c>
      <c r="O780" t="n">
        <v>0</v>
      </c>
      <c r="P780" t="n">
        <v>0</v>
      </c>
      <c r="Q780" t="n">
        <v>0</v>
      </c>
      <c r="R780" s="2" t="inlineStr"/>
    </row>
    <row r="781" ht="15" customHeight="1">
      <c r="A781" t="inlineStr">
        <is>
          <t>A 23679-2019</t>
        </is>
      </c>
      <c r="B781" s="1" t="n">
        <v>43594</v>
      </c>
      <c r="C781" s="1" t="n">
        <v>45843</v>
      </c>
      <c r="D781" t="inlineStr">
        <is>
          <t>SÖDERMANLANDS LÄN</t>
        </is>
      </c>
      <c r="E781" t="inlineStr">
        <is>
          <t>KATRINEHOLM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23553-2019</t>
        </is>
      </c>
      <c r="B782" s="1" t="n">
        <v>43594</v>
      </c>
      <c r="C782" s="1" t="n">
        <v>45843</v>
      </c>
      <c r="D782" t="inlineStr">
        <is>
          <t>SÖDERMANLANDS LÄN</t>
        </is>
      </c>
      <c r="E782" t="inlineStr">
        <is>
          <t>NYKÖPING</t>
        </is>
      </c>
      <c r="F782" t="inlineStr">
        <is>
          <t>Sveaskog</t>
        </is>
      </c>
      <c r="G782" t="n">
        <v>3.9</v>
      </c>
      <c r="H782" t="n">
        <v>0</v>
      </c>
      <c r="I782" t="n">
        <v>0</v>
      </c>
      <c r="J782" t="n">
        <v>0</v>
      </c>
      <c r="K782" t="n">
        <v>0</v>
      </c>
      <c r="L782" t="n">
        <v>0</v>
      </c>
      <c r="M782" t="n">
        <v>0</v>
      </c>
      <c r="N782" t="n">
        <v>0</v>
      </c>
      <c r="O782" t="n">
        <v>0</v>
      </c>
      <c r="P782" t="n">
        <v>0</v>
      </c>
      <c r="Q782" t="n">
        <v>0</v>
      </c>
      <c r="R782" s="2" t="inlineStr"/>
    </row>
    <row r="783" ht="15" customHeight="1">
      <c r="A783" t="inlineStr">
        <is>
          <t>A 23769-2019</t>
        </is>
      </c>
      <c r="B783" s="1" t="n">
        <v>43595</v>
      </c>
      <c r="C783" s="1" t="n">
        <v>45843</v>
      </c>
      <c r="D783" t="inlineStr">
        <is>
          <t>SÖDERMANLANDS LÄN</t>
        </is>
      </c>
      <c r="E783" t="inlineStr">
        <is>
          <t>ESKILSTUNA</t>
        </is>
      </c>
      <c r="G783" t="n">
        <v>1</v>
      </c>
      <c r="H783" t="n">
        <v>0</v>
      </c>
      <c r="I783" t="n">
        <v>0</v>
      </c>
      <c r="J783" t="n">
        <v>0</v>
      </c>
      <c r="K783" t="n">
        <v>0</v>
      </c>
      <c r="L783" t="n">
        <v>0</v>
      </c>
      <c r="M783" t="n">
        <v>0</v>
      </c>
      <c r="N783" t="n">
        <v>0</v>
      </c>
      <c r="O783" t="n">
        <v>0</v>
      </c>
      <c r="P783" t="n">
        <v>0</v>
      </c>
      <c r="Q783" t="n">
        <v>0</v>
      </c>
      <c r="R783" s="2" t="inlineStr"/>
    </row>
    <row r="784" ht="15" customHeight="1">
      <c r="A784" t="inlineStr">
        <is>
          <t>A 24069-2019</t>
        </is>
      </c>
      <c r="B784" s="1" t="n">
        <v>43598</v>
      </c>
      <c r="C784" s="1" t="n">
        <v>45843</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24368-2019</t>
        </is>
      </c>
      <c r="B785" s="1" t="n">
        <v>43599</v>
      </c>
      <c r="C785" s="1" t="n">
        <v>45843</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24192-2019</t>
        </is>
      </c>
      <c r="B786" s="1" t="n">
        <v>43599</v>
      </c>
      <c r="C786" s="1" t="n">
        <v>45843</v>
      </c>
      <c r="D786" t="inlineStr">
        <is>
          <t>SÖDERMANLANDS LÄN</t>
        </is>
      </c>
      <c r="E786" t="inlineStr">
        <is>
          <t>KATRINEHOLM</t>
        </is>
      </c>
      <c r="G786" t="n">
        <v>4</v>
      </c>
      <c r="H786" t="n">
        <v>0</v>
      </c>
      <c r="I786" t="n">
        <v>0</v>
      </c>
      <c r="J786" t="n">
        <v>0</v>
      </c>
      <c r="K786" t="n">
        <v>0</v>
      </c>
      <c r="L786" t="n">
        <v>0</v>
      </c>
      <c r="M786" t="n">
        <v>0</v>
      </c>
      <c r="N786" t="n">
        <v>0</v>
      </c>
      <c r="O786" t="n">
        <v>0</v>
      </c>
      <c r="P786" t="n">
        <v>0</v>
      </c>
      <c r="Q786" t="n">
        <v>0</v>
      </c>
      <c r="R786" s="2" t="inlineStr"/>
    </row>
    <row r="787" ht="15" customHeight="1">
      <c r="A787" t="inlineStr">
        <is>
          <t>A 24622-2019</t>
        </is>
      </c>
      <c r="B787" s="1" t="n">
        <v>43601</v>
      </c>
      <c r="C787" s="1" t="n">
        <v>45843</v>
      </c>
      <c r="D787" t="inlineStr">
        <is>
          <t>SÖDERMANLANDS LÄN</t>
        </is>
      </c>
      <c r="E787" t="inlineStr">
        <is>
          <t>NYKÖPING</t>
        </is>
      </c>
      <c r="G787" t="n">
        <v>6.9</v>
      </c>
      <c r="H787" t="n">
        <v>0</v>
      </c>
      <c r="I787" t="n">
        <v>0</v>
      </c>
      <c r="J787" t="n">
        <v>0</v>
      </c>
      <c r="K787" t="n">
        <v>0</v>
      </c>
      <c r="L787" t="n">
        <v>0</v>
      </c>
      <c r="M787" t="n">
        <v>0</v>
      </c>
      <c r="N787" t="n">
        <v>0</v>
      </c>
      <c r="O787" t="n">
        <v>0</v>
      </c>
      <c r="P787" t="n">
        <v>0</v>
      </c>
      <c r="Q787" t="n">
        <v>0</v>
      </c>
      <c r="R787" s="2" t="inlineStr"/>
    </row>
    <row r="788" ht="15" customHeight="1">
      <c r="A788" t="inlineStr">
        <is>
          <t>A 24616-2019</t>
        </is>
      </c>
      <c r="B788" s="1" t="n">
        <v>43601</v>
      </c>
      <c r="C788" s="1" t="n">
        <v>45843</v>
      </c>
      <c r="D788" t="inlineStr">
        <is>
          <t>SÖDERMANLANDS LÄN</t>
        </is>
      </c>
      <c r="E788" t="inlineStr">
        <is>
          <t>NYKÖPING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25195-2019</t>
        </is>
      </c>
      <c r="B789" s="1" t="n">
        <v>43605</v>
      </c>
      <c r="C789" s="1" t="n">
        <v>45843</v>
      </c>
      <c r="D789" t="inlineStr">
        <is>
          <t>SÖDERMANLANDS LÄN</t>
        </is>
      </c>
      <c r="E789" t="inlineStr">
        <is>
          <t>KATRINEHOLM</t>
        </is>
      </c>
      <c r="F789" t="inlineStr">
        <is>
          <t>Kommuner</t>
        </is>
      </c>
      <c r="G789" t="n">
        <v>1.6</v>
      </c>
      <c r="H789" t="n">
        <v>0</v>
      </c>
      <c r="I789" t="n">
        <v>0</v>
      </c>
      <c r="J789" t="n">
        <v>0</v>
      </c>
      <c r="K789" t="n">
        <v>0</v>
      </c>
      <c r="L789" t="n">
        <v>0</v>
      </c>
      <c r="M789" t="n">
        <v>0</v>
      </c>
      <c r="N789" t="n">
        <v>0</v>
      </c>
      <c r="O789" t="n">
        <v>0</v>
      </c>
      <c r="P789" t="n">
        <v>0</v>
      </c>
      <c r="Q789" t="n">
        <v>0</v>
      </c>
      <c r="R789" s="2" t="inlineStr"/>
    </row>
    <row r="790" ht="15" customHeight="1">
      <c r="A790" t="inlineStr">
        <is>
          <t>A 25294-2019</t>
        </is>
      </c>
      <c r="B790" s="1" t="n">
        <v>43605</v>
      </c>
      <c r="C790" s="1" t="n">
        <v>45843</v>
      </c>
      <c r="D790" t="inlineStr">
        <is>
          <t>SÖDERMANLANDS LÄN</t>
        </is>
      </c>
      <c r="E790" t="inlineStr">
        <is>
          <t>GNESTA</t>
        </is>
      </c>
      <c r="F790" t="inlineStr">
        <is>
          <t>Kommuner</t>
        </is>
      </c>
      <c r="G790" t="n">
        <v>4.1</v>
      </c>
      <c r="H790" t="n">
        <v>0</v>
      </c>
      <c r="I790" t="n">
        <v>0</v>
      </c>
      <c r="J790" t="n">
        <v>0</v>
      </c>
      <c r="K790" t="n">
        <v>0</v>
      </c>
      <c r="L790" t="n">
        <v>0</v>
      </c>
      <c r="M790" t="n">
        <v>0</v>
      </c>
      <c r="N790" t="n">
        <v>0</v>
      </c>
      <c r="O790" t="n">
        <v>0</v>
      </c>
      <c r="P790" t="n">
        <v>0</v>
      </c>
      <c r="Q790" t="n">
        <v>0</v>
      </c>
      <c r="R790" s="2" t="inlineStr"/>
    </row>
    <row r="791" ht="15" customHeight="1">
      <c r="A791" t="inlineStr">
        <is>
          <t>A 26460-2019</t>
        </is>
      </c>
      <c r="B791" s="1" t="n">
        <v>43606</v>
      </c>
      <c r="C791" s="1" t="n">
        <v>45843</v>
      </c>
      <c r="D791" t="inlineStr">
        <is>
          <t>SÖDERMANLANDS LÄN</t>
        </is>
      </c>
      <c r="E791" t="inlineStr">
        <is>
          <t>VINGÅKER</t>
        </is>
      </c>
      <c r="G791" t="n">
        <v>2.8</v>
      </c>
      <c r="H791" t="n">
        <v>0</v>
      </c>
      <c r="I791" t="n">
        <v>0</v>
      </c>
      <c r="J791" t="n">
        <v>0</v>
      </c>
      <c r="K791" t="n">
        <v>0</v>
      </c>
      <c r="L791" t="n">
        <v>0</v>
      </c>
      <c r="M791" t="n">
        <v>0</v>
      </c>
      <c r="N791" t="n">
        <v>0</v>
      </c>
      <c r="O791" t="n">
        <v>0</v>
      </c>
      <c r="P791" t="n">
        <v>0</v>
      </c>
      <c r="Q791" t="n">
        <v>0</v>
      </c>
      <c r="R791" s="2" t="inlineStr"/>
    </row>
    <row r="792" ht="15" customHeight="1">
      <c r="A792" t="inlineStr">
        <is>
          <t>A 25570-2019</t>
        </is>
      </c>
      <c r="B792" s="1" t="n">
        <v>43607</v>
      </c>
      <c r="C792" s="1" t="n">
        <v>45843</v>
      </c>
      <c r="D792" t="inlineStr">
        <is>
          <t>SÖDERMANLANDS LÄN</t>
        </is>
      </c>
      <c r="E792" t="inlineStr">
        <is>
          <t>KATRINEHOLM</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25805-2019</t>
        </is>
      </c>
      <c r="B793" s="1" t="n">
        <v>43608</v>
      </c>
      <c r="C793" s="1" t="n">
        <v>45843</v>
      </c>
      <c r="D793" t="inlineStr">
        <is>
          <t>SÖDERMANLANDS LÄN</t>
        </is>
      </c>
      <c r="E793" t="inlineStr">
        <is>
          <t>VINGÅKER</t>
        </is>
      </c>
      <c r="G793" t="n">
        <v>6.6</v>
      </c>
      <c r="H793" t="n">
        <v>0</v>
      </c>
      <c r="I793" t="n">
        <v>0</v>
      </c>
      <c r="J793" t="n">
        <v>0</v>
      </c>
      <c r="K793" t="n">
        <v>0</v>
      </c>
      <c r="L793" t="n">
        <v>0</v>
      </c>
      <c r="M793" t="n">
        <v>0</v>
      </c>
      <c r="N793" t="n">
        <v>0</v>
      </c>
      <c r="O793" t="n">
        <v>0</v>
      </c>
      <c r="P793" t="n">
        <v>0</v>
      </c>
      <c r="Q793" t="n">
        <v>0</v>
      </c>
      <c r="R793" s="2" t="inlineStr"/>
    </row>
    <row r="794" ht="15" customHeight="1">
      <c r="A794" t="inlineStr">
        <is>
          <t>A 25807-2019</t>
        </is>
      </c>
      <c r="B794" s="1" t="n">
        <v>43608</v>
      </c>
      <c r="C794" s="1" t="n">
        <v>45843</v>
      </c>
      <c r="D794" t="inlineStr">
        <is>
          <t>SÖDERMANLANDS LÄN</t>
        </is>
      </c>
      <c r="E794" t="inlineStr">
        <is>
          <t>VINGÅKER</t>
        </is>
      </c>
      <c r="G794" t="n">
        <v>0.5</v>
      </c>
      <c r="H794" t="n">
        <v>0</v>
      </c>
      <c r="I794" t="n">
        <v>0</v>
      </c>
      <c r="J794" t="n">
        <v>0</v>
      </c>
      <c r="K794" t="n">
        <v>0</v>
      </c>
      <c r="L794" t="n">
        <v>0</v>
      </c>
      <c r="M794" t="n">
        <v>0</v>
      </c>
      <c r="N794" t="n">
        <v>0</v>
      </c>
      <c r="O794" t="n">
        <v>0</v>
      </c>
      <c r="P794" t="n">
        <v>0</v>
      </c>
      <c r="Q794" t="n">
        <v>0</v>
      </c>
      <c r="R794" s="2" t="inlineStr"/>
    </row>
    <row r="795" ht="15" customHeight="1">
      <c r="A795" t="inlineStr">
        <is>
          <t>A 25802-2019</t>
        </is>
      </c>
      <c r="B795" s="1" t="n">
        <v>43608</v>
      </c>
      <c r="C795" s="1" t="n">
        <v>45843</v>
      </c>
      <c r="D795" t="inlineStr">
        <is>
          <t>SÖDERMANLANDS LÄN</t>
        </is>
      </c>
      <c r="E795" t="inlineStr">
        <is>
          <t>VINGÅKER</t>
        </is>
      </c>
      <c r="G795" t="n">
        <v>20.2</v>
      </c>
      <c r="H795" t="n">
        <v>0</v>
      </c>
      <c r="I795" t="n">
        <v>0</v>
      </c>
      <c r="J795" t="n">
        <v>0</v>
      </c>
      <c r="K795" t="n">
        <v>0</v>
      </c>
      <c r="L795" t="n">
        <v>0</v>
      </c>
      <c r="M795" t="n">
        <v>0</v>
      </c>
      <c r="N795" t="n">
        <v>0</v>
      </c>
      <c r="O795" t="n">
        <v>0</v>
      </c>
      <c r="P795" t="n">
        <v>0</v>
      </c>
      <c r="Q795" t="n">
        <v>0</v>
      </c>
      <c r="R795" s="2" t="inlineStr"/>
    </row>
    <row r="796" ht="15" customHeight="1">
      <c r="A796" t="inlineStr">
        <is>
          <t>A 26873-2019</t>
        </is>
      </c>
      <c r="B796" s="1" t="n">
        <v>43608</v>
      </c>
      <c r="C796" s="1" t="n">
        <v>45843</v>
      </c>
      <c r="D796" t="inlineStr">
        <is>
          <t>SÖDERMANLANDS LÄN</t>
        </is>
      </c>
      <c r="E796" t="inlineStr">
        <is>
          <t>VINGÅKER</t>
        </is>
      </c>
      <c r="G796" t="n">
        <v>5.4</v>
      </c>
      <c r="H796" t="n">
        <v>0</v>
      </c>
      <c r="I796" t="n">
        <v>0</v>
      </c>
      <c r="J796" t="n">
        <v>0</v>
      </c>
      <c r="K796" t="n">
        <v>0</v>
      </c>
      <c r="L796" t="n">
        <v>0</v>
      </c>
      <c r="M796" t="n">
        <v>0</v>
      </c>
      <c r="N796" t="n">
        <v>0</v>
      </c>
      <c r="O796" t="n">
        <v>0</v>
      </c>
      <c r="P796" t="n">
        <v>0</v>
      </c>
      <c r="Q796" t="n">
        <v>0</v>
      </c>
      <c r="R796" s="2" t="inlineStr"/>
    </row>
    <row r="797" ht="15" customHeight="1">
      <c r="A797" t="inlineStr">
        <is>
          <t>A 25936-2019</t>
        </is>
      </c>
      <c r="B797" s="1" t="n">
        <v>43608</v>
      </c>
      <c r="C797" s="1" t="n">
        <v>45843</v>
      </c>
      <c r="D797" t="inlineStr">
        <is>
          <t>SÖDERMANLANDS LÄN</t>
        </is>
      </c>
      <c r="E797" t="inlineStr">
        <is>
          <t>KATRINEHOLM</t>
        </is>
      </c>
      <c r="F797" t="inlineStr">
        <is>
          <t>Övriga Aktiebolag</t>
        </is>
      </c>
      <c r="G797" t="n">
        <v>1.4</v>
      </c>
      <c r="H797" t="n">
        <v>0</v>
      </c>
      <c r="I797" t="n">
        <v>0</v>
      </c>
      <c r="J797" t="n">
        <v>0</v>
      </c>
      <c r="K797" t="n">
        <v>0</v>
      </c>
      <c r="L797" t="n">
        <v>0</v>
      </c>
      <c r="M797" t="n">
        <v>0</v>
      </c>
      <c r="N797" t="n">
        <v>0</v>
      </c>
      <c r="O797" t="n">
        <v>0</v>
      </c>
      <c r="P797" t="n">
        <v>0</v>
      </c>
      <c r="Q797" t="n">
        <v>0</v>
      </c>
      <c r="R797" s="2" t="inlineStr"/>
    </row>
    <row r="798" ht="15" customHeight="1">
      <c r="A798" t="inlineStr">
        <is>
          <t>A 26339-2019</t>
        </is>
      </c>
      <c r="B798" s="1" t="n">
        <v>43612</v>
      </c>
      <c r="C798" s="1" t="n">
        <v>45843</v>
      </c>
      <c r="D798" t="inlineStr">
        <is>
          <t>SÖDERMANLANDS LÄN</t>
        </is>
      </c>
      <c r="E798" t="inlineStr">
        <is>
          <t>KATRINEHOLM</t>
        </is>
      </c>
      <c r="G798" t="n">
        <v>1</v>
      </c>
      <c r="H798" t="n">
        <v>0</v>
      </c>
      <c r="I798" t="n">
        <v>0</v>
      </c>
      <c r="J798" t="n">
        <v>0</v>
      </c>
      <c r="K798" t="n">
        <v>0</v>
      </c>
      <c r="L798" t="n">
        <v>0</v>
      </c>
      <c r="M798" t="n">
        <v>0</v>
      </c>
      <c r="N798" t="n">
        <v>0</v>
      </c>
      <c r="O798" t="n">
        <v>0</v>
      </c>
      <c r="P798" t="n">
        <v>0</v>
      </c>
      <c r="Q798" t="n">
        <v>0</v>
      </c>
      <c r="R798" s="2" t="inlineStr"/>
    </row>
    <row r="799" ht="15" customHeight="1">
      <c r="A799" t="inlineStr">
        <is>
          <t>A 26532-2019</t>
        </is>
      </c>
      <c r="B799" s="1" t="n">
        <v>43612</v>
      </c>
      <c r="C799" s="1" t="n">
        <v>45843</v>
      </c>
      <c r="D799" t="inlineStr">
        <is>
          <t>SÖDERMANLANDS LÄN</t>
        </is>
      </c>
      <c r="E799" t="inlineStr">
        <is>
          <t>KATRINEHOLM</t>
        </is>
      </c>
      <c r="G799" t="n">
        <v>4.2</v>
      </c>
      <c r="H799" t="n">
        <v>0</v>
      </c>
      <c r="I799" t="n">
        <v>0</v>
      </c>
      <c r="J799" t="n">
        <v>0</v>
      </c>
      <c r="K799" t="n">
        <v>0</v>
      </c>
      <c r="L799" t="n">
        <v>0</v>
      </c>
      <c r="M799" t="n">
        <v>0</v>
      </c>
      <c r="N799" t="n">
        <v>0</v>
      </c>
      <c r="O799" t="n">
        <v>0</v>
      </c>
      <c r="P799" t="n">
        <v>0</v>
      </c>
      <c r="Q799" t="n">
        <v>0</v>
      </c>
      <c r="R799" s="2" t="inlineStr"/>
    </row>
    <row r="800" ht="15" customHeight="1">
      <c r="A800" t="inlineStr">
        <is>
          <t>A 27951-2019</t>
        </is>
      </c>
      <c r="B800" s="1" t="n">
        <v>43612</v>
      </c>
      <c r="C800" s="1" t="n">
        <v>45843</v>
      </c>
      <c r="D800" t="inlineStr">
        <is>
          <t>SÖDERMANLANDS LÄN</t>
        </is>
      </c>
      <c r="E800" t="inlineStr">
        <is>
          <t>STRÄNGNÄS</t>
        </is>
      </c>
      <c r="G800" t="n">
        <v>4.9</v>
      </c>
      <c r="H800" t="n">
        <v>0</v>
      </c>
      <c r="I800" t="n">
        <v>0</v>
      </c>
      <c r="J800" t="n">
        <v>0</v>
      </c>
      <c r="K800" t="n">
        <v>0</v>
      </c>
      <c r="L800" t="n">
        <v>0</v>
      </c>
      <c r="M800" t="n">
        <v>0</v>
      </c>
      <c r="N800" t="n">
        <v>0</v>
      </c>
      <c r="O800" t="n">
        <v>0</v>
      </c>
      <c r="P800" t="n">
        <v>0</v>
      </c>
      <c r="Q800" t="n">
        <v>0</v>
      </c>
      <c r="R800" s="2" t="inlineStr"/>
    </row>
    <row r="801" ht="15" customHeight="1">
      <c r="A801" t="inlineStr">
        <is>
          <t>A 26542-2019</t>
        </is>
      </c>
      <c r="B801" s="1" t="n">
        <v>43612</v>
      </c>
      <c r="C801" s="1" t="n">
        <v>45843</v>
      </c>
      <c r="D801" t="inlineStr">
        <is>
          <t>SÖDERMANLANDS LÄN</t>
        </is>
      </c>
      <c r="E801" t="inlineStr">
        <is>
          <t>NYKÖPING</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26848-2019</t>
        </is>
      </c>
      <c r="B802" s="1" t="n">
        <v>43613</v>
      </c>
      <c r="C802" s="1" t="n">
        <v>45843</v>
      </c>
      <c r="D802" t="inlineStr">
        <is>
          <t>SÖDERMANLANDS LÄN</t>
        </is>
      </c>
      <c r="E802" t="inlineStr">
        <is>
          <t>VINGÅKER</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28673-2019</t>
        </is>
      </c>
      <c r="B803" s="1" t="n">
        <v>43614</v>
      </c>
      <c r="C803" s="1" t="n">
        <v>45843</v>
      </c>
      <c r="D803" t="inlineStr">
        <is>
          <t>SÖDERMANLANDS LÄN</t>
        </is>
      </c>
      <c r="E803" t="inlineStr">
        <is>
          <t>KATRINEHOLM</t>
        </is>
      </c>
      <c r="F803" t="inlineStr">
        <is>
          <t>Allmännings- och besparingsskogar</t>
        </is>
      </c>
      <c r="G803" t="n">
        <v>1.3</v>
      </c>
      <c r="H803" t="n">
        <v>0</v>
      </c>
      <c r="I803" t="n">
        <v>0</v>
      </c>
      <c r="J803" t="n">
        <v>0</v>
      </c>
      <c r="K803" t="n">
        <v>0</v>
      </c>
      <c r="L803" t="n">
        <v>0</v>
      </c>
      <c r="M803" t="n">
        <v>0</v>
      </c>
      <c r="N803" t="n">
        <v>0</v>
      </c>
      <c r="O803" t="n">
        <v>0</v>
      </c>
      <c r="P803" t="n">
        <v>0</v>
      </c>
      <c r="Q803" t="n">
        <v>0</v>
      </c>
      <c r="R803" s="2" t="inlineStr"/>
    </row>
    <row r="804" ht="15" customHeight="1">
      <c r="A804" t="inlineStr">
        <is>
          <t>A 27151-2019</t>
        </is>
      </c>
      <c r="B804" s="1" t="n">
        <v>43614</v>
      </c>
      <c r="C804" s="1" t="n">
        <v>45843</v>
      </c>
      <c r="D804" t="inlineStr">
        <is>
          <t>SÖDERMANLANDS LÄN</t>
        </is>
      </c>
      <c r="E804" t="inlineStr">
        <is>
          <t>ESKILSTUNA</t>
        </is>
      </c>
      <c r="F804" t="inlineStr">
        <is>
          <t>Allmännings- och besparingsskogar</t>
        </is>
      </c>
      <c r="G804" t="n">
        <v>2.2</v>
      </c>
      <c r="H804" t="n">
        <v>0</v>
      </c>
      <c r="I804" t="n">
        <v>0</v>
      </c>
      <c r="J804" t="n">
        <v>0</v>
      </c>
      <c r="K804" t="n">
        <v>0</v>
      </c>
      <c r="L804" t="n">
        <v>0</v>
      </c>
      <c r="M804" t="n">
        <v>0</v>
      </c>
      <c r="N804" t="n">
        <v>0</v>
      </c>
      <c r="O804" t="n">
        <v>0</v>
      </c>
      <c r="P804" t="n">
        <v>0</v>
      </c>
      <c r="Q804" t="n">
        <v>0</v>
      </c>
      <c r="R804" s="2" t="inlineStr"/>
    </row>
    <row r="805" ht="15" customHeight="1">
      <c r="A805" t="inlineStr">
        <is>
          <t>A 28911-2019</t>
        </is>
      </c>
      <c r="B805" s="1" t="n">
        <v>43616</v>
      </c>
      <c r="C805" s="1" t="n">
        <v>45843</v>
      </c>
      <c r="D805" t="inlineStr">
        <is>
          <t>SÖDERMANLANDS LÄN</t>
        </is>
      </c>
      <c r="E805" t="inlineStr">
        <is>
          <t>FLEN</t>
        </is>
      </c>
      <c r="G805" t="n">
        <v>3.4</v>
      </c>
      <c r="H805" t="n">
        <v>0</v>
      </c>
      <c r="I805" t="n">
        <v>0</v>
      </c>
      <c r="J805" t="n">
        <v>0</v>
      </c>
      <c r="K805" t="n">
        <v>0</v>
      </c>
      <c r="L805" t="n">
        <v>0</v>
      </c>
      <c r="M805" t="n">
        <v>0</v>
      </c>
      <c r="N805" t="n">
        <v>0</v>
      </c>
      <c r="O805" t="n">
        <v>0</v>
      </c>
      <c r="P805" t="n">
        <v>0</v>
      </c>
      <c r="Q805" t="n">
        <v>0</v>
      </c>
      <c r="R805" s="2" t="inlineStr"/>
    </row>
    <row r="806" ht="15" customHeight="1">
      <c r="A806" t="inlineStr">
        <is>
          <t>A 27620-2019</t>
        </is>
      </c>
      <c r="B806" s="1" t="n">
        <v>43619</v>
      </c>
      <c r="C806" s="1" t="n">
        <v>45843</v>
      </c>
      <c r="D806" t="inlineStr">
        <is>
          <t>SÖDERMANLANDS LÄN</t>
        </is>
      </c>
      <c r="E806" t="inlineStr">
        <is>
          <t>ESKILSTUNA</t>
        </is>
      </c>
      <c r="G806" t="n">
        <v>0.5</v>
      </c>
      <c r="H806" t="n">
        <v>0</v>
      </c>
      <c r="I806" t="n">
        <v>0</v>
      </c>
      <c r="J806" t="n">
        <v>0</v>
      </c>
      <c r="K806" t="n">
        <v>0</v>
      </c>
      <c r="L806" t="n">
        <v>0</v>
      </c>
      <c r="M806" t="n">
        <v>0</v>
      </c>
      <c r="N806" t="n">
        <v>0</v>
      </c>
      <c r="O806" t="n">
        <v>0</v>
      </c>
      <c r="P806" t="n">
        <v>0</v>
      </c>
      <c r="Q806" t="n">
        <v>0</v>
      </c>
      <c r="R806" s="2" t="inlineStr"/>
    </row>
    <row r="807" ht="15" customHeight="1">
      <c r="A807" t="inlineStr">
        <is>
          <t>A 27545-2019</t>
        </is>
      </c>
      <c r="B807" s="1" t="n">
        <v>43619</v>
      </c>
      <c r="C807" s="1" t="n">
        <v>45843</v>
      </c>
      <c r="D807" t="inlineStr">
        <is>
          <t>SÖDERMANLANDS LÄN</t>
        </is>
      </c>
      <c r="E807" t="inlineStr">
        <is>
          <t>NYKÖPING</t>
        </is>
      </c>
      <c r="F807" t="inlineStr">
        <is>
          <t>Sveaskog</t>
        </is>
      </c>
      <c r="G807" t="n">
        <v>6.1</v>
      </c>
      <c r="H807" t="n">
        <v>0</v>
      </c>
      <c r="I807" t="n">
        <v>0</v>
      </c>
      <c r="J807" t="n">
        <v>0</v>
      </c>
      <c r="K807" t="n">
        <v>0</v>
      </c>
      <c r="L807" t="n">
        <v>0</v>
      </c>
      <c r="M807" t="n">
        <v>0</v>
      </c>
      <c r="N807" t="n">
        <v>0</v>
      </c>
      <c r="O807" t="n">
        <v>0</v>
      </c>
      <c r="P807" t="n">
        <v>0</v>
      </c>
      <c r="Q807" t="n">
        <v>0</v>
      </c>
      <c r="R807" s="2" t="inlineStr"/>
    </row>
    <row r="808" ht="15" customHeight="1">
      <c r="A808" t="inlineStr">
        <is>
          <t>A 28029-2019</t>
        </is>
      </c>
      <c r="B808" s="1" t="n">
        <v>43621</v>
      </c>
      <c r="C808" s="1" t="n">
        <v>45843</v>
      </c>
      <c r="D808" t="inlineStr">
        <is>
          <t>SÖDERMANLANDS LÄN</t>
        </is>
      </c>
      <c r="E808" t="inlineStr">
        <is>
          <t>NYKÖPING</t>
        </is>
      </c>
      <c r="F808" t="inlineStr">
        <is>
          <t>Övriga Aktiebolag</t>
        </is>
      </c>
      <c r="G808" t="n">
        <v>3.2</v>
      </c>
      <c r="H808" t="n">
        <v>0</v>
      </c>
      <c r="I808" t="n">
        <v>0</v>
      </c>
      <c r="J808" t="n">
        <v>0</v>
      </c>
      <c r="K808" t="n">
        <v>0</v>
      </c>
      <c r="L808" t="n">
        <v>0</v>
      </c>
      <c r="M808" t="n">
        <v>0</v>
      </c>
      <c r="N808" t="n">
        <v>0</v>
      </c>
      <c r="O808" t="n">
        <v>0</v>
      </c>
      <c r="P808" t="n">
        <v>0</v>
      </c>
      <c r="Q808" t="n">
        <v>0</v>
      </c>
      <c r="R808" s="2" t="inlineStr"/>
    </row>
    <row r="809" ht="15" customHeight="1">
      <c r="A809" t="inlineStr">
        <is>
          <t>A 28035-2019</t>
        </is>
      </c>
      <c r="B809" s="1" t="n">
        <v>43621</v>
      </c>
      <c r="C809" s="1" t="n">
        <v>45843</v>
      </c>
      <c r="D809" t="inlineStr">
        <is>
          <t>SÖDERMANLANDS LÄN</t>
        </is>
      </c>
      <c r="E809" t="inlineStr">
        <is>
          <t>NYKÖPING</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28058-2019</t>
        </is>
      </c>
      <c r="B810" s="1" t="n">
        <v>43621</v>
      </c>
      <c r="C810" s="1" t="n">
        <v>45843</v>
      </c>
      <c r="D810" t="inlineStr">
        <is>
          <t>SÖDERMANLANDS LÄN</t>
        </is>
      </c>
      <c r="E810" t="inlineStr">
        <is>
          <t>FLEN</t>
        </is>
      </c>
      <c r="G810" t="n">
        <v>2.1</v>
      </c>
      <c r="H810" t="n">
        <v>0</v>
      </c>
      <c r="I810" t="n">
        <v>0</v>
      </c>
      <c r="J810" t="n">
        <v>0</v>
      </c>
      <c r="K810" t="n">
        <v>0</v>
      </c>
      <c r="L810" t="n">
        <v>0</v>
      </c>
      <c r="M810" t="n">
        <v>0</v>
      </c>
      <c r="N810" t="n">
        <v>0</v>
      </c>
      <c r="O810" t="n">
        <v>0</v>
      </c>
      <c r="P810" t="n">
        <v>0</v>
      </c>
      <c r="Q810" t="n">
        <v>0</v>
      </c>
      <c r="R810" s="2" t="inlineStr"/>
    </row>
    <row r="811" ht="15" customHeight="1">
      <c r="A811" t="inlineStr">
        <is>
          <t>A 28025-2019</t>
        </is>
      </c>
      <c r="B811" s="1" t="n">
        <v>43621</v>
      </c>
      <c r="C811" s="1" t="n">
        <v>45843</v>
      </c>
      <c r="D811" t="inlineStr">
        <is>
          <t>SÖDERMANLANDS LÄN</t>
        </is>
      </c>
      <c r="E811" t="inlineStr">
        <is>
          <t>NYKÖPING</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29433-2019</t>
        </is>
      </c>
      <c r="B812" s="1" t="n">
        <v>43623</v>
      </c>
      <c r="C812" s="1" t="n">
        <v>45843</v>
      </c>
      <c r="D812" t="inlineStr">
        <is>
          <t>SÖDERMANLANDS LÄN</t>
        </is>
      </c>
      <c r="E812" t="inlineStr">
        <is>
          <t>KATRINEHOLM</t>
        </is>
      </c>
      <c r="G812" t="n">
        <v>16.7</v>
      </c>
      <c r="H812" t="n">
        <v>0</v>
      </c>
      <c r="I812" t="n">
        <v>0</v>
      </c>
      <c r="J812" t="n">
        <v>0</v>
      </c>
      <c r="K812" t="n">
        <v>0</v>
      </c>
      <c r="L812" t="n">
        <v>0</v>
      </c>
      <c r="M812" t="n">
        <v>0</v>
      </c>
      <c r="N812" t="n">
        <v>0</v>
      </c>
      <c r="O812" t="n">
        <v>0</v>
      </c>
      <c r="P812" t="n">
        <v>0</v>
      </c>
      <c r="Q812" t="n">
        <v>0</v>
      </c>
      <c r="R812" s="2" t="inlineStr"/>
    </row>
    <row r="813" ht="15" customHeight="1">
      <c r="A813" t="inlineStr">
        <is>
          <t>A 28401-2019</t>
        </is>
      </c>
      <c r="B813" s="1" t="n">
        <v>43626</v>
      </c>
      <c r="C813" s="1" t="n">
        <v>45843</v>
      </c>
      <c r="D813" t="inlineStr">
        <is>
          <t>SÖDERMANLANDS LÄN</t>
        </is>
      </c>
      <c r="E813" t="inlineStr">
        <is>
          <t>NYKÖPING</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28400-2019</t>
        </is>
      </c>
      <c r="B814" s="1" t="n">
        <v>43626</v>
      </c>
      <c r="C814" s="1" t="n">
        <v>45843</v>
      </c>
      <c r="D814" t="inlineStr">
        <is>
          <t>SÖDERMANLANDS LÄN</t>
        </is>
      </c>
      <c r="E814" t="inlineStr">
        <is>
          <t>NYKÖPING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28404-2019</t>
        </is>
      </c>
      <c r="B815" s="1" t="n">
        <v>43626</v>
      </c>
      <c r="C815" s="1" t="n">
        <v>45843</v>
      </c>
      <c r="D815" t="inlineStr">
        <is>
          <t>SÖDERMANLANDS LÄN</t>
        </is>
      </c>
      <c r="E815" t="inlineStr">
        <is>
          <t>NYKÖPING</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28402-2019</t>
        </is>
      </c>
      <c r="B816" s="1" t="n">
        <v>43626</v>
      </c>
      <c r="C816" s="1" t="n">
        <v>45843</v>
      </c>
      <c r="D816" t="inlineStr">
        <is>
          <t>SÖDERMANLANDS LÄN</t>
        </is>
      </c>
      <c r="E816" t="inlineStr">
        <is>
          <t>NYKÖPING</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28568-2019</t>
        </is>
      </c>
      <c r="B817" s="1" t="n">
        <v>43626</v>
      </c>
      <c r="C817" s="1" t="n">
        <v>45843</v>
      </c>
      <c r="D817" t="inlineStr">
        <is>
          <t>SÖDERMANLANDS LÄN</t>
        </is>
      </c>
      <c r="E817" t="inlineStr">
        <is>
          <t>NYKÖPING</t>
        </is>
      </c>
      <c r="G817" t="n">
        <v>1.9</v>
      </c>
      <c r="H817" t="n">
        <v>0</v>
      </c>
      <c r="I817" t="n">
        <v>0</v>
      </c>
      <c r="J817" t="n">
        <v>0</v>
      </c>
      <c r="K817" t="n">
        <v>0</v>
      </c>
      <c r="L817" t="n">
        <v>0</v>
      </c>
      <c r="M817" t="n">
        <v>0</v>
      </c>
      <c r="N817" t="n">
        <v>0</v>
      </c>
      <c r="O817" t="n">
        <v>0</v>
      </c>
      <c r="P817" t="n">
        <v>0</v>
      </c>
      <c r="Q817" t="n">
        <v>0</v>
      </c>
      <c r="R817" s="2" t="inlineStr"/>
    </row>
    <row r="818" ht="15" customHeight="1">
      <c r="A818" t="inlineStr">
        <is>
          <t>A 28511-2019</t>
        </is>
      </c>
      <c r="B818" s="1" t="n">
        <v>43626</v>
      </c>
      <c r="C818" s="1" t="n">
        <v>45843</v>
      </c>
      <c r="D818" t="inlineStr">
        <is>
          <t>SÖDERMANLANDS LÄN</t>
        </is>
      </c>
      <c r="E818" t="inlineStr">
        <is>
          <t>VINGÅKER</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28567-2019</t>
        </is>
      </c>
      <c r="B819" s="1" t="n">
        <v>43626</v>
      </c>
      <c r="C819" s="1" t="n">
        <v>45843</v>
      </c>
      <c r="D819" t="inlineStr">
        <is>
          <t>SÖDERMANLANDS LÄN</t>
        </is>
      </c>
      <c r="E819" t="inlineStr">
        <is>
          <t>NYKÖPING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28405-2019</t>
        </is>
      </c>
      <c r="B820" s="1" t="n">
        <v>43626</v>
      </c>
      <c r="C820" s="1" t="n">
        <v>45843</v>
      </c>
      <c r="D820" t="inlineStr">
        <is>
          <t>SÖDERMANLANDS LÄN</t>
        </is>
      </c>
      <c r="E820" t="inlineStr">
        <is>
          <t>NYKÖPING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28719-2019</t>
        </is>
      </c>
      <c r="B821" s="1" t="n">
        <v>43627</v>
      </c>
      <c r="C821" s="1" t="n">
        <v>45843</v>
      </c>
      <c r="D821" t="inlineStr">
        <is>
          <t>SÖDERMANLANDS LÄN</t>
        </is>
      </c>
      <c r="E821" t="inlineStr">
        <is>
          <t>NYKÖPING</t>
        </is>
      </c>
      <c r="G821" t="n">
        <v>14.7</v>
      </c>
      <c r="H821" t="n">
        <v>0</v>
      </c>
      <c r="I821" t="n">
        <v>0</v>
      </c>
      <c r="J821" t="n">
        <v>0</v>
      </c>
      <c r="K821" t="n">
        <v>0</v>
      </c>
      <c r="L821" t="n">
        <v>0</v>
      </c>
      <c r="M821" t="n">
        <v>0</v>
      </c>
      <c r="N821" t="n">
        <v>0</v>
      </c>
      <c r="O821" t="n">
        <v>0</v>
      </c>
      <c r="P821" t="n">
        <v>0</v>
      </c>
      <c r="Q821" t="n">
        <v>0</v>
      </c>
      <c r="R821" s="2" t="inlineStr"/>
    </row>
    <row r="822" ht="15" customHeight="1">
      <c r="A822" t="inlineStr">
        <is>
          <t>A 29084-2019</t>
        </is>
      </c>
      <c r="B822" s="1" t="n">
        <v>43628</v>
      </c>
      <c r="C822" s="1" t="n">
        <v>45843</v>
      </c>
      <c r="D822" t="inlineStr">
        <is>
          <t>SÖDERMANLANDS LÄN</t>
        </is>
      </c>
      <c r="E822" t="inlineStr">
        <is>
          <t>ESKILSTUNA</t>
        </is>
      </c>
      <c r="G822" t="n">
        <v>2.6</v>
      </c>
      <c r="H822" t="n">
        <v>0</v>
      </c>
      <c r="I822" t="n">
        <v>0</v>
      </c>
      <c r="J822" t="n">
        <v>0</v>
      </c>
      <c r="K822" t="n">
        <v>0</v>
      </c>
      <c r="L822" t="n">
        <v>0</v>
      </c>
      <c r="M822" t="n">
        <v>0</v>
      </c>
      <c r="N822" t="n">
        <v>0</v>
      </c>
      <c r="O822" t="n">
        <v>0</v>
      </c>
      <c r="P822" t="n">
        <v>0</v>
      </c>
      <c r="Q822" t="n">
        <v>0</v>
      </c>
      <c r="R822" s="2" t="inlineStr"/>
    </row>
    <row r="823" ht="15" customHeight="1">
      <c r="A823" t="inlineStr">
        <is>
          <t>A 28982-2019</t>
        </is>
      </c>
      <c r="B823" s="1" t="n">
        <v>43628</v>
      </c>
      <c r="C823" s="1" t="n">
        <v>45843</v>
      </c>
      <c r="D823" t="inlineStr">
        <is>
          <t>SÖDERMANLANDS LÄN</t>
        </is>
      </c>
      <c r="E823" t="inlineStr">
        <is>
          <t>STRÄNGNÄS</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29125-2019</t>
        </is>
      </c>
      <c r="B824" s="1" t="n">
        <v>43628</v>
      </c>
      <c r="C824" s="1" t="n">
        <v>45843</v>
      </c>
      <c r="D824" t="inlineStr">
        <is>
          <t>SÖDERMANLANDS LÄN</t>
        </is>
      </c>
      <c r="E824" t="inlineStr">
        <is>
          <t>STRÄNGNÄS</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29449-2019</t>
        </is>
      </c>
      <c r="B825" s="1" t="n">
        <v>43629</v>
      </c>
      <c r="C825" s="1" t="n">
        <v>45843</v>
      </c>
      <c r="D825" t="inlineStr">
        <is>
          <t>SÖDERMANLANDS LÄN</t>
        </is>
      </c>
      <c r="E825" t="inlineStr">
        <is>
          <t>ESKILSTUNA</t>
        </is>
      </c>
      <c r="G825" t="n">
        <v>4.1</v>
      </c>
      <c r="H825" t="n">
        <v>0</v>
      </c>
      <c r="I825" t="n">
        <v>0</v>
      </c>
      <c r="J825" t="n">
        <v>0</v>
      </c>
      <c r="K825" t="n">
        <v>0</v>
      </c>
      <c r="L825" t="n">
        <v>0</v>
      </c>
      <c r="M825" t="n">
        <v>0</v>
      </c>
      <c r="N825" t="n">
        <v>0</v>
      </c>
      <c r="O825" t="n">
        <v>0</v>
      </c>
      <c r="P825" t="n">
        <v>0</v>
      </c>
      <c r="Q825" t="n">
        <v>0</v>
      </c>
      <c r="R825" s="2" t="inlineStr"/>
    </row>
    <row r="826" ht="15" customHeight="1">
      <c r="A826" t="inlineStr">
        <is>
          <t>A 29258-2019</t>
        </is>
      </c>
      <c r="B826" s="1" t="n">
        <v>43629</v>
      </c>
      <c r="C826" s="1" t="n">
        <v>45843</v>
      </c>
      <c r="D826" t="inlineStr">
        <is>
          <t>SÖDERMANLANDS LÄN</t>
        </is>
      </c>
      <c r="E826" t="inlineStr">
        <is>
          <t>VINGÅKER</t>
        </is>
      </c>
      <c r="G826" t="n">
        <v>1.2</v>
      </c>
      <c r="H826" t="n">
        <v>0</v>
      </c>
      <c r="I826" t="n">
        <v>0</v>
      </c>
      <c r="J826" t="n">
        <v>0</v>
      </c>
      <c r="K826" t="n">
        <v>0</v>
      </c>
      <c r="L826" t="n">
        <v>0</v>
      </c>
      <c r="M826" t="n">
        <v>0</v>
      </c>
      <c r="N826" t="n">
        <v>0</v>
      </c>
      <c r="O826" t="n">
        <v>0</v>
      </c>
      <c r="P826" t="n">
        <v>0</v>
      </c>
      <c r="Q826" t="n">
        <v>0</v>
      </c>
      <c r="R826" s="2" t="inlineStr"/>
    </row>
    <row r="827" ht="15" customHeight="1">
      <c r="A827" t="inlineStr">
        <is>
          <t>A 29235-2019</t>
        </is>
      </c>
      <c r="B827" s="1" t="n">
        <v>43629</v>
      </c>
      <c r="C827" s="1" t="n">
        <v>45843</v>
      </c>
      <c r="D827" t="inlineStr">
        <is>
          <t>SÖDERMANLANDS LÄN</t>
        </is>
      </c>
      <c r="E827" t="inlineStr">
        <is>
          <t>ESKILSTUNA</t>
        </is>
      </c>
      <c r="F827" t="inlineStr">
        <is>
          <t>Sveaskog</t>
        </is>
      </c>
      <c r="G827" t="n">
        <v>4</v>
      </c>
      <c r="H827" t="n">
        <v>0</v>
      </c>
      <c r="I827" t="n">
        <v>0</v>
      </c>
      <c r="J827" t="n">
        <v>0</v>
      </c>
      <c r="K827" t="n">
        <v>0</v>
      </c>
      <c r="L827" t="n">
        <v>0</v>
      </c>
      <c r="M827" t="n">
        <v>0</v>
      </c>
      <c r="N827" t="n">
        <v>0</v>
      </c>
      <c r="O827" t="n">
        <v>0</v>
      </c>
      <c r="P827" t="n">
        <v>0</v>
      </c>
      <c r="Q827" t="n">
        <v>0</v>
      </c>
      <c r="R827" s="2" t="inlineStr"/>
    </row>
    <row r="828" ht="15" customHeight="1">
      <c r="A828" t="inlineStr">
        <is>
          <t>A 29977-2019</t>
        </is>
      </c>
      <c r="B828" s="1" t="n">
        <v>43630</v>
      </c>
      <c r="C828" s="1" t="n">
        <v>45843</v>
      </c>
      <c r="D828" t="inlineStr">
        <is>
          <t>SÖDERMANLANDS LÄN</t>
        </is>
      </c>
      <c r="E828" t="inlineStr">
        <is>
          <t>FLEN</t>
        </is>
      </c>
      <c r="G828" t="n">
        <v>3.4</v>
      </c>
      <c r="H828" t="n">
        <v>0</v>
      </c>
      <c r="I828" t="n">
        <v>0</v>
      </c>
      <c r="J828" t="n">
        <v>0</v>
      </c>
      <c r="K828" t="n">
        <v>0</v>
      </c>
      <c r="L828" t="n">
        <v>0</v>
      </c>
      <c r="M828" t="n">
        <v>0</v>
      </c>
      <c r="N828" t="n">
        <v>0</v>
      </c>
      <c r="O828" t="n">
        <v>0</v>
      </c>
      <c r="P828" t="n">
        <v>0</v>
      </c>
      <c r="Q828" t="n">
        <v>0</v>
      </c>
      <c r="R828" s="2" t="inlineStr"/>
    </row>
    <row r="829" ht="15" customHeight="1">
      <c r="A829" t="inlineStr">
        <is>
          <t>A 30025-2019</t>
        </is>
      </c>
      <c r="B829" s="1" t="n">
        <v>43630</v>
      </c>
      <c r="C829" s="1" t="n">
        <v>45843</v>
      </c>
      <c r="D829" t="inlineStr">
        <is>
          <t>SÖDERMANLANDS LÄN</t>
        </is>
      </c>
      <c r="E829" t="inlineStr">
        <is>
          <t>NYKÖPING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30492-2019</t>
        </is>
      </c>
      <c r="B830" s="1" t="n">
        <v>43635</v>
      </c>
      <c r="C830" s="1" t="n">
        <v>45843</v>
      </c>
      <c r="D830" t="inlineStr">
        <is>
          <t>SÖDERMANLANDS LÄN</t>
        </is>
      </c>
      <c r="E830" t="inlineStr">
        <is>
          <t>FLEN</t>
        </is>
      </c>
      <c r="G830" t="n">
        <v>2.7</v>
      </c>
      <c r="H830" t="n">
        <v>0</v>
      </c>
      <c r="I830" t="n">
        <v>0</v>
      </c>
      <c r="J830" t="n">
        <v>0</v>
      </c>
      <c r="K830" t="n">
        <v>0</v>
      </c>
      <c r="L830" t="n">
        <v>0</v>
      </c>
      <c r="M830" t="n">
        <v>0</v>
      </c>
      <c r="N830" t="n">
        <v>0</v>
      </c>
      <c r="O830" t="n">
        <v>0</v>
      </c>
      <c r="P830" t="n">
        <v>0</v>
      </c>
      <c r="Q830" t="n">
        <v>0</v>
      </c>
      <c r="R830" s="2" t="inlineStr"/>
    </row>
    <row r="831" ht="15" customHeight="1">
      <c r="A831" t="inlineStr">
        <is>
          <t>A 30604-2019</t>
        </is>
      </c>
      <c r="B831" s="1" t="n">
        <v>43635</v>
      </c>
      <c r="C831" s="1" t="n">
        <v>45843</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30669-2019</t>
        </is>
      </c>
      <c r="B832" s="1" t="n">
        <v>43636</v>
      </c>
      <c r="C832" s="1" t="n">
        <v>45843</v>
      </c>
      <c r="D832" t="inlineStr">
        <is>
          <t>SÖDERMANLANDS LÄN</t>
        </is>
      </c>
      <c r="E832" t="inlineStr">
        <is>
          <t>STRÄNGNÄS</t>
        </is>
      </c>
      <c r="G832" t="n">
        <v>1.9</v>
      </c>
      <c r="H832" t="n">
        <v>0</v>
      </c>
      <c r="I832" t="n">
        <v>0</v>
      </c>
      <c r="J832" t="n">
        <v>0</v>
      </c>
      <c r="K832" t="n">
        <v>0</v>
      </c>
      <c r="L832" t="n">
        <v>0</v>
      </c>
      <c r="M832" t="n">
        <v>0</v>
      </c>
      <c r="N832" t="n">
        <v>0</v>
      </c>
      <c r="O832" t="n">
        <v>0</v>
      </c>
      <c r="P832" t="n">
        <v>0</v>
      </c>
      <c r="Q832" t="n">
        <v>0</v>
      </c>
      <c r="R832" s="2" t="inlineStr"/>
    </row>
    <row r="833" ht="15" customHeight="1">
      <c r="A833" t="inlineStr">
        <is>
          <t>A 30646-2019</t>
        </is>
      </c>
      <c r="B833" s="1" t="n">
        <v>43636</v>
      </c>
      <c r="C833" s="1" t="n">
        <v>45843</v>
      </c>
      <c r="D833" t="inlineStr">
        <is>
          <t>SÖDERMANLANDS LÄN</t>
        </is>
      </c>
      <c r="E833" t="inlineStr">
        <is>
          <t>STRÄNGNÄS</t>
        </is>
      </c>
      <c r="G833" t="n">
        <v>1.8</v>
      </c>
      <c r="H833" t="n">
        <v>0</v>
      </c>
      <c r="I833" t="n">
        <v>0</v>
      </c>
      <c r="J833" t="n">
        <v>0</v>
      </c>
      <c r="K833" t="n">
        <v>0</v>
      </c>
      <c r="L833" t="n">
        <v>0</v>
      </c>
      <c r="M833" t="n">
        <v>0</v>
      </c>
      <c r="N833" t="n">
        <v>0</v>
      </c>
      <c r="O833" t="n">
        <v>0</v>
      </c>
      <c r="P833" t="n">
        <v>0</v>
      </c>
      <c r="Q833" t="n">
        <v>0</v>
      </c>
      <c r="R833" s="2" t="inlineStr"/>
    </row>
    <row r="834" ht="15" customHeight="1">
      <c r="A834" t="inlineStr">
        <is>
          <t>A 30692-2019</t>
        </is>
      </c>
      <c r="B834" s="1" t="n">
        <v>43636</v>
      </c>
      <c r="C834" s="1" t="n">
        <v>45843</v>
      </c>
      <c r="D834" t="inlineStr">
        <is>
          <t>SÖDERMANLANDS LÄN</t>
        </is>
      </c>
      <c r="E834" t="inlineStr">
        <is>
          <t>STRÄNGNÄS</t>
        </is>
      </c>
      <c r="G834" t="n">
        <v>2.8</v>
      </c>
      <c r="H834" t="n">
        <v>0</v>
      </c>
      <c r="I834" t="n">
        <v>0</v>
      </c>
      <c r="J834" t="n">
        <v>0</v>
      </c>
      <c r="K834" t="n">
        <v>0</v>
      </c>
      <c r="L834" t="n">
        <v>0</v>
      </c>
      <c r="M834" t="n">
        <v>0</v>
      </c>
      <c r="N834" t="n">
        <v>0</v>
      </c>
      <c r="O834" t="n">
        <v>0</v>
      </c>
      <c r="P834" t="n">
        <v>0</v>
      </c>
      <c r="Q834" t="n">
        <v>0</v>
      </c>
      <c r="R834" s="2" t="inlineStr"/>
    </row>
    <row r="835" ht="15" customHeight="1">
      <c r="A835" t="inlineStr">
        <is>
          <t>A 31388-2019</t>
        </is>
      </c>
      <c r="B835" s="1" t="n">
        <v>43636</v>
      </c>
      <c r="C835" s="1" t="n">
        <v>45843</v>
      </c>
      <c r="D835" t="inlineStr">
        <is>
          <t>SÖDERMANLANDS LÄN</t>
        </is>
      </c>
      <c r="E835" t="inlineStr">
        <is>
          <t>STRÄNGNÄS</t>
        </is>
      </c>
      <c r="G835" t="n">
        <v>1</v>
      </c>
      <c r="H835" t="n">
        <v>0</v>
      </c>
      <c r="I835" t="n">
        <v>0</v>
      </c>
      <c r="J835" t="n">
        <v>0</v>
      </c>
      <c r="K835" t="n">
        <v>0</v>
      </c>
      <c r="L835" t="n">
        <v>0</v>
      </c>
      <c r="M835" t="n">
        <v>0</v>
      </c>
      <c r="N835" t="n">
        <v>0</v>
      </c>
      <c r="O835" t="n">
        <v>0</v>
      </c>
      <c r="P835" t="n">
        <v>0</v>
      </c>
      <c r="Q835" t="n">
        <v>0</v>
      </c>
      <c r="R835" s="2" t="inlineStr"/>
    </row>
    <row r="836" ht="15" customHeight="1">
      <c r="A836" t="inlineStr">
        <is>
          <t>A 30872-2019</t>
        </is>
      </c>
      <c r="B836" s="1" t="n">
        <v>43636</v>
      </c>
      <c r="C836" s="1" t="n">
        <v>45843</v>
      </c>
      <c r="D836" t="inlineStr">
        <is>
          <t>SÖDERMANLANDS LÄN</t>
        </is>
      </c>
      <c r="E836" t="inlineStr">
        <is>
          <t>FLEN</t>
        </is>
      </c>
      <c r="G836" t="n">
        <v>1.1</v>
      </c>
      <c r="H836" t="n">
        <v>0</v>
      </c>
      <c r="I836" t="n">
        <v>0</v>
      </c>
      <c r="J836" t="n">
        <v>0</v>
      </c>
      <c r="K836" t="n">
        <v>0</v>
      </c>
      <c r="L836" t="n">
        <v>0</v>
      </c>
      <c r="M836" t="n">
        <v>0</v>
      </c>
      <c r="N836" t="n">
        <v>0</v>
      </c>
      <c r="O836" t="n">
        <v>0</v>
      </c>
      <c r="P836" t="n">
        <v>0</v>
      </c>
      <c r="Q836" t="n">
        <v>0</v>
      </c>
      <c r="R836" s="2" t="inlineStr"/>
    </row>
    <row r="837" ht="15" customHeight="1">
      <c r="A837" t="inlineStr">
        <is>
          <t>A 30982-2019</t>
        </is>
      </c>
      <c r="B837" s="1" t="n">
        <v>43640</v>
      </c>
      <c r="C837" s="1" t="n">
        <v>45843</v>
      </c>
      <c r="D837" t="inlineStr">
        <is>
          <t>SÖDERMANLANDS LÄN</t>
        </is>
      </c>
      <c r="E837" t="inlineStr">
        <is>
          <t>NYKÖPING</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31832-2019</t>
        </is>
      </c>
      <c r="B838" s="1" t="n">
        <v>43640</v>
      </c>
      <c r="C838" s="1" t="n">
        <v>45843</v>
      </c>
      <c r="D838" t="inlineStr">
        <is>
          <t>SÖDERMANLANDS LÄN</t>
        </is>
      </c>
      <c r="E838" t="inlineStr">
        <is>
          <t>VINGÅKER</t>
        </is>
      </c>
      <c r="G838" t="n">
        <v>1.1</v>
      </c>
      <c r="H838" t="n">
        <v>0</v>
      </c>
      <c r="I838" t="n">
        <v>0</v>
      </c>
      <c r="J838" t="n">
        <v>0</v>
      </c>
      <c r="K838" t="n">
        <v>0</v>
      </c>
      <c r="L838" t="n">
        <v>0</v>
      </c>
      <c r="M838" t="n">
        <v>0</v>
      </c>
      <c r="N838" t="n">
        <v>0</v>
      </c>
      <c r="O838" t="n">
        <v>0</v>
      </c>
      <c r="P838" t="n">
        <v>0</v>
      </c>
      <c r="Q838" t="n">
        <v>0</v>
      </c>
      <c r="R838" s="2" t="inlineStr"/>
    </row>
    <row r="839" ht="15" customHeight="1">
      <c r="A839" t="inlineStr">
        <is>
          <t>A 31818-2019</t>
        </is>
      </c>
      <c r="B839" s="1" t="n">
        <v>43640</v>
      </c>
      <c r="C839" s="1" t="n">
        <v>45843</v>
      </c>
      <c r="D839" t="inlineStr">
        <is>
          <t>SÖDERMANLANDS LÄN</t>
        </is>
      </c>
      <c r="E839" t="inlineStr">
        <is>
          <t>VINGÅKER</t>
        </is>
      </c>
      <c r="G839" t="n">
        <v>2.1</v>
      </c>
      <c r="H839" t="n">
        <v>0</v>
      </c>
      <c r="I839" t="n">
        <v>0</v>
      </c>
      <c r="J839" t="n">
        <v>0</v>
      </c>
      <c r="K839" t="n">
        <v>0</v>
      </c>
      <c r="L839" t="n">
        <v>0</v>
      </c>
      <c r="M839" t="n">
        <v>0</v>
      </c>
      <c r="N839" t="n">
        <v>0</v>
      </c>
      <c r="O839" t="n">
        <v>0</v>
      </c>
      <c r="P839" t="n">
        <v>0</v>
      </c>
      <c r="Q839" t="n">
        <v>0</v>
      </c>
      <c r="R839" s="2" t="inlineStr"/>
    </row>
    <row r="840" ht="15" customHeight="1">
      <c r="A840" t="inlineStr">
        <is>
          <t>A 31492-2019</t>
        </is>
      </c>
      <c r="B840" s="1" t="n">
        <v>43640</v>
      </c>
      <c r="C840" s="1" t="n">
        <v>45843</v>
      </c>
      <c r="D840" t="inlineStr">
        <is>
          <t>SÖDERMANLANDS LÄN</t>
        </is>
      </c>
      <c r="E840" t="inlineStr">
        <is>
          <t>ESKILSTUNA</t>
        </is>
      </c>
      <c r="G840" t="n">
        <v>0.7</v>
      </c>
      <c r="H840" t="n">
        <v>0</v>
      </c>
      <c r="I840" t="n">
        <v>0</v>
      </c>
      <c r="J840" t="n">
        <v>0</v>
      </c>
      <c r="K840" t="n">
        <v>0</v>
      </c>
      <c r="L840" t="n">
        <v>0</v>
      </c>
      <c r="M840" t="n">
        <v>0</v>
      </c>
      <c r="N840" t="n">
        <v>0</v>
      </c>
      <c r="O840" t="n">
        <v>0</v>
      </c>
      <c r="P840" t="n">
        <v>0</v>
      </c>
      <c r="Q840" t="n">
        <v>0</v>
      </c>
      <c r="R840" s="2" t="inlineStr"/>
    </row>
    <row r="841" ht="15" customHeight="1">
      <c r="A841" t="inlineStr">
        <is>
          <t>A 31835-2019</t>
        </is>
      </c>
      <c r="B841" s="1" t="n">
        <v>43640</v>
      </c>
      <c r="C841" s="1" t="n">
        <v>45843</v>
      </c>
      <c r="D841" t="inlineStr">
        <is>
          <t>SÖDERMANLANDS LÄN</t>
        </is>
      </c>
      <c r="E841" t="inlineStr">
        <is>
          <t>VINGÅKER</t>
        </is>
      </c>
      <c r="G841" t="n">
        <v>2.7</v>
      </c>
      <c r="H841" t="n">
        <v>0</v>
      </c>
      <c r="I841" t="n">
        <v>0</v>
      </c>
      <c r="J841" t="n">
        <v>0</v>
      </c>
      <c r="K841" t="n">
        <v>0</v>
      </c>
      <c r="L841" t="n">
        <v>0</v>
      </c>
      <c r="M841" t="n">
        <v>0</v>
      </c>
      <c r="N841" t="n">
        <v>0</v>
      </c>
      <c r="O841" t="n">
        <v>0</v>
      </c>
      <c r="P841" t="n">
        <v>0</v>
      </c>
      <c r="Q841" t="n">
        <v>0</v>
      </c>
      <c r="R841" s="2" t="inlineStr"/>
    </row>
    <row r="842" ht="15" customHeight="1">
      <c r="A842" t="inlineStr">
        <is>
          <t>A 31687-2019</t>
        </is>
      </c>
      <c r="B842" s="1" t="n">
        <v>43642</v>
      </c>
      <c r="C842" s="1" t="n">
        <v>45843</v>
      </c>
      <c r="D842" t="inlineStr">
        <is>
          <t>SÖDERMANLANDS LÄN</t>
        </is>
      </c>
      <c r="E842" t="inlineStr">
        <is>
          <t>NYKÖPING</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32047-2019</t>
        </is>
      </c>
      <c r="B843" s="1" t="n">
        <v>43643</v>
      </c>
      <c r="C843" s="1" t="n">
        <v>45843</v>
      </c>
      <c r="D843" t="inlineStr">
        <is>
          <t>SÖDERMANLANDS LÄN</t>
        </is>
      </c>
      <c r="E843" t="inlineStr">
        <is>
          <t>ESKILSTUNA</t>
        </is>
      </c>
      <c r="G843" t="n">
        <v>1.9</v>
      </c>
      <c r="H843" t="n">
        <v>0</v>
      </c>
      <c r="I843" t="n">
        <v>0</v>
      </c>
      <c r="J843" t="n">
        <v>0</v>
      </c>
      <c r="K843" t="n">
        <v>0</v>
      </c>
      <c r="L843" t="n">
        <v>0</v>
      </c>
      <c r="M843" t="n">
        <v>0</v>
      </c>
      <c r="N843" t="n">
        <v>0</v>
      </c>
      <c r="O843" t="n">
        <v>0</v>
      </c>
      <c r="P843" t="n">
        <v>0</v>
      </c>
      <c r="Q843" t="n">
        <v>0</v>
      </c>
      <c r="R843" s="2" t="inlineStr"/>
    </row>
    <row r="844" ht="15" customHeight="1">
      <c r="A844" t="inlineStr">
        <is>
          <t>A 32189-2019</t>
        </is>
      </c>
      <c r="B844" s="1" t="n">
        <v>43643</v>
      </c>
      <c r="C844" s="1" t="n">
        <v>45843</v>
      </c>
      <c r="D844" t="inlineStr">
        <is>
          <t>SÖDERMANLANDS LÄN</t>
        </is>
      </c>
      <c r="E844" t="inlineStr">
        <is>
          <t>TROSA</t>
        </is>
      </c>
      <c r="G844" t="n">
        <v>17.1</v>
      </c>
      <c r="H844" t="n">
        <v>0</v>
      </c>
      <c r="I844" t="n">
        <v>0</v>
      </c>
      <c r="J844" t="n">
        <v>0</v>
      </c>
      <c r="K844" t="n">
        <v>0</v>
      </c>
      <c r="L844" t="n">
        <v>0</v>
      </c>
      <c r="M844" t="n">
        <v>0</v>
      </c>
      <c r="N844" t="n">
        <v>0</v>
      </c>
      <c r="O844" t="n">
        <v>0</v>
      </c>
      <c r="P844" t="n">
        <v>0</v>
      </c>
      <c r="Q844" t="n">
        <v>0</v>
      </c>
      <c r="R844" s="2" t="inlineStr"/>
    </row>
    <row r="845" ht="15" customHeight="1">
      <c r="A845" t="inlineStr">
        <is>
          <t>A 32194-2019</t>
        </is>
      </c>
      <c r="B845" s="1" t="n">
        <v>43643</v>
      </c>
      <c r="C845" s="1" t="n">
        <v>45843</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32926-2019</t>
        </is>
      </c>
      <c r="B846" s="1" t="n">
        <v>43643</v>
      </c>
      <c r="C846" s="1" t="n">
        <v>45843</v>
      </c>
      <c r="D846" t="inlineStr">
        <is>
          <t>SÖDERMANLANDS LÄN</t>
        </is>
      </c>
      <c r="E846" t="inlineStr">
        <is>
          <t>NYKÖPING</t>
        </is>
      </c>
      <c r="G846" t="n">
        <v>3</v>
      </c>
      <c r="H846" t="n">
        <v>0</v>
      </c>
      <c r="I846" t="n">
        <v>0</v>
      </c>
      <c r="J846" t="n">
        <v>0</v>
      </c>
      <c r="K846" t="n">
        <v>0</v>
      </c>
      <c r="L846" t="n">
        <v>0</v>
      </c>
      <c r="M846" t="n">
        <v>0</v>
      </c>
      <c r="N846" t="n">
        <v>0</v>
      </c>
      <c r="O846" t="n">
        <v>0</v>
      </c>
      <c r="P846" t="n">
        <v>0</v>
      </c>
      <c r="Q846" t="n">
        <v>0</v>
      </c>
      <c r="R846" s="2" t="inlineStr"/>
    </row>
    <row r="847" ht="15" customHeight="1">
      <c r="A847" t="inlineStr">
        <is>
          <t>A 32804-2019</t>
        </is>
      </c>
      <c r="B847" s="1" t="n">
        <v>43643</v>
      </c>
      <c r="C847" s="1" t="n">
        <v>45843</v>
      </c>
      <c r="D847" t="inlineStr">
        <is>
          <t>SÖDERMANLANDS LÄN</t>
        </is>
      </c>
      <c r="E847" t="inlineStr">
        <is>
          <t>NYKÖPING</t>
        </is>
      </c>
      <c r="G847" t="n">
        <v>4.1</v>
      </c>
      <c r="H847" t="n">
        <v>0</v>
      </c>
      <c r="I847" t="n">
        <v>0</v>
      </c>
      <c r="J847" t="n">
        <v>0</v>
      </c>
      <c r="K847" t="n">
        <v>0</v>
      </c>
      <c r="L847" t="n">
        <v>0</v>
      </c>
      <c r="M847" t="n">
        <v>0</v>
      </c>
      <c r="N847" t="n">
        <v>0</v>
      </c>
      <c r="O847" t="n">
        <v>0</v>
      </c>
      <c r="P847" t="n">
        <v>0</v>
      </c>
      <c r="Q847" t="n">
        <v>0</v>
      </c>
      <c r="R847" s="2" t="inlineStr"/>
    </row>
    <row r="848" ht="15" customHeight="1">
      <c r="A848" t="inlineStr">
        <is>
          <t>A 32070-2019</t>
        </is>
      </c>
      <c r="B848" s="1" t="n">
        <v>43643</v>
      </c>
      <c r="C848" s="1" t="n">
        <v>45843</v>
      </c>
      <c r="D848" t="inlineStr">
        <is>
          <t>SÖDERMANLANDS LÄN</t>
        </is>
      </c>
      <c r="E848" t="inlineStr">
        <is>
          <t>FLEN</t>
        </is>
      </c>
      <c r="G848" t="n">
        <v>9.9</v>
      </c>
      <c r="H848" t="n">
        <v>0</v>
      </c>
      <c r="I848" t="n">
        <v>0</v>
      </c>
      <c r="J848" t="n">
        <v>0</v>
      </c>
      <c r="K848" t="n">
        <v>0</v>
      </c>
      <c r="L848" t="n">
        <v>0</v>
      </c>
      <c r="M848" t="n">
        <v>0</v>
      </c>
      <c r="N848" t="n">
        <v>0</v>
      </c>
      <c r="O848" t="n">
        <v>0</v>
      </c>
      <c r="P848" t="n">
        <v>0</v>
      </c>
      <c r="Q848" t="n">
        <v>0</v>
      </c>
      <c r="R848" s="2" t="inlineStr"/>
    </row>
    <row r="849" ht="15" customHeight="1">
      <c r="A849" t="inlineStr">
        <is>
          <t>A 32196-2019</t>
        </is>
      </c>
      <c r="B849" s="1" t="n">
        <v>43643</v>
      </c>
      <c r="C849" s="1" t="n">
        <v>45843</v>
      </c>
      <c r="D849" t="inlineStr">
        <is>
          <t>SÖDERMANLANDS LÄN</t>
        </is>
      </c>
      <c r="E849" t="inlineStr">
        <is>
          <t>STRÄNGNÄS</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32931-2019</t>
        </is>
      </c>
      <c r="B850" s="1" t="n">
        <v>43643</v>
      </c>
      <c r="C850" s="1" t="n">
        <v>45843</v>
      </c>
      <c r="D850" t="inlineStr">
        <is>
          <t>SÖDERMANLANDS LÄN</t>
        </is>
      </c>
      <c r="E850" t="inlineStr">
        <is>
          <t>NYKÖPING</t>
        </is>
      </c>
      <c r="G850" t="n">
        <v>1.6</v>
      </c>
      <c r="H850" t="n">
        <v>0</v>
      </c>
      <c r="I850" t="n">
        <v>0</v>
      </c>
      <c r="J850" t="n">
        <v>0</v>
      </c>
      <c r="K850" t="n">
        <v>0</v>
      </c>
      <c r="L850" t="n">
        <v>0</v>
      </c>
      <c r="M850" t="n">
        <v>0</v>
      </c>
      <c r="N850" t="n">
        <v>0</v>
      </c>
      <c r="O850" t="n">
        <v>0</v>
      </c>
      <c r="P850" t="n">
        <v>0</v>
      </c>
      <c r="Q850" t="n">
        <v>0</v>
      </c>
      <c r="R850" s="2" t="inlineStr"/>
    </row>
    <row r="851" ht="15" customHeight="1">
      <c r="A851" t="inlineStr">
        <is>
          <t>A 32353-2019</t>
        </is>
      </c>
      <c r="B851" s="1" t="n">
        <v>43644</v>
      </c>
      <c r="C851" s="1" t="n">
        <v>45843</v>
      </c>
      <c r="D851" t="inlineStr">
        <is>
          <t>SÖDERMANLANDS LÄN</t>
        </is>
      </c>
      <c r="E851" t="inlineStr">
        <is>
          <t>NYKÖPING</t>
        </is>
      </c>
      <c r="G851" t="n">
        <v>10.2</v>
      </c>
      <c r="H851" t="n">
        <v>0</v>
      </c>
      <c r="I851" t="n">
        <v>0</v>
      </c>
      <c r="J851" t="n">
        <v>0</v>
      </c>
      <c r="K851" t="n">
        <v>0</v>
      </c>
      <c r="L851" t="n">
        <v>0</v>
      </c>
      <c r="M851" t="n">
        <v>0</v>
      </c>
      <c r="N851" t="n">
        <v>0</v>
      </c>
      <c r="O851" t="n">
        <v>0</v>
      </c>
      <c r="P851" t="n">
        <v>0</v>
      </c>
      <c r="Q851" t="n">
        <v>0</v>
      </c>
      <c r="R851" s="2" t="inlineStr"/>
    </row>
    <row r="852" ht="15" customHeight="1">
      <c r="A852" t="inlineStr">
        <is>
          <t>A 34203-2019</t>
        </is>
      </c>
      <c r="B852" s="1" t="n">
        <v>43644</v>
      </c>
      <c r="C852" s="1" t="n">
        <v>45843</v>
      </c>
      <c r="D852" t="inlineStr">
        <is>
          <t>SÖDERMANLANDS LÄN</t>
        </is>
      </c>
      <c r="E852" t="inlineStr">
        <is>
          <t>STRÄNGNÄS</t>
        </is>
      </c>
      <c r="G852" t="n">
        <v>1.6</v>
      </c>
      <c r="H852" t="n">
        <v>0</v>
      </c>
      <c r="I852" t="n">
        <v>0</v>
      </c>
      <c r="J852" t="n">
        <v>0</v>
      </c>
      <c r="K852" t="n">
        <v>0</v>
      </c>
      <c r="L852" t="n">
        <v>0</v>
      </c>
      <c r="M852" t="n">
        <v>0</v>
      </c>
      <c r="N852" t="n">
        <v>0</v>
      </c>
      <c r="O852" t="n">
        <v>0</v>
      </c>
      <c r="P852" t="n">
        <v>0</v>
      </c>
      <c r="Q852" t="n">
        <v>0</v>
      </c>
      <c r="R852" s="2" t="inlineStr"/>
    </row>
    <row r="853" ht="15" customHeight="1">
      <c r="A853" t="inlineStr">
        <is>
          <t>A 34148-2019</t>
        </is>
      </c>
      <c r="B853" s="1" t="n">
        <v>43644</v>
      </c>
      <c r="C853" s="1" t="n">
        <v>45843</v>
      </c>
      <c r="D853" t="inlineStr">
        <is>
          <t>SÖDERMANLANDS LÄN</t>
        </is>
      </c>
      <c r="E853" t="inlineStr">
        <is>
          <t>STRÄNGNÄS</t>
        </is>
      </c>
      <c r="G853" t="n">
        <v>2.3</v>
      </c>
      <c r="H853" t="n">
        <v>0</v>
      </c>
      <c r="I853" t="n">
        <v>0</v>
      </c>
      <c r="J853" t="n">
        <v>0</v>
      </c>
      <c r="K853" t="n">
        <v>0</v>
      </c>
      <c r="L853" t="n">
        <v>0</v>
      </c>
      <c r="M853" t="n">
        <v>0</v>
      </c>
      <c r="N853" t="n">
        <v>0</v>
      </c>
      <c r="O853" t="n">
        <v>0</v>
      </c>
      <c r="P853" t="n">
        <v>0</v>
      </c>
      <c r="Q853" t="n">
        <v>0</v>
      </c>
      <c r="R853" s="2" t="inlineStr"/>
    </row>
    <row r="854" ht="15" customHeight="1">
      <c r="A854" t="inlineStr">
        <is>
          <t>A 34199-2019</t>
        </is>
      </c>
      <c r="B854" s="1" t="n">
        <v>43644</v>
      </c>
      <c r="C854" s="1" t="n">
        <v>45843</v>
      </c>
      <c r="D854" t="inlineStr">
        <is>
          <t>SÖDERMANLANDS LÄN</t>
        </is>
      </c>
      <c r="E854" t="inlineStr">
        <is>
          <t>STRÄNGNÄS</t>
        </is>
      </c>
      <c r="G854" t="n">
        <v>7.6</v>
      </c>
      <c r="H854" t="n">
        <v>0</v>
      </c>
      <c r="I854" t="n">
        <v>0</v>
      </c>
      <c r="J854" t="n">
        <v>0</v>
      </c>
      <c r="K854" t="n">
        <v>0</v>
      </c>
      <c r="L854" t="n">
        <v>0</v>
      </c>
      <c r="M854" t="n">
        <v>0</v>
      </c>
      <c r="N854" t="n">
        <v>0</v>
      </c>
      <c r="O854" t="n">
        <v>0</v>
      </c>
      <c r="P854" t="n">
        <v>0</v>
      </c>
      <c r="Q854" t="n">
        <v>0</v>
      </c>
      <c r="R854" s="2" t="inlineStr"/>
    </row>
    <row r="855" ht="15" customHeight="1">
      <c r="A855" t="inlineStr">
        <is>
          <t>A 32555-2019</t>
        </is>
      </c>
      <c r="B855" s="1" t="n">
        <v>43645</v>
      </c>
      <c r="C855" s="1" t="n">
        <v>45843</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32870-2019</t>
        </is>
      </c>
      <c r="B856" s="1" t="n">
        <v>43648</v>
      </c>
      <c r="C856" s="1" t="n">
        <v>45843</v>
      </c>
      <c r="D856" t="inlineStr">
        <is>
          <t>SÖDERMANLANDS LÄN</t>
        </is>
      </c>
      <c r="E856" t="inlineStr">
        <is>
          <t>STRÄNGNÄS</t>
        </is>
      </c>
      <c r="F856" t="inlineStr">
        <is>
          <t>Övriga Aktiebolag</t>
        </is>
      </c>
      <c r="G856" t="n">
        <v>1.5</v>
      </c>
      <c r="H856" t="n">
        <v>0</v>
      </c>
      <c r="I856" t="n">
        <v>0</v>
      </c>
      <c r="J856" t="n">
        <v>0</v>
      </c>
      <c r="K856" t="n">
        <v>0</v>
      </c>
      <c r="L856" t="n">
        <v>0</v>
      </c>
      <c r="M856" t="n">
        <v>0</v>
      </c>
      <c r="N856" t="n">
        <v>0</v>
      </c>
      <c r="O856" t="n">
        <v>0</v>
      </c>
      <c r="P856" t="n">
        <v>0</v>
      </c>
      <c r="Q856" t="n">
        <v>0</v>
      </c>
      <c r="R856" s="2" t="inlineStr"/>
    </row>
    <row r="857" ht="15" customHeight="1">
      <c r="A857" t="inlineStr">
        <is>
          <t>A 32789-2019</t>
        </is>
      </c>
      <c r="B857" s="1" t="n">
        <v>43648</v>
      </c>
      <c r="C857" s="1" t="n">
        <v>45843</v>
      </c>
      <c r="D857" t="inlineStr">
        <is>
          <t>SÖDERMANLANDS LÄN</t>
        </is>
      </c>
      <c r="E857" t="inlineStr">
        <is>
          <t>VINGÅKER</t>
        </is>
      </c>
      <c r="G857" t="n">
        <v>2.4</v>
      </c>
      <c r="H857" t="n">
        <v>0</v>
      </c>
      <c r="I857" t="n">
        <v>0</v>
      </c>
      <c r="J857" t="n">
        <v>0</v>
      </c>
      <c r="K857" t="n">
        <v>0</v>
      </c>
      <c r="L857" t="n">
        <v>0</v>
      </c>
      <c r="M857" t="n">
        <v>0</v>
      </c>
      <c r="N857" t="n">
        <v>0</v>
      </c>
      <c r="O857" t="n">
        <v>0</v>
      </c>
      <c r="P857" t="n">
        <v>0</v>
      </c>
      <c r="Q857" t="n">
        <v>0</v>
      </c>
      <c r="R857" s="2" t="inlineStr"/>
    </row>
    <row r="858" ht="15" customHeight="1">
      <c r="A858" t="inlineStr">
        <is>
          <t>A 33074-2019</t>
        </is>
      </c>
      <c r="B858" s="1" t="n">
        <v>43649</v>
      </c>
      <c r="C858" s="1" t="n">
        <v>45843</v>
      </c>
      <c r="D858" t="inlineStr">
        <is>
          <t>SÖDERMANLANDS LÄN</t>
        </is>
      </c>
      <c r="E858" t="inlineStr">
        <is>
          <t>STRÄNGNÄS</t>
        </is>
      </c>
      <c r="G858" t="n">
        <v>4.1</v>
      </c>
      <c r="H858" t="n">
        <v>0</v>
      </c>
      <c r="I858" t="n">
        <v>0</v>
      </c>
      <c r="J858" t="n">
        <v>0</v>
      </c>
      <c r="K858" t="n">
        <v>0</v>
      </c>
      <c r="L858" t="n">
        <v>0</v>
      </c>
      <c r="M858" t="n">
        <v>0</v>
      </c>
      <c r="N858" t="n">
        <v>0</v>
      </c>
      <c r="O858" t="n">
        <v>0</v>
      </c>
      <c r="P858" t="n">
        <v>0</v>
      </c>
      <c r="Q858" t="n">
        <v>0</v>
      </c>
      <c r="R858" s="2" t="inlineStr"/>
    </row>
    <row r="859" ht="15" customHeight="1">
      <c r="A859" t="inlineStr">
        <is>
          <t>A 33113-2019</t>
        </is>
      </c>
      <c r="B859" s="1" t="n">
        <v>43649</v>
      </c>
      <c r="C859" s="1" t="n">
        <v>45843</v>
      </c>
      <c r="D859" t="inlineStr">
        <is>
          <t>SÖDERMANLANDS LÄN</t>
        </is>
      </c>
      <c r="E859" t="inlineStr">
        <is>
          <t>STRÄNGNÄS</t>
        </is>
      </c>
      <c r="G859" t="n">
        <v>2.8</v>
      </c>
      <c r="H859" t="n">
        <v>0</v>
      </c>
      <c r="I859" t="n">
        <v>0</v>
      </c>
      <c r="J859" t="n">
        <v>0</v>
      </c>
      <c r="K859" t="n">
        <v>0</v>
      </c>
      <c r="L859" t="n">
        <v>0</v>
      </c>
      <c r="M859" t="n">
        <v>0</v>
      </c>
      <c r="N859" t="n">
        <v>0</v>
      </c>
      <c r="O859" t="n">
        <v>0</v>
      </c>
      <c r="P859" t="n">
        <v>0</v>
      </c>
      <c r="Q859" t="n">
        <v>0</v>
      </c>
      <c r="R859" s="2" t="inlineStr"/>
    </row>
    <row r="860" ht="15" customHeight="1">
      <c r="A860" t="inlineStr">
        <is>
          <t>A 33000-2019</t>
        </is>
      </c>
      <c r="B860" s="1" t="n">
        <v>43649</v>
      </c>
      <c r="C860" s="1" t="n">
        <v>45843</v>
      </c>
      <c r="D860" t="inlineStr">
        <is>
          <t>SÖDERMANLANDS LÄN</t>
        </is>
      </c>
      <c r="E860" t="inlineStr">
        <is>
          <t>STRÄNGNÄS</t>
        </is>
      </c>
      <c r="F860" t="inlineStr">
        <is>
          <t>Övriga Aktiebolag</t>
        </is>
      </c>
      <c r="G860" t="n">
        <v>8.1</v>
      </c>
      <c r="H860" t="n">
        <v>0</v>
      </c>
      <c r="I860" t="n">
        <v>0</v>
      </c>
      <c r="J860" t="n">
        <v>0</v>
      </c>
      <c r="K860" t="n">
        <v>0</v>
      </c>
      <c r="L860" t="n">
        <v>0</v>
      </c>
      <c r="M860" t="n">
        <v>0</v>
      </c>
      <c r="N860" t="n">
        <v>0</v>
      </c>
      <c r="O860" t="n">
        <v>0</v>
      </c>
      <c r="P860" t="n">
        <v>0</v>
      </c>
      <c r="Q860" t="n">
        <v>0</v>
      </c>
      <c r="R860" s="2" t="inlineStr"/>
    </row>
    <row r="861" ht="15" customHeight="1">
      <c r="A861" t="inlineStr">
        <is>
          <t>A 33364-2019</t>
        </is>
      </c>
      <c r="B861" s="1" t="n">
        <v>43650</v>
      </c>
      <c r="C861" s="1" t="n">
        <v>45843</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33397-2019</t>
        </is>
      </c>
      <c r="B862" s="1" t="n">
        <v>43650</v>
      </c>
      <c r="C862" s="1" t="n">
        <v>45843</v>
      </c>
      <c r="D862" t="inlineStr">
        <is>
          <t>SÖDERMANLANDS LÄN</t>
        </is>
      </c>
      <c r="E862" t="inlineStr">
        <is>
          <t>TROSA</t>
        </is>
      </c>
      <c r="G862" t="n">
        <v>0.3</v>
      </c>
      <c r="H862" t="n">
        <v>0</v>
      </c>
      <c r="I862" t="n">
        <v>0</v>
      </c>
      <c r="J862" t="n">
        <v>0</v>
      </c>
      <c r="K862" t="n">
        <v>0</v>
      </c>
      <c r="L862" t="n">
        <v>0</v>
      </c>
      <c r="M862" t="n">
        <v>0</v>
      </c>
      <c r="N862" t="n">
        <v>0</v>
      </c>
      <c r="O862" t="n">
        <v>0</v>
      </c>
      <c r="P862" t="n">
        <v>0</v>
      </c>
      <c r="Q862" t="n">
        <v>0</v>
      </c>
      <c r="R862" s="2" t="inlineStr"/>
    </row>
    <row r="863" ht="15" customHeight="1">
      <c r="A863" t="inlineStr">
        <is>
          <t>A 34856-2019</t>
        </is>
      </c>
      <c r="B863" s="1" t="n">
        <v>43650</v>
      </c>
      <c r="C863" s="1" t="n">
        <v>45843</v>
      </c>
      <c r="D863" t="inlineStr">
        <is>
          <t>SÖDERMANLANDS LÄN</t>
        </is>
      </c>
      <c r="E863" t="inlineStr">
        <is>
          <t>KATRINEHOLM</t>
        </is>
      </c>
      <c r="G863" t="n">
        <v>2.7</v>
      </c>
      <c r="H863" t="n">
        <v>0</v>
      </c>
      <c r="I863" t="n">
        <v>0</v>
      </c>
      <c r="J863" t="n">
        <v>0</v>
      </c>
      <c r="K863" t="n">
        <v>0</v>
      </c>
      <c r="L863" t="n">
        <v>0</v>
      </c>
      <c r="M863" t="n">
        <v>0</v>
      </c>
      <c r="N863" t="n">
        <v>0</v>
      </c>
      <c r="O863" t="n">
        <v>0</v>
      </c>
      <c r="P863" t="n">
        <v>0</v>
      </c>
      <c r="Q863" t="n">
        <v>0</v>
      </c>
      <c r="R863" s="2" t="inlineStr"/>
    </row>
    <row r="864" ht="15" customHeight="1">
      <c r="A864" t="inlineStr">
        <is>
          <t>A 33315-2019</t>
        </is>
      </c>
      <c r="B864" s="1" t="n">
        <v>43650</v>
      </c>
      <c r="C864" s="1" t="n">
        <v>45843</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33488-2019</t>
        </is>
      </c>
      <c r="B865" s="1" t="n">
        <v>43651</v>
      </c>
      <c r="C865" s="1" t="n">
        <v>45843</v>
      </c>
      <c r="D865" t="inlineStr">
        <is>
          <t>SÖDERMANLANDS LÄN</t>
        </is>
      </c>
      <c r="E865" t="inlineStr">
        <is>
          <t>STRÄNGNÄS</t>
        </is>
      </c>
      <c r="F865" t="inlineStr">
        <is>
          <t>Allmännings- och besparingsskogar</t>
        </is>
      </c>
      <c r="G865" t="n">
        <v>20.1</v>
      </c>
      <c r="H865" t="n">
        <v>0</v>
      </c>
      <c r="I865" t="n">
        <v>0</v>
      </c>
      <c r="J865" t="n">
        <v>0</v>
      </c>
      <c r="K865" t="n">
        <v>0</v>
      </c>
      <c r="L865" t="n">
        <v>0</v>
      </c>
      <c r="M865" t="n">
        <v>0</v>
      </c>
      <c r="N865" t="n">
        <v>0</v>
      </c>
      <c r="O865" t="n">
        <v>0</v>
      </c>
      <c r="P865" t="n">
        <v>0</v>
      </c>
      <c r="Q865" t="n">
        <v>0</v>
      </c>
      <c r="R865" s="2" t="inlineStr"/>
    </row>
    <row r="866" ht="15" customHeight="1">
      <c r="A866" t="inlineStr">
        <is>
          <t>A 33760-2019</t>
        </is>
      </c>
      <c r="B866" s="1" t="n">
        <v>43651</v>
      </c>
      <c r="C866" s="1" t="n">
        <v>45843</v>
      </c>
      <c r="D866" t="inlineStr">
        <is>
          <t>SÖDERMANLANDS LÄN</t>
        </is>
      </c>
      <c r="E866" t="inlineStr">
        <is>
          <t>STRÄNGNÄS</t>
        </is>
      </c>
      <c r="F866" t="inlineStr">
        <is>
          <t>Allmännings- och besparingsskogar</t>
        </is>
      </c>
      <c r="G866" t="n">
        <v>15.1</v>
      </c>
      <c r="H866" t="n">
        <v>0</v>
      </c>
      <c r="I866" t="n">
        <v>0</v>
      </c>
      <c r="J866" t="n">
        <v>0</v>
      </c>
      <c r="K866" t="n">
        <v>0</v>
      </c>
      <c r="L866" t="n">
        <v>0</v>
      </c>
      <c r="M866" t="n">
        <v>0</v>
      </c>
      <c r="N866" t="n">
        <v>0</v>
      </c>
      <c r="O866" t="n">
        <v>0</v>
      </c>
      <c r="P866" t="n">
        <v>0</v>
      </c>
      <c r="Q866" t="n">
        <v>0</v>
      </c>
      <c r="R866" s="2" t="inlineStr"/>
    </row>
    <row r="867" ht="15" customHeight="1">
      <c r="A867" t="inlineStr">
        <is>
          <t>A 33819-2019</t>
        </is>
      </c>
      <c r="B867" s="1" t="n">
        <v>43651</v>
      </c>
      <c r="C867" s="1" t="n">
        <v>45843</v>
      </c>
      <c r="D867" t="inlineStr">
        <is>
          <t>SÖDERMANLANDS LÄN</t>
        </is>
      </c>
      <c r="E867" t="inlineStr">
        <is>
          <t>VINGÅKER</t>
        </is>
      </c>
      <c r="G867" t="n">
        <v>0.8</v>
      </c>
      <c r="H867" t="n">
        <v>0</v>
      </c>
      <c r="I867" t="n">
        <v>0</v>
      </c>
      <c r="J867" t="n">
        <v>0</v>
      </c>
      <c r="K867" t="n">
        <v>0</v>
      </c>
      <c r="L867" t="n">
        <v>0</v>
      </c>
      <c r="M867" t="n">
        <v>0</v>
      </c>
      <c r="N867" t="n">
        <v>0</v>
      </c>
      <c r="O867" t="n">
        <v>0</v>
      </c>
      <c r="P867" t="n">
        <v>0</v>
      </c>
      <c r="Q867" t="n">
        <v>0</v>
      </c>
      <c r="R867" s="2" t="inlineStr"/>
    </row>
    <row r="868" ht="15" customHeight="1">
      <c r="A868" t="inlineStr">
        <is>
          <t>A 33804-2019</t>
        </is>
      </c>
      <c r="B868" s="1" t="n">
        <v>43651</v>
      </c>
      <c r="C868" s="1" t="n">
        <v>45843</v>
      </c>
      <c r="D868" t="inlineStr">
        <is>
          <t>SÖDERMANLANDS LÄN</t>
        </is>
      </c>
      <c r="E868" t="inlineStr">
        <is>
          <t>STRÄNGNÄS</t>
        </is>
      </c>
      <c r="F868" t="inlineStr">
        <is>
          <t>Allmännings- och besparingsskogar</t>
        </is>
      </c>
      <c r="G868" t="n">
        <v>4.4</v>
      </c>
      <c r="H868" t="n">
        <v>0</v>
      </c>
      <c r="I868" t="n">
        <v>0</v>
      </c>
      <c r="J868" t="n">
        <v>0</v>
      </c>
      <c r="K868" t="n">
        <v>0</v>
      </c>
      <c r="L868" t="n">
        <v>0</v>
      </c>
      <c r="M868" t="n">
        <v>0</v>
      </c>
      <c r="N868" t="n">
        <v>0</v>
      </c>
      <c r="O868" t="n">
        <v>0</v>
      </c>
      <c r="P868" t="n">
        <v>0</v>
      </c>
      <c r="Q868" t="n">
        <v>0</v>
      </c>
      <c r="R868" s="2" t="inlineStr"/>
    </row>
    <row r="869" ht="15" customHeight="1">
      <c r="A869" t="inlineStr">
        <is>
          <t>A 35468-2019</t>
        </is>
      </c>
      <c r="B869" s="1" t="n">
        <v>43651</v>
      </c>
      <c r="C869" s="1" t="n">
        <v>45843</v>
      </c>
      <c r="D869" t="inlineStr">
        <is>
          <t>SÖDERMANLANDS LÄN</t>
        </is>
      </c>
      <c r="E869" t="inlineStr">
        <is>
          <t>NYKÖPING</t>
        </is>
      </c>
      <c r="F869" t="inlineStr">
        <is>
          <t>Kommuner</t>
        </is>
      </c>
      <c r="G869" t="n">
        <v>3.3</v>
      </c>
      <c r="H869" t="n">
        <v>0</v>
      </c>
      <c r="I869" t="n">
        <v>0</v>
      </c>
      <c r="J869" t="n">
        <v>0</v>
      </c>
      <c r="K869" t="n">
        <v>0</v>
      </c>
      <c r="L869" t="n">
        <v>0</v>
      </c>
      <c r="M869" t="n">
        <v>0</v>
      </c>
      <c r="N869" t="n">
        <v>0</v>
      </c>
      <c r="O869" t="n">
        <v>0</v>
      </c>
      <c r="P869" t="n">
        <v>0</v>
      </c>
      <c r="Q869" t="n">
        <v>0</v>
      </c>
      <c r="R869" s="2" t="inlineStr"/>
    </row>
    <row r="870" ht="15" customHeight="1">
      <c r="A870" t="inlineStr">
        <is>
          <t>A 33489-2019</t>
        </is>
      </c>
      <c r="B870" s="1" t="n">
        <v>43651</v>
      </c>
      <c r="C870" s="1" t="n">
        <v>45843</v>
      </c>
      <c r="D870" t="inlineStr">
        <is>
          <t>SÖDERMANLANDS LÄN</t>
        </is>
      </c>
      <c r="E870" t="inlineStr">
        <is>
          <t>ESKILSTUNA</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33490-2019</t>
        </is>
      </c>
      <c r="B871" s="1" t="n">
        <v>43651</v>
      </c>
      <c r="C871" s="1" t="n">
        <v>45843</v>
      </c>
      <c r="D871" t="inlineStr">
        <is>
          <t>SÖDERMANLANDS LÄN</t>
        </is>
      </c>
      <c r="E871" t="inlineStr">
        <is>
          <t>ESKILSTUNA</t>
        </is>
      </c>
      <c r="F871" t="inlineStr">
        <is>
          <t>Allmännings- och besparingsskogar</t>
        </is>
      </c>
      <c r="G871" t="n">
        <v>1.4</v>
      </c>
      <c r="H871" t="n">
        <v>0</v>
      </c>
      <c r="I871" t="n">
        <v>0</v>
      </c>
      <c r="J871" t="n">
        <v>0</v>
      </c>
      <c r="K871" t="n">
        <v>0</v>
      </c>
      <c r="L871" t="n">
        <v>0</v>
      </c>
      <c r="M871" t="n">
        <v>0</v>
      </c>
      <c r="N871" t="n">
        <v>0</v>
      </c>
      <c r="O871" t="n">
        <v>0</v>
      </c>
      <c r="P871" t="n">
        <v>0</v>
      </c>
      <c r="Q871" t="n">
        <v>0</v>
      </c>
      <c r="R871" s="2" t="inlineStr"/>
    </row>
    <row r="872" ht="15" customHeight="1">
      <c r="A872" t="inlineStr">
        <is>
          <t>A 33968-2019</t>
        </is>
      </c>
      <c r="B872" s="1" t="n">
        <v>43654</v>
      </c>
      <c r="C872" s="1" t="n">
        <v>45843</v>
      </c>
      <c r="D872" t="inlineStr">
        <is>
          <t>SÖDERMANLANDS LÄN</t>
        </is>
      </c>
      <c r="E872" t="inlineStr">
        <is>
          <t>NYKÖPING</t>
        </is>
      </c>
      <c r="F872" t="inlineStr">
        <is>
          <t>Kyrkan</t>
        </is>
      </c>
      <c r="G872" t="n">
        <v>3.7</v>
      </c>
      <c r="H872" t="n">
        <v>0</v>
      </c>
      <c r="I872" t="n">
        <v>0</v>
      </c>
      <c r="J872" t="n">
        <v>0</v>
      </c>
      <c r="K872" t="n">
        <v>0</v>
      </c>
      <c r="L872" t="n">
        <v>0</v>
      </c>
      <c r="M872" t="n">
        <v>0</v>
      </c>
      <c r="N872" t="n">
        <v>0</v>
      </c>
      <c r="O872" t="n">
        <v>0</v>
      </c>
      <c r="P872" t="n">
        <v>0</v>
      </c>
      <c r="Q872" t="n">
        <v>0</v>
      </c>
      <c r="R872" s="2" t="inlineStr"/>
    </row>
    <row r="873" ht="15" customHeight="1">
      <c r="A873" t="inlineStr">
        <is>
          <t>A 35428-2019</t>
        </is>
      </c>
      <c r="B873" s="1" t="n">
        <v>43654</v>
      </c>
      <c r="C873" s="1" t="n">
        <v>45843</v>
      </c>
      <c r="D873" t="inlineStr">
        <is>
          <t>SÖDERMANLANDS LÄN</t>
        </is>
      </c>
      <c r="E873" t="inlineStr">
        <is>
          <t>KATRINEHOLM</t>
        </is>
      </c>
      <c r="G873" t="n">
        <v>1.2</v>
      </c>
      <c r="H873" t="n">
        <v>0</v>
      </c>
      <c r="I873" t="n">
        <v>0</v>
      </c>
      <c r="J873" t="n">
        <v>0</v>
      </c>
      <c r="K873" t="n">
        <v>0</v>
      </c>
      <c r="L873" t="n">
        <v>0</v>
      </c>
      <c r="M873" t="n">
        <v>0</v>
      </c>
      <c r="N873" t="n">
        <v>0</v>
      </c>
      <c r="O873" t="n">
        <v>0</v>
      </c>
      <c r="P873" t="n">
        <v>0</v>
      </c>
      <c r="Q873" t="n">
        <v>0</v>
      </c>
      <c r="R873" s="2" t="inlineStr"/>
    </row>
    <row r="874" ht="15" customHeight="1">
      <c r="A874" t="inlineStr">
        <is>
          <t>A 34226-2019</t>
        </is>
      </c>
      <c r="B874" s="1" t="n">
        <v>43655</v>
      </c>
      <c r="C874" s="1" t="n">
        <v>45843</v>
      </c>
      <c r="D874" t="inlineStr">
        <is>
          <t>SÖDERMANLANDS LÄN</t>
        </is>
      </c>
      <c r="E874" t="inlineStr">
        <is>
          <t>VINGÅKER</t>
        </is>
      </c>
      <c r="G874" t="n">
        <v>2.6</v>
      </c>
      <c r="H874" t="n">
        <v>0</v>
      </c>
      <c r="I874" t="n">
        <v>0</v>
      </c>
      <c r="J874" t="n">
        <v>0</v>
      </c>
      <c r="K874" t="n">
        <v>0</v>
      </c>
      <c r="L874" t="n">
        <v>0</v>
      </c>
      <c r="M874" t="n">
        <v>0</v>
      </c>
      <c r="N874" t="n">
        <v>0</v>
      </c>
      <c r="O874" t="n">
        <v>0</v>
      </c>
      <c r="P874" t="n">
        <v>0</v>
      </c>
      <c r="Q874" t="n">
        <v>0</v>
      </c>
      <c r="R874" s="2" t="inlineStr"/>
    </row>
    <row r="875" ht="15" customHeight="1">
      <c r="A875" t="inlineStr">
        <is>
          <t>A 35583-2019</t>
        </is>
      </c>
      <c r="B875" s="1" t="n">
        <v>43655</v>
      </c>
      <c r="C875" s="1" t="n">
        <v>45843</v>
      </c>
      <c r="D875" t="inlineStr">
        <is>
          <t>SÖDERMANLANDS LÄN</t>
        </is>
      </c>
      <c r="E875" t="inlineStr">
        <is>
          <t>FLEN</t>
        </is>
      </c>
      <c r="G875" t="n">
        <v>8</v>
      </c>
      <c r="H875" t="n">
        <v>0</v>
      </c>
      <c r="I875" t="n">
        <v>0</v>
      </c>
      <c r="J875" t="n">
        <v>0</v>
      </c>
      <c r="K875" t="n">
        <v>0</v>
      </c>
      <c r="L875" t="n">
        <v>0</v>
      </c>
      <c r="M875" t="n">
        <v>0</v>
      </c>
      <c r="N875" t="n">
        <v>0</v>
      </c>
      <c r="O875" t="n">
        <v>0</v>
      </c>
      <c r="P875" t="n">
        <v>0</v>
      </c>
      <c r="Q875" t="n">
        <v>0</v>
      </c>
      <c r="R875" s="2" t="inlineStr"/>
    </row>
    <row r="876" ht="15" customHeight="1">
      <c r="A876" t="inlineStr">
        <is>
          <t>A 34459-2019</t>
        </is>
      </c>
      <c r="B876" s="1" t="n">
        <v>43656</v>
      </c>
      <c r="C876" s="1" t="n">
        <v>45843</v>
      </c>
      <c r="D876" t="inlineStr">
        <is>
          <t>SÖDERMANLANDS LÄN</t>
        </is>
      </c>
      <c r="E876" t="inlineStr">
        <is>
          <t>VINGÅKER</t>
        </is>
      </c>
      <c r="G876" t="n">
        <v>0.7</v>
      </c>
      <c r="H876" t="n">
        <v>0</v>
      </c>
      <c r="I876" t="n">
        <v>0</v>
      </c>
      <c r="J876" t="n">
        <v>0</v>
      </c>
      <c r="K876" t="n">
        <v>0</v>
      </c>
      <c r="L876" t="n">
        <v>0</v>
      </c>
      <c r="M876" t="n">
        <v>0</v>
      </c>
      <c r="N876" t="n">
        <v>0</v>
      </c>
      <c r="O876" t="n">
        <v>0</v>
      </c>
      <c r="P876" t="n">
        <v>0</v>
      </c>
      <c r="Q876" t="n">
        <v>0</v>
      </c>
      <c r="R876" s="2" t="inlineStr"/>
    </row>
    <row r="877" ht="15" customHeight="1">
      <c r="A877" t="inlineStr">
        <is>
          <t>A 34457-2019</t>
        </is>
      </c>
      <c r="B877" s="1" t="n">
        <v>43656</v>
      </c>
      <c r="C877" s="1" t="n">
        <v>45843</v>
      </c>
      <c r="D877" t="inlineStr">
        <is>
          <t>SÖDERMANLANDS LÄN</t>
        </is>
      </c>
      <c r="E877" t="inlineStr">
        <is>
          <t>VINGÅKER</t>
        </is>
      </c>
      <c r="G877" t="n">
        <v>0.8</v>
      </c>
      <c r="H877" t="n">
        <v>0</v>
      </c>
      <c r="I877" t="n">
        <v>0</v>
      </c>
      <c r="J877" t="n">
        <v>0</v>
      </c>
      <c r="K877" t="n">
        <v>0</v>
      </c>
      <c r="L877" t="n">
        <v>0</v>
      </c>
      <c r="M877" t="n">
        <v>0</v>
      </c>
      <c r="N877" t="n">
        <v>0</v>
      </c>
      <c r="O877" t="n">
        <v>0</v>
      </c>
      <c r="P877" t="n">
        <v>0</v>
      </c>
      <c r="Q877" t="n">
        <v>0</v>
      </c>
      <c r="R877" s="2" t="inlineStr"/>
    </row>
    <row r="878" ht="15" customHeight="1">
      <c r="A878" t="inlineStr">
        <is>
          <t>A 35802-2019</t>
        </is>
      </c>
      <c r="B878" s="1" t="n">
        <v>43656</v>
      </c>
      <c r="C878" s="1" t="n">
        <v>45843</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35864-2019</t>
        </is>
      </c>
      <c r="B879" s="1" t="n">
        <v>43656</v>
      </c>
      <c r="C879" s="1" t="n">
        <v>45843</v>
      </c>
      <c r="D879" t="inlineStr">
        <is>
          <t>SÖDERMANLANDS LÄN</t>
        </is>
      </c>
      <c r="E879" t="inlineStr">
        <is>
          <t>ESKILSTUNA</t>
        </is>
      </c>
      <c r="G879" t="n">
        <v>5.6</v>
      </c>
      <c r="H879" t="n">
        <v>0</v>
      </c>
      <c r="I879" t="n">
        <v>0</v>
      </c>
      <c r="J879" t="n">
        <v>0</v>
      </c>
      <c r="K879" t="n">
        <v>0</v>
      </c>
      <c r="L879" t="n">
        <v>0</v>
      </c>
      <c r="M879" t="n">
        <v>0</v>
      </c>
      <c r="N879" t="n">
        <v>0</v>
      </c>
      <c r="O879" t="n">
        <v>0</v>
      </c>
      <c r="P879" t="n">
        <v>0</v>
      </c>
      <c r="Q879" t="n">
        <v>0</v>
      </c>
      <c r="R879" s="2" t="inlineStr"/>
    </row>
    <row r="880" ht="15" customHeight="1">
      <c r="A880" t="inlineStr">
        <is>
          <t>A 35796-2019</t>
        </is>
      </c>
      <c r="B880" s="1" t="n">
        <v>43656</v>
      </c>
      <c r="C880" s="1" t="n">
        <v>45843</v>
      </c>
      <c r="D880" t="inlineStr">
        <is>
          <t>SÖDERMANLANDS LÄN</t>
        </is>
      </c>
      <c r="E880" t="inlineStr">
        <is>
          <t>VINGÅKER</t>
        </is>
      </c>
      <c r="G880" t="n">
        <v>7.3</v>
      </c>
      <c r="H880" t="n">
        <v>0</v>
      </c>
      <c r="I880" t="n">
        <v>0</v>
      </c>
      <c r="J880" t="n">
        <v>0</v>
      </c>
      <c r="K880" t="n">
        <v>0</v>
      </c>
      <c r="L880" t="n">
        <v>0</v>
      </c>
      <c r="M880" t="n">
        <v>0</v>
      </c>
      <c r="N880" t="n">
        <v>0</v>
      </c>
      <c r="O880" t="n">
        <v>0</v>
      </c>
      <c r="P880" t="n">
        <v>0</v>
      </c>
      <c r="Q880" t="n">
        <v>0</v>
      </c>
      <c r="R880" s="2" t="inlineStr"/>
    </row>
    <row r="881" ht="15" customHeight="1">
      <c r="A881" t="inlineStr">
        <is>
          <t>A 34606-2019</t>
        </is>
      </c>
      <c r="B881" s="1" t="n">
        <v>43657</v>
      </c>
      <c r="C881" s="1" t="n">
        <v>45843</v>
      </c>
      <c r="D881" t="inlineStr">
        <is>
          <t>SÖDERMANLANDS LÄN</t>
        </is>
      </c>
      <c r="E881" t="inlineStr">
        <is>
          <t>NYKÖPING</t>
        </is>
      </c>
      <c r="F881" t="inlineStr">
        <is>
          <t>Kommuner</t>
        </is>
      </c>
      <c r="G881" t="n">
        <v>2.8</v>
      </c>
      <c r="H881" t="n">
        <v>0</v>
      </c>
      <c r="I881" t="n">
        <v>0</v>
      </c>
      <c r="J881" t="n">
        <v>0</v>
      </c>
      <c r="K881" t="n">
        <v>0</v>
      </c>
      <c r="L881" t="n">
        <v>0</v>
      </c>
      <c r="M881" t="n">
        <v>0</v>
      </c>
      <c r="N881" t="n">
        <v>0</v>
      </c>
      <c r="O881" t="n">
        <v>0</v>
      </c>
      <c r="P881" t="n">
        <v>0</v>
      </c>
      <c r="Q881" t="n">
        <v>0</v>
      </c>
      <c r="R881" s="2" t="inlineStr"/>
    </row>
    <row r="882" ht="15" customHeight="1">
      <c r="A882" t="inlineStr">
        <is>
          <t>A 34988-2019</t>
        </is>
      </c>
      <c r="B882" s="1" t="n">
        <v>43659</v>
      </c>
      <c r="C882" s="1" t="n">
        <v>45843</v>
      </c>
      <c r="D882" t="inlineStr">
        <is>
          <t>SÖDERMANLANDS LÄN</t>
        </is>
      </c>
      <c r="E882" t="inlineStr">
        <is>
          <t>FLEN</t>
        </is>
      </c>
      <c r="G882" t="n">
        <v>1.8</v>
      </c>
      <c r="H882" t="n">
        <v>0</v>
      </c>
      <c r="I882" t="n">
        <v>0</v>
      </c>
      <c r="J882" t="n">
        <v>0</v>
      </c>
      <c r="K882" t="n">
        <v>0</v>
      </c>
      <c r="L882" t="n">
        <v>0</v>
      </c>
      <c r="M882" t="n">
        <v>0</v>
      </c>
      <c r="N882" t="n">
        <v>0</v>
      </c>
      <c r="O882" t="n">
        <v>0</v>
      </c>
      <c r="P882" t="n">
        <v>0</v>
      </c>
      <c r="Q882" t="n">
        <v>0</v>
      </c>
      <c r="R882" s="2" t="inlineStr"/>
    </row>
    <row r="883" ht="15" customHeight="1">
      <c r="A883" t="inlineStr">
        <is>
          <t>A 36250-2019</t>
        </is>
      </c>
      <c r="B883" s="1" t="n">
        <v>43660</v>
      </c>
      <c r="C883" s="1" t="n">
        <v>45843</v>
      </c>
      <c r="D883" t="inlineStr">
        <is>
          <t>SÖDERMANLANDS LÄN</t>
        </is>
      </c>
      <c r="E883" t="inlineStr">
        <is>
          <t>KATRINEHOLM</t>
        </is>
      </c>
      <c r="G883" t="n">
        <v>5.4</v>
      </c>
      <c r="H883" t="n">
        <v>0</v>
      </c>
      <c r="I883" t="n">
        <v>0</v>
      </c>
      <c r="J883" t="n">
        <v>0</v>
      </c>
      <c r="K883" t="n">
        <v>0</v>
      </c>
      <c r="L883" t="n">
        <v>0</v>
      </c>
      <c r="M883" t="n">
        <v>0</v>
      </c>
      <c r="N883" t="n">
        <v>0</v>
      </c>
      <c r="O883" t="n">
        <v>0</v>
      </c>
      <c r="P883" t="n">
        <v>0</v>
      </c>
      <c r="Q883" t="n">
        <v>0</v>
      </c>
      <c r="R883" s="2" t="inlineStr"/>
    </row>
    <row r="884" ht="15" customHeight="1">
      <c r="A884" t="inlineStr">
        <is>
          <t>A 35023-2019</t>
        </is>
      </c>
      <c r="B884" s="1" t="n">
        <v>43661</v>
      </c>
      <c r="C884" s="1" t="n">
        <v>45843</v>
      </c>
      <c r="D884" t="inlineStr">
        <is>
          <t>SÖDERMANLANDS LÄN</t>
        </is>
      </c>
      <c r="E884" t="inlineStr">
        <is>
          <t>FLEN</t>
        </is>
      </c>
      <c r="F884" t="inlineStr">
        <is>
          <t>Övriga statliga verk och myndigheter</t>
        </is>
      </c>
      <c r="G884" t="n">
        <v>12.1</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45843</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45843</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45843</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45843</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45843</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45843</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45843</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45843</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45843</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45843</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45843</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45843</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45843</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45843</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45843</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45843</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45843</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45843</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45843</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45843</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45843</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45843</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45843</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45843</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45843</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45843</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45843</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45843</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45843</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45843</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45843</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45843</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45843</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45843</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45843</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45843</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45843</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45843</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45843</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45843</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45843</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45843</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45843</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45843</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45843</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45843</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45843</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45843</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45843</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45843</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45843</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45843</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45843</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45843</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45843</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45843</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45843</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45843</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45843</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45843</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45843</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45843</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45843</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45843</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45843</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45843</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45843</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45843</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45843</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45843</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45843</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45843</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45843</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45843</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45843</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45843</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45843</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45843</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45843</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45843</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45843</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45843</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45843</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45843</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45843</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45843</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45843</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45843</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45843</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45843</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45843</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45843</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45843</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45843</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45843</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45843</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45843</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45843</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45843</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45843</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45843</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45843</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45843</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45843</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45843</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45843</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45843</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45843</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45843</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45843</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45843</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45843</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45843</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45843</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45843</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45843</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45843</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45843</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45843</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45843</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45843</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45843</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45843</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45843</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45843</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45843</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45843</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45843</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45843</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45843</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45843</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45843</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45843</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45843</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45843</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45843</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45843</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45843</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45843</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45843</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45843</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45843</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45843</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45843</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45843</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45843</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45843</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45843</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45843</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45843</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45843</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45843</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45843</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45843</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45843</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45843</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45843</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45843</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45843</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45843</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45843</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45843</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45843</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45843</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45843</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45843</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45843</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45843</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45843</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45843</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45843</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45843</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45843</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45843</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45843</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45843</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45843</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45843</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45843</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45843</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45843</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45843</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45843</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45843</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45843</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45843</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45843</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45843</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45843</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45843</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45843</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45843</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45843</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45843</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45843</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45843</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45843</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45843</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45843</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45843</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45843</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45843</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45843</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45843</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45843</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45843</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45843</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45843</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45843</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45843</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45843</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45843</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45843</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45843</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45843</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45843</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45843</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45843</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45843</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45843</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45843</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45843</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45843</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45843</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45843</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45843</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45843</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45843</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45843</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45843</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45843</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45843</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45843</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45843</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45843</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45843</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45843</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45843</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45843</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45843</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45843</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45843</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45843</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45843</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45843</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45843</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45843</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45843</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45843</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45843</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45843</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45843</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45843</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45843</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45843</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45843</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45843</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45843</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45843</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45843</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45843</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45843</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45843</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45843</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45843</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45843</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45843</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45843</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45843</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45843</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45843</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45843</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45843</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45843</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45843</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45843</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45843</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45843</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45843</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45843</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45843</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45843</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45843</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45843</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45843</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45843</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45843</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45843</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45843</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45843</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45843</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45843</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45843</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45843</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45843</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45843</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45843</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45843</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45843</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45843</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45843</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45843</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45843</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45843</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45843</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45843</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45843</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45843</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45843</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45843</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45843</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45843</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45843</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45843</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45843</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45843</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45843</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45843</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45843</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45843</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45843</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45843</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45843</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45843</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45843</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45843</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45843</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45843</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45843</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45843</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45843</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45843</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45843</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45843</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45843</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45843</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45843</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45843</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45843</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45843</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45843</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45843</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45843</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45843</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45843</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45843</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45843</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45843</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45843</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45843</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45843</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45843</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45843</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45843</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45843</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45843</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45843</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45843</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45843</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45843</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45843</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45843</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45843</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45843</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45843</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45843</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45843</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45843</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45843</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45843</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45843</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45843</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45843</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45843</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45843</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45843</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45843</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45843</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45843</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45843</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45843</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45843</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45843</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45843</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45843</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45843</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45843</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45843</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45843</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45843</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45843</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45843</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45843</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45843</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45843</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45843</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45843</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45843</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45843</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45843</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45843</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45843</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45843</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45843</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45843</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45843</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45843</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45843</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45843</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45843</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45843</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45843</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45843</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45843</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45843</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45843</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45843</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45843</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45843</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45843</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45843</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45843</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45843</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45843</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45843</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45843</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45843</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45843</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45843</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45843</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45843</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45843</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45843</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45843</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45843</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45843</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45843</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45843</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45843</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45843</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45843</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45843</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45843</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45843</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45843</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45843</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45843</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45843</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45843</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45843</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45843</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45843</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45843</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45843</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45843</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45843</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45843</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45843</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45843</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45843</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45843</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45843</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45843</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45843</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45843</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45843</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45843</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45843</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45843</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45843</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45843</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45843</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45843</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45843</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45843</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45843</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45843</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45843</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45843</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45843</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45843</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45843</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45843</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45843</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45843</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45843</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45843</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45843</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45843</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45843</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45843</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45843</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45843</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45843</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45843</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45843</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45843</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45843</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45843</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45843</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45843</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45843</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45843</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45843</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45843</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45843</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45843</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45843</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45843</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45843</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45843</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45843</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45843</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45843</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45843</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45843</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45843</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45843</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45843</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45843</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45843</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45843</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45843</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45843</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45843</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45843</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45843</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45843</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45843</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45843</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45843</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45843</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45843</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45843</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45843</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45843</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45843</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45843</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45843</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45843</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45843</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45843</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45843</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45843</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45843</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45843</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45843</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45843</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45843</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45843</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45843</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45843</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45843</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45843</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45843</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45843</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45843</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45843</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45843</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45843</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45843</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45843</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45843</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45843</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45843</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45843</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45843</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45843</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45843</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45843</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45843</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45843</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45843</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45843</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45843</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45843</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45843</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45843</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45843</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45843</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45843</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45843</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45843</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45843</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45843</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45843</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45843</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45843</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45843</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45843</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45843</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45843</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45843</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45843</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45843</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45843</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45843</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45843</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45843</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45843</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45843</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45843</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45843</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45843</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45843</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45843</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45843</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45843</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45843</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45843</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45843</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45843</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45843</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45843</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45843</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45843</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45843</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45843</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45843</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45843</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45843</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45843</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45843</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45843</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45843</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45843</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45843</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45843</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45843</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45843</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45843</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45843</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45843</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45843</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45843</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45843</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45843</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45843</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45843</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45843</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45843</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45843</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45843</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45843</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45843</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45843</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45843</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45843</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45843</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45843</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45843</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45843</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45843</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45843</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45843</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45843</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45843</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45843</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45843</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45843</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45843</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45843</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45843</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45843</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45843</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45843</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45843</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45843</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45843</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45843</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45843</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45843</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45843</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45843</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45843</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45843</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45843</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45843</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45843</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45843</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45843</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45843</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45843</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45843</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45843</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45843</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45843</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45843</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45843</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45843</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45843</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45843</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45843</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45843</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45843</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45843</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45843</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45843</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45843</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45843</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45843</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45843</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45843</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45843</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45843</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45843</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45843</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45843</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45843</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45843</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45843</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45843</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45843</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45843</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45843</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45843</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45843</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45843</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45843</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45843</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45843</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45843</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45843</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45843</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45843</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45843</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45843</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45843</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45843</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45843</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45843</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45843</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45843</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45843</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45843</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45843</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45843</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45843</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45843</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45843</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45843</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45843</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45843</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45843</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45843</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45843</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45843</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45843</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45843</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45843</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45843</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45843</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45843</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45843</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45843</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45843</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45843</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45843</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45843</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45843</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45843</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45843</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45843</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45843</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45843</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45843</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45843</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45843</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45843</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45843</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45843</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45843</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45843</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45843</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45843</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45843</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45843</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45843</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45843</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45843</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45843</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45843</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45843</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45843</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45843</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45843</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45843</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45843</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45843</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45843</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45843</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45843</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45843</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45843</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45843</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45843</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45843</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45843</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45843</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45843</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45843</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45843</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45843</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45843</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45843</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45843</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45843</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45843</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45843</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45843</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45843</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45843</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45843</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45843</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45843</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45843</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45843</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45843</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45843</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45843</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45843</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45843</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45843</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45843</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45843</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45843</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45843</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45843</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45843</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45843</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45843</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45843</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45843</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45843</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45843</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45843</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45843</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45843</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45843</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45843</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45843</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45843</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45843</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45843</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45843</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45843</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45843</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45843</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45843</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45843</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45843</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45843</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45843</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45843</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45843</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45843</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45843</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45843</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45843</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45843</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45843</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45843</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45843</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45843</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45843</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45843</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45843</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45843</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45843</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45843</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45843</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45843</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45843</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45843</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45843</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45843</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45843</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45843</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45843</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45843</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45843</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45843</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45843</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45843</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45843</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45843</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45843</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45843</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45843</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45843</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45843</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45843</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45843</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45843</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45843</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45843</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45843</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45843</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45843</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45843</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45843</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45843</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45843</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45843</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45843</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45843</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45843</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45843</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45843</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45843</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45843</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45843</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45843</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45843</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45843</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45843</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45843</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45843</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45843</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45843</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45843</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45843</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45843</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45843</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45843</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45843</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45843</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45843</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45843</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45843</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45843</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45843</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45843</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45843</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45843</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45843</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45843</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45843</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45843</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45843</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45843</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45843</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45843</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45843</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45843</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45843</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45843</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45843</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45843</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45843</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45843</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45843</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45843</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45843</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45843</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45843</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45843</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45843</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45843</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45843</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45843</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45843</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45843</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45843</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45843</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45843</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45843</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45843</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45843</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45843</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45843</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45843</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45843</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45843</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45843</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45843</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45843</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45843</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45843</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45843</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45843</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45843</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45843</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45843</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45843</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45843</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45843</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45843</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45843</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45843</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45843</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45843</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45843</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45843</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45843</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45843</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45843</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45843</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45843</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45843</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45843</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45843</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45843</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45843</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45843</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45843</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45843</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45843</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45843</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45843</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45843</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45843</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45843</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45843</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45843</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45843</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45843</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45843</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45843</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45843</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45843</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45843</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45843</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45843</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45843</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45843</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45843</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45843</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45843</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45843</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45843</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45843</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45843</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45843</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45843</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45843</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45843</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45843</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45843</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45843</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45843</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45843</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45843</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45843</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45843</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45843</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45843</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45843</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45843</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45843</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45843</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45843</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45843</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45843</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45843</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45843</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45843</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45843</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45843</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45843</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45843</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45843</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45843</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45843</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45843</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45843</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45843</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45843</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45843</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45843</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45843</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45843</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45843</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45843</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45843</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45843</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45843</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45843</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45843</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45843</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45843</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45843</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45843</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45843</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45843</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45843</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45843</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45843</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45843</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45843</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45843</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45843</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45843</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45843</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45843</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45843</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45843</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45843</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45843</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45843</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45843</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45843</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45843</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45843</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45843</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45843</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45843</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45843</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45843</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45843</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45843</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45843</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45843</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45843</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45843</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45843</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45843</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45843</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45843</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45843</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45843</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45843</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45843</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45843</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45843</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45843</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45843</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45843</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45843</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45843</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45843</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45843</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45843</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45843</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45843</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45843</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45843</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45843</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45843</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45843</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45843</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45843</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45843</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45843</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45843</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45843</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45843</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45843</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45843</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45843</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45843</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45843</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45843</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45843</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45843</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45843</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45843</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45843</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45843</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45843</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45843</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45843</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45843</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45843</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45843</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45843</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45843</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45843</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45843</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45843</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45843</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45843</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45843</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45843</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45843</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45843</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45843</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45843</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45843</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45843</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45843</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45843</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45843</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45843</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45843</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45843</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45843</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45843</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45843</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45843</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45843</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45843</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45843</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45843</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45843</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45843</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45843</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45843</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45843</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45843</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45843</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45843</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45843</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45843</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45843</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45843</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45843</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45843</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45843</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45843</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45843</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45843</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45843</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45843</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45843</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45843</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45843</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45843</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45843</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45843</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45843</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45843</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45843</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45843</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45843</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45843</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45843</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45843</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45843</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45843</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45843</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45843</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45843</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45843</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45843</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45843</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45843</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45843</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45843</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45843</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45843</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45843</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45843</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45843</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45843</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45843</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45843</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45843</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45843</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45843</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45843</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45843</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45843</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45843</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45843</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45843</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45843</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45843</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45843</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45843</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45843</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45843</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45843</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45843</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45843</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45843</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45843</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45843</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45843</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45843</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45843</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45843</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45843</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45843</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45843</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45843</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45843</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45843</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45843</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45843</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45843</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45843</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45843</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45843</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45843</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45843</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45843</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45843</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45843</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45843</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45843</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45843</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45843</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45843</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45843</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45843</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45843</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45843</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45843</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45843</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45843</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45843</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45843</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45843</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45843</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45843</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45843</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45843</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45843</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45843</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45843</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45843</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45843</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45843</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45843</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45843</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45843</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45843</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45843</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45843</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45843</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45843</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45843</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45843</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45843</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45843</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45843</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45843</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45843</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45843</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45843</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45843</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45843</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45843</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45843</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45843</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45843</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45843</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45843</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45843</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45843</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45843</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45843</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45843</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45843</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45843</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45843</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45843</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45843</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45843</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45843</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45843</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45843</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45843</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45843</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45843</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45843</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45843</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45843</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45843</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45843</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45843</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45843</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45843</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45843</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45843</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45843</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45843</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45843</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45843</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45843</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45843</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45843</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45843</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45843</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45843</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45843</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45843</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45843</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45843</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45843</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45843</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45843</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45843</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45843</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45843</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45843</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45843</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45843</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45843</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45843</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45843</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45843</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45843</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45843</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45843</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45843</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45843</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45843</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45843</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45843</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45843</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45843</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45843</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45843</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45843</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45843</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45843</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45843</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45843</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45843</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45843</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45843</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45843</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45843</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45843</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45843</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45843</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45843</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45843</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45843</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45843</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45843</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45843</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45843</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45843</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45843</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45843</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45843</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45843</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45843</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45843</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45843</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45843</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45843</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45843</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45843</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45843</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45843</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45843</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45843</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45843</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45843</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45843</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45843</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45843</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45843</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45843</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45843</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45843</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45843</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45843</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45843</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45843</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45843</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45843</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45843</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45843</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45843</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45843</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45843</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45843</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45843</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45843</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45843</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45843</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45843</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45843</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45843</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45843</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45843</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45843</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45843</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45843</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45843</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45843</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45843</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45843</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45843</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45843</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45843</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45843</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45843</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45843</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45843</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45843</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45843</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45843</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45843</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45843</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45843</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45843</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45843</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45843</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45843</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45843</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45843</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45843</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45843</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45843</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45843</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45843</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45843</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45843</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45843</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45843</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45843</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45843</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45843</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45843</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45843</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45843</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45843</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45843</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45843</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45843</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45843</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45843</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45843</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45843</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45843</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45843</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45843</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45843</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45843</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45843</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45843</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45843</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45843</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45843</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45843</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45843</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45843</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45843</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45843</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45843</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45843</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45843</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45843</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45843</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45843</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45843</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45843</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45843</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45843</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45843</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45843</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45843</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45843</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45843</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45843</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45843</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45843</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45843</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45843</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45843</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45843</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45843</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45843</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45843</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45843</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45843</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45843</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45843</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45843</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45843</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45843</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45843</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45843</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45843</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45843</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45843</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45843</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45843</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45843</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45843</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45843</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45843</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45843</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45843</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45843</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45843</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45843</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45843</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45843</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45843</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45843</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45843</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45843</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45843</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45843</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45843</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45843</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45843</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45843</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45843</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45843</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45843</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45843</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45843</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45843</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45843</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45843</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45843</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45843</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45843</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45843</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45843</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45843</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45843</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45843</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45843</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45843</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45843</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45843</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45843</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45843</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45843</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45843</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45843</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45843</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45843</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45843</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45843</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45843</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45843</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45843</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45843</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45843</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45843</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45843</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45843</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45843</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45843</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45843</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45843</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45843</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45843</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45843</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45843</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45843</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45843</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45843</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45843</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45843</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45843</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45843</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45843</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45843</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45843</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45843</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45843</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45843</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45843</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45843</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45843</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45843</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45843</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45843</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45843</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45843</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45843</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45843</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45843</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45843</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45843</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45843</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45843</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45843</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45843</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45843</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45843</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45843</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45843</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45843</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45843</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45843</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45843</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45843</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45843</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45843</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45843</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45843</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45843</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45843</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45843</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45843</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45843</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45843</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45843</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45843</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45843</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45843</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45843</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45843</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45843</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45843</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45843</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45843</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45843</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45843</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45843</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45843</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45843</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45843</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45843</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45843</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45843</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45843</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45843</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45843</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45843</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45843</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45843</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45843</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45843</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45843</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45843</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45843</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45843</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45843</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45843</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45843</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45843</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45843</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45843</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45843</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45843</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45843</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45843</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45843</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45843</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45843</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45843</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45843</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45843</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45843</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45843</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45843</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45843</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45843</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45843</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45843</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45843</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45843</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45843</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45843</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45843</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45843</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45843</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45843</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45843</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45843</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45843</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45843</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45843</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45843</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45843</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45843</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45843</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45843</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45843</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45843</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45843</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45843</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45843</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45843</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45843</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45843</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45843</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45843</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45843</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45843</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45843</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45843</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45843</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45843</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45843</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45843</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45843</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45843</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45843</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45843</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45843</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45843</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45843</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45843</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45843</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45843</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45843</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45843</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45843</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45843</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45843</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45843</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45843</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45843</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45843</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45843</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45843</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45843</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45843</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45843</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45843</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45843</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45843</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45843</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45843</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45843</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45843</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45843</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45843</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45843</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45843</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45843</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45843</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45843</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45843</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45843</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45843</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45843</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45843</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45843</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45843</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45843</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45843</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45843</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45843</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45843</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45843</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45843</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45843</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45843</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45843</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45843</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45843</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45843</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45843</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45843</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45843</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45843</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45843</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45843</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45843</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45843</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45843</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45843</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45843</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45843</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45843</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45843</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45843</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45843</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45843</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45843</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45843</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45843</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45843</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45843</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45843</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45843</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45843</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45843</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45843</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45843</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45843</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45843</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45843</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45843</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45843</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45843</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45843</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45843</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45843</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45843</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45843</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45843</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45843</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45843</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45843</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45843</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45843</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45843</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45843</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45843</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45843</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45843</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45843</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45843</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45843</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45843</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45843</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45843</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45843</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45843</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45843</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45843</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45843</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45843</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45843</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45843</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45843</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45843</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45843</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45843</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45843</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45843</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45843</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45843</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45843</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45843</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45843</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45843</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45843</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45843</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45843</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45843</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45843</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45843</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45843</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45843</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45843</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45843</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45843</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45843</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45843</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45843</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45843</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45843</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45843</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45843</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45843</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45843</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45843</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45843</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45843</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45843</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45843</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45843</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45843</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45843</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45843</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45843</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45843</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45843</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45843</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45843</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45843</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45843</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45843</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45843</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45843</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45843</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45843</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45843</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45843</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45843</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45843</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45843</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45843</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45843</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45843</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45843</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45843</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45843</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45843</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45843</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45843</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45843</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45843</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45843</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45843</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45843</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45843</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45843</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45843</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45843</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45843</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45843</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45843</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45843</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45843</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45843</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45843</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45843</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45843</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45843</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45843</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45843</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45843</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45843</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45843</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45843</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45843</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45843</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45843</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45843</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45843</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45843</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45843</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45843</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45843</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45843</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45843</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45843</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45843</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45843</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45843</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45843</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45843</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45843</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45843</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45843</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45843</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45843</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45843</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45843</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45843</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45843</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45843</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45843</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45843</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45843</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45843</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45843</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45843</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45843</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45843</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45843</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45843</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45843</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45843</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45843</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45843</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45843</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45843</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45843</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45843</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45843</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45843</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45843</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45843</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45843</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45843</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45843</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45843</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45843</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45843</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45843</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45843</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45843</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45843</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45843</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45843</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45843</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45843</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45843</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45843</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45843</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45843</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45843</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45843</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45843</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45843</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45843</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45843</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45843</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45843</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45843</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45843</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45843</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45843</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45843</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45843</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45843</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45843</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45843</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45843</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45843</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45843</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45843</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45843</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45843</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45843</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45843</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45843</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45843</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45843</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45843</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45843</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45843</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45843</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45843</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45843</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45843</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45843</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45843</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45843</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45843</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45843</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45843</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45843</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45843</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45843</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45843</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45843</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45843</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45843</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45843</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45843</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45843</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45843</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45843</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45843</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45843</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45843</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45843</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45843</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45843</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45843</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45843</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45843</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45843</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45843</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45843</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45843</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45843</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45843</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45843</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45843</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45843</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45843</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45843</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45843</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45843</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45843</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45843</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45843</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45843</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45843</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45843</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45843</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45843</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45843</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45843</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45843</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45843</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45843</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45843</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45843</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45843</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45843</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45843</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45843</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45843</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45843</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45843</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45843</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45843</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45843</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45843</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45843</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45843</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45843</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45843</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45843</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45843</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45843</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45843</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45843</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45843</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45843</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45843</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45843</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45843</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45843</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45843</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45843</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45843</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45843</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45843</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45843</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45843</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45843</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45843</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45843</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45843</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45843</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45843</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45843</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45843</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45843</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45843</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45843</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45843</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45843</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45843</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45843</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45843</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45843</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45843</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45843</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45843</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45843</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45843</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45843</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45843</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45843</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45843</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45843</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45843</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45843</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45843</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45843</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45843</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45843</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45843</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45843</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45843</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45843</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45843</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45843</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45843</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45843</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45843</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45843</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45843</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45843</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45843</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45843</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45843</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45843</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45843</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45843</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45843</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45843</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45843</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45843</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45843</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45843</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45843</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45843</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45843</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45843</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45843</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45843</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45843</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45843</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45843</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45843</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45843</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45843</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45843</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45843</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45843</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45843</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45843</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45843</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45843</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45843</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45843</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45843</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45843</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45843</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45843</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45843</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45843</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45843</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45843</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45843</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45843</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45843</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45843</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45843</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45843</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45843</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45843</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45843</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45843</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45843</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45843</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45843</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45843</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45843</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45843</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45843</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45843</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45843</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45843</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45843</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45843</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45843</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45843</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45843</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45843</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45843</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45843</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45843</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45843</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45843</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45843</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45843</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45843</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45843</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45843</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45843</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45843</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45843</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45843</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45843</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45843</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45843</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45843</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45843</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45843</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45843</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45843</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45843</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45843</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45843</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45843</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45843</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45843</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45843</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45843</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45843</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45843</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45843</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45843</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45843</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45843</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45843</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45843</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45843</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45843</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45843</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45843</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45843</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45843</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45843</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45843</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45843</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45843</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45843</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45843</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45843</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45843</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45843</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45843</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45843</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45843</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45843</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45843</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45843</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45843</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45843</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45843</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45843</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45843</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45843</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45843</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45843</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45843</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45843</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45843</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45843</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45843</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45843</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45843</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45843</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45843</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45843</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45843</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45843</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45843</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45843</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45843</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45843</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45843</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45843</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45843</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45843</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45843</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45843</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45843</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45843</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45843</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45843</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45843</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45843</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45843</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45843</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45843</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45843</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45843</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45843</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45843</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45843</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45843</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45843</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45843</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45843</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45843</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45843</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45843</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45843</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45843</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45843</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45843</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45843</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45843</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45843</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45843</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45843</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45843</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45843</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45843</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45843</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45843</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45843</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45843</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45843</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45843</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45843</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45843</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45843</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45843</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45843</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45843</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45843</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45843</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45843</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45843</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45843</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45843</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45843</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45843</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45843</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45843</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45843</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45843</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45843</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45843</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45843</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45843</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45843</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45843</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45843</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45843</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45843</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45843</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45843</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45843</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45843</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45843</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45843</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45843</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45843</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45843</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45843</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45843</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45843</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45843</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45843</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45843</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45843</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45843</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45843</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45843</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45843</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45843</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45843</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45843</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45843</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45843</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45843</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45843</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45843</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45843</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45843</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45843</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45843</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45843</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45843</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45843</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45843</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45843</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45843</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45843</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45843</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45843</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45843</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45843</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45843</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45843</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45843</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45843</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45843</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45843</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45843</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45843</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45843</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45843</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45843</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45843</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45843</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45843</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45843</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45843</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45843</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45843</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45843</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45843</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45843</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45843</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45843</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45843</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45843</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45843</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45843</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45843</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45843</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45843</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45843</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45843</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45843</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45843</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45843</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45843</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45843</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45843</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45843</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45843</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45843</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45843</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45843</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45843</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45843</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45843</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45843</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45843</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45843</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45843</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45843</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45843</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45843</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45843</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45843</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45843</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45843</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45843</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45843</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45843</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45843</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45843</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45843</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45843</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45843</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45843</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45843</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45843</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45843</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45843</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45843</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45843</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45843</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45843</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45843</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45843</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45843</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45843</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45843</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45843</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45843</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45843</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45843</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45843</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45843</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45843</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45843</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45843</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45843</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45843</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45843</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45843</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45843</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45843</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45843</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45843</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45843</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45843</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45843</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45843</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45843</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45843</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45843</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45843</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45843</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45843</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45843</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45843</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45843</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45843</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45843</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45843</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45843</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45843</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45843</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45843</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45843</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45843</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45843</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45843</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45843</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45843</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45843</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45843</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45843</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45843</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45843</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45843</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45843</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45843</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45843</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45843</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45843</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45843</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45843</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45843</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45843</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45843</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45843</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45843</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45843</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45843</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45843</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45843</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45843</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45843</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45843</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45843</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45843</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45843</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45843</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45843</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45843</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45843</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45843</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45843</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45843</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45843</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45843</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45843</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45843</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45843</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45843</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45843</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45843</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45843</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45843</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45843</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45843</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45843</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45843</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45843</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45843</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45843</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45843</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45843</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45843</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45843</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45843</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45843</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45843</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45843</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45843</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45843</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45843</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45843</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45843</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45843</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45843</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45843</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45843</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45843</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45843</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45843</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45843</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45843</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45843</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45843</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45843</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45843</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45843</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45843</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45843</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45843</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45843</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45843</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45843</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45843</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45843</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45843</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45843</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45843</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45843</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45843</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45843</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45843</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45843</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45843</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45843</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45843</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45843</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45843</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45843</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45843</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45843</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45843</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45843</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45843</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45843</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45843</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45843</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45843</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45843</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45843</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45843</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45843</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45843</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45843</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45843</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45843</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45843</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45843</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45843</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45843</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45843</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45843</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45843</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45843</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45843</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45843</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45843</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45843</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45843</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45843</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45843</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45843</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45843</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45843</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45843</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45843</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45843</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45843</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45843</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45843</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45843</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45843</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45843</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45843</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45843</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45843</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45843</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45843</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45843</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45843</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45843</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45843</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45843</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45843</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45843</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45843</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45843</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45843</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45843</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45843</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45843</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45843</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45843</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45843</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45843</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45843</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45843</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45843</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45843</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45843</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45843</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45843</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45843</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45843</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45843</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45843</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45843</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45843</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45843</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45843</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45843</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45843</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45843</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45843</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45843</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45843</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45843</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45843</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45843</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45843</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45843</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45843</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45843</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45843</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45843</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45843</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45843</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45843</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45843</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45843</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45843</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45843</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45843</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45843</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45843</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45843</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45843</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45843</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45843</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45843</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45843</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45843</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45843</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45843</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45843</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45843</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45843</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45843</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45843</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45843</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45843</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45843</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45843</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45843</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45843</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45843</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45843</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45843</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45843</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45843</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45843</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45843</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45843</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45843</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45843</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45843</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45843</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45843</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45843</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45843</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45843</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45843</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45843</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45843</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45843</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45843</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45843</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45843</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45843</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45843</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45843</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45843</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45843</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45843</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45843</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45843</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45843</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45843</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45843</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45843</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45843</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45843</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45843</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45843</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45843</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45843</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45843</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45843</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45843</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45843</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45843</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45843</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45843</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45843</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45843</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45843</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45843</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45843</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45843</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45843</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45843</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45843</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45843</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45843</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45843</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45843</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45843</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45843</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45843</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45843</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45843</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45843</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45843</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45843</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45843</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45843</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45843</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45843</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45843</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45843</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45843</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45843</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45843</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45843</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45843</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45843</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45843</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45843</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45843</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45843</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45843</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45843</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45843</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45843</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45843</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45843</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45843</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45843</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45843</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45843</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45843</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45843</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45843</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45843</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45843</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45843</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45843</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45843</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45843</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45843</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45843</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45843</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45843</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45843</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45843</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45843</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45843</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45843</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45843</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45843</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45843</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45843</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45843</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45843</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45843</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45843</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45843</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45843</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45843</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45843</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45843</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45843</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45843</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45843</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45843</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45843</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45843</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45843</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45843</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45843</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45843</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45843</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45843</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45843</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45843</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45843</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45843</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45843</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45843</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45843</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45843</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45843</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45843</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45843</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45843</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45843</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45843</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45843</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45843</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45843</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45843</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45843</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45843</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45843</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45843</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45843</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45843</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45843</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45843</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45843</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45843</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45843</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45843</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45843</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45843</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45843</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45843</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45843</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45843</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45843</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45843</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45843</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45843</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45843</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45843</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45843</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45843</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45843</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45843</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45843</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45843</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45843</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45843</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45843</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45843</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45843</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45843</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45843</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45843</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45843</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45843</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45843</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45843</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45843</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45843</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45843</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45843</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45843</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45843</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45843</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45843</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45843</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45843</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45843</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45843</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45843</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45843</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45843</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45843</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45843</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45843</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45843</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45843</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45843</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45843</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45843</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45843</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45843</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45843</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45843</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45843</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45843</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45843</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45843</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45843</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45843</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45843</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45843</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45843</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45843</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45843</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45843</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45843</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45843</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45843</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45843</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45843</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45843</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45843</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45843</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45843</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45843</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45843</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45843</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45843</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45843</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45843</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45843</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45843</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45843</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45843</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45843</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45843</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45843</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45843</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45843</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45843</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45843</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45843</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45843</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45843</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45843</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45843</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45843</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45843</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45843</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45843</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45843</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45843</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45843</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45843</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45843</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45843</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45843</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45843</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45843</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45843</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45843</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45843</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45843</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45843</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45843</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45843</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45843</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45843</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45843</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45843</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45843</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45843</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45843</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45843</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45843</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45843</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45843</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45843</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45843</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45843</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45843</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45843</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45843</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45843</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45843</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45843</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45843</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45843</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45843</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45843</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45843</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45843</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45843</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45843</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45843</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45843</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45843</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45843</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45843</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45843</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45843</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45843</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45843</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45843</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45843</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45843</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45843</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45843</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45843</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45843</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45843</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45843</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45843</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45843</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45843</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45843</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45843</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45843</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45843</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45843</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45843</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45843</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45843</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45843</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45843</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45843</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45843</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45843</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45843</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45843</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45843</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45843</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45843</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45843</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45843</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45843</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45843</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45843</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45843</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45843</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45843</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45843</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45843</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45843</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45843</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45843</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45843</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45843</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45843</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45843</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45843</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45843</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45843</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45843</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45843</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45843</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45843</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45843</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45843</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45843</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45843</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45843</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45843</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45843</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45843</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45843</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45843</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45843</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45843</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45843</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45843</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45843</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45843</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45843</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45843</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45843</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45843</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45843</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45843</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45843</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45843</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45843</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45843</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45843</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45843</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45843</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45843</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45843</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45843</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45843</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45843</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45843</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45843</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45843</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45843</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45843</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45843</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45843</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45843</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45843</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45843</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45843</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45843</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45843</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45843</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45843</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45843</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45843</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45843</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45843</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45843</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45843</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45843</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45843</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45843</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45843</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45843</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45843</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45843</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45843</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45843</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45843</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45843</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45843</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45843</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45843</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45843</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45843</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45843</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45843</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45843</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45843</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45843</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45843</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45843</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45843</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45843</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45843</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45843</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45843</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45843</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45843</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45843</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45843</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45843</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45843</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45843</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45843</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45843</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45843</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45843</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45843</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45843</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45843</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45843</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45843</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45843</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45843</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45843</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45843</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45843</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45843</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45843</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45843</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45843</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45843</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45843</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45843</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45843</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45843</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45843</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45843</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45843</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45843</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45843</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45843</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45843</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45843</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45843</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45843</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45843</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45843</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45843</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45843</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45843</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45843</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45843</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45843</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45843</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45843</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45843</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45843</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45843</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45843</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45843</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45843</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45843</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45843</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45843</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45843</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45843</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45843</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45843</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45843</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45843</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45843</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45843</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45843</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45843</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45843</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45843</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45843</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45843</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45843</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45843</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45843</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45843</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45843</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45843</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45843</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45843</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45843</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45843</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45843</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45843</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45843</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45843</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45843</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45843</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45843</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45843</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45843</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45843</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45843</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45843</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45843</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45843</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45843</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45843</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45843</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45843</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45843</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45843</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45843</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45843</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45843</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45843</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45843</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45843</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45843</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45843</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45843</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45843</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45843</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45843</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45843</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45843</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45843</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45843</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45843</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45843</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45843</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45843</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45843</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45843</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45843</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45843</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45843</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45843</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45843</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45843</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45843</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45843</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45843</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45843</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45843</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45843</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45843</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45843</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45843</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45843</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45843</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45843</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45843</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45843</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45843</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45843</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45843</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45843</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45843</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45843</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45843</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45843</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45843</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45843</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45843</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45843</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45843</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45843</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45843</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45843</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45843</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45843</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45843</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45843</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45843</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45843</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45843</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45843</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45843</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45843</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45843</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45843</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45843</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45843</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45843</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45843</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45843</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45843</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45843</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45843</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45843</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45843</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45843</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45843</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45843</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45843</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45843</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45843</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45843</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45843</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45843</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45843</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45843</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45843</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45843</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45843</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45843</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45843</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45843</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45843</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45843</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45843</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45843</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45843</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45843</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45843</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45843</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45843</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45843</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45843</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45843</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45843</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45843</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45843</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45843</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45843</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45843</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45843</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45843</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45843</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45843</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45843</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45843</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45843</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45843</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45843</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45843</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45843</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45843</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45843</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45843</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45843</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45843</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45843</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45843</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45843</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45843</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45843</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45843</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45843</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45843</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45843</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45843</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45843</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45843</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45843</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45843</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45843</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45843</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45843</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45843</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45843</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45843</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45843</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45843</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45843</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45843</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45843</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45843</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45843</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45843</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45843</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45843</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45843</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45843</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45843</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45843</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45843</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45843</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45843</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45843</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45843</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45843</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45843</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45843</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45843</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45843</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45843</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45843</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45843</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45843</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45843</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45843</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45843</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45843</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45843</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45843</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45843</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45843</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45843</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45843</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45843</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45843</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45843</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45843</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45843</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45843</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45843</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45843</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45843</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45843</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45843</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45843</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45843</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45843</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45843</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45843</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45843</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45843</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45843</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45843</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45843</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45843</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45843</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45843</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45843</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45843</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45843</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45843</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45843</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45843</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45843</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45843</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45843</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45843</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45843</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45843</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45843</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45843</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45843</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45843</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45843</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45843</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45843</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45843</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45843</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45843</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45843</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45843</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45843</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45843</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45843</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45843</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45843</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45843</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45843</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45843</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45843</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45843</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45843</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45843</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45843</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45843</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45843</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45843</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45843</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45843</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45843</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45843</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45843</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45843</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45843</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45843</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45843</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45843</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45843</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45843</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45843</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45843</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45843</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45843</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45843</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45843</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45843</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45843</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45843</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45843</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45843</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45843</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45843</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45843</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45843</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45843</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45843</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45843</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45843</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45843</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45843</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45843</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45843</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45843</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45843</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45843</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45843</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45843</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45843</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45843</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45843</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45843</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45843</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45843</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45843</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45843</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45843</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45843</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45843</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45843</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45843</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45843</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45843</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45843</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45843</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45843</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45843</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45843</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45843</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45843</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45843</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45843</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45843</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45843</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45843</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45843</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45843</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45843</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45843</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45843</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45843</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45843</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45843</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45843</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45843</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45843</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45843</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45843</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45843</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45843</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45843</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45843</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45843</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45843</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45843</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45843</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45843</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45843</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45843</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45843</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45843</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45843</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45843</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45843</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45843</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45843</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45843</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45843</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45843</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45843</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45843</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45843</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45843</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45843</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45843</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45843</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45843</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45843</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45843</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45843</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45843</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45843</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45843</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45843</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45843</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45843</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45843</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45843</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45843</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45843</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45843</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45843</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45843</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45843</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45843</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45843</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45843</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45843</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45843</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45843</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45843</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45843</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45843</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45843</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45843</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45843</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45843</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45843</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45843</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45843</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45843</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45843</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45843</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45843</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45843</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45843</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45843</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45843</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45843</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45843</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45843</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45843</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45843</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45843</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45843</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45843</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45843</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45843</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45843</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45843</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45843</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45843</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45843</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45843</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45843</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45843</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45843</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45843</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45843</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45843</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45843</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45843</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45843</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45843</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45843</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45843</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45843</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45843</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45843</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45843</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45843</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45843</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45843</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45843</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45843</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45843</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45843</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45843</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45843</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45843</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45843</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45843</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45843</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45843</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45843</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45843</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45843</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45843</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45843</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45843</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45843</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45843</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45843</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45843</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45843</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45843</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45843</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45843</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45843</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45843</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45843</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45843</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45843</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45843</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45843</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45843</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45843</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45843</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45843</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45843</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45843</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45843</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45843</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45843</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45843</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45843</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45843</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45843</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45843</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45843</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45843</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45843</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45843</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45843</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45843</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45843</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45843</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45843</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45843</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45843</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45843</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45843</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45843</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45843</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45843</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45843</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45843</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45843</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45843</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45843</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45843</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45843</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45843</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45843</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45843</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45843</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45843</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45843</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45843</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45843</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45843</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45843</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45843</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45843</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45843</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45843</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45843</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45843</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45843</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45843</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45843</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45843</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45843</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45843</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45843</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45843</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45843</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45843</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45843</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45843</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45843</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45843</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45843</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45843</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45843</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45843</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45843</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45843</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45843</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45843</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45843</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45843</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45843</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45843</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45843</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45843</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45843</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45843</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45843</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45843</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45843</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45843</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45843</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45843</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45843</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45843</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45843</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45843</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45843</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45843</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45843</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45843</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45843</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45843</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45843</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45843</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45843</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45843</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45843</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45843</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45843</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45843</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45843</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45843</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45843</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45843</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45843</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45843</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45843</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45843</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45843</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45843</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45843</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45843</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45843</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45843</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45843</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45843</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45843</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45843</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45843</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45843</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45843</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45843</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45843</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45843</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45843</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45843</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45843</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45843</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45843</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45843</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45843</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45843</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45843</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45843</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45843</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45843</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45843</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45843</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45843</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45843</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45843</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45843</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45843</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45843</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45843</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45843</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45843</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45843</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45843</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45843</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45843</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45843</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45843</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45843</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45843</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45843</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45843</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45843</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45843</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45843</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45843</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45843</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45843</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45843</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45843</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45843</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45843</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45843</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45843</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45843</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45843</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45843</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45843</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45843</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45843</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45843</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45843</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45843</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45843</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45843</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45843</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45843</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45843</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45843</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45843</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45843</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45843</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45843</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45843</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45843</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45843</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45843</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45843</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45843</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45843</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45843</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45843</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45843</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45843</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45843</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45843</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45843</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45843</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45843</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45843</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45843</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45843</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45843</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45843</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45843</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45843</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45843</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45843</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45843</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45843</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45843</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45843</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45843</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45843</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45843</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45843</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45843</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45843</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45843</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45843</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45843</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45843</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45843</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45843</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45843</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45843</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45843</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45843</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45843</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45843</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45843</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45843</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45843</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45843</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45843</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45843</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45843</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45843</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45843</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45843</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45843</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45843</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45843</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45843</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45843</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45843</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45843</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45843</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45843</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45843</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45843</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45843</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45843</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45843</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45843</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45843</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45843</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45843</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45843</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45843</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45843</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45843</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45843</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45843</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45843</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45843</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45843</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45843</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45843</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45843</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45843</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45843</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45843</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45843</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45843</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45843</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45843</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45843</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45843</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45843</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45843</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45843</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45843</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45843</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45843</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45843</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45843</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45843</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45843</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45843</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45843</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45843</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45843</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45843</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45843</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45843</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45843</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45843</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45843</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45843</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45843</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45843</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45843</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45843</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45843</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45843</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45843</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45843</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45843</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45843</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45843</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45843</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45843</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45843</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45843</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45843</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45843</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45843</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45843</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45843</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45843</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45843</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45843</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45843</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45843</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45843</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45843</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45843</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45843</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45843</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45843</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45843</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45843</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45843</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45843</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45843</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45843</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45843</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45843</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45843</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45843</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45843</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45843</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45843</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45843</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45843</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45843</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45843</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45843</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45843</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45843</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45843</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45843</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45843</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45843</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45843</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45843</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45843</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45843</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45843</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45843</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45843</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45843</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45843</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45843</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45843</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45843</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45843</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45843</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45843</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45843</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45843</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45843</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45843</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45843</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45843</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45843</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45843</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45843</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45843</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45843</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45843</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45843</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45843</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45843</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45843</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45843</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45843</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45843</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45843</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45843</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45843</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45843</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45843</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45843</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45843</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45843</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45843</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45843</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45843</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45843</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45843</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45843</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45843</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45843</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45843</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45843</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45843</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45843</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45843</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45843</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45843</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45843</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45843</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45843</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45843</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45843</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45843</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45843</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45843</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45843</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45843</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45843</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45843</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45843</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45843</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45843</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45843</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45843</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45843</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45843</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45843</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45843</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45843</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45843</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45843</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45843</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45843</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45843</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45843</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45843</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45843</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45843</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45843</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45843</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45843</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45843</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45843</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45843</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45843</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45843</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45843</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45843</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45843</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45843</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45843</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45843</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45843</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45843</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45843</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45843</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45843</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45843</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45843</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45843</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45843</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45843</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45843</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45843</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45843</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45843</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45843</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45843</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45843</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45843</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45843</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45843</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45843</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45843</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45843</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45843</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45843</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45843</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45843</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45843</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45843</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45843</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45843</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45843</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45843</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45843</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45843</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45843</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45843</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45843</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45843</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45843</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45843</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45843</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45843</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45843</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45843</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45843</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45843</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45843</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45843</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45843</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45843</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45843</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45843</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45843</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45843</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45843</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45843</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45843</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45843</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45843</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45843</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45843</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45843</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45843</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45843</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45843</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45843</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45843</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45843</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45843</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45843</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45843</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45843</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45843</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45843</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45843</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45843</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45843</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45843</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45843</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45843</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45843</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45843</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45843</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45843</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45843</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45843</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45843</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45843</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45843</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45843</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45843</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45843</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45843</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45843</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45843</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45843</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45843</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45843</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45843</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45843</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45843</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45843</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45843</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45843</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45843</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45843</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45843</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45843</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45843</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45843</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45843</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45843</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45843</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45843</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45843</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45843</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45843</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45843</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45843</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45843</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45843</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45843</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45843</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45843</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45843</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45843</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45843</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45843</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45843</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45843</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45843</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45843</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45843</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45843</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45843</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45843</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45843</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45843</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45843</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45843</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45843</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45843</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45843</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45843</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45843</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45843</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45843</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45843</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45843</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45843</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45843</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45843</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45843</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45843</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45843</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45843</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45843</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45843</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45843</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45843</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45843</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45843</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45843</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45843</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45843</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45843</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45843</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45843</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45843</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45843</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45843</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45843</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45843</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45843</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45843</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45843</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45843</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45843</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45843</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45843</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45843</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45843</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45843</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45843</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45843</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45843</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45843</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45843</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45843</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45843</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45843</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45843</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45843</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45843</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45843</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45843</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45843</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45843</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45843</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45843</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45843</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45843</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45843</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45843</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45843</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45843</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45843</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45843</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45843</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45843</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45843</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45843</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45843</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45843</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45843</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45843</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45843</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45843</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45843</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45843</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45843</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45843</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45843</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45843</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45843</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45843</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45843</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45843</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45843</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45843</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45843</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45843</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45843</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45843</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45843</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45843</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45843</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45843</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45843</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45843</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45843</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45843</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45843</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45843</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45843</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45843</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45843</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45843</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45843</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45843</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45843</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45843</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45843</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45843</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45843</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45843</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45843</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45843</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45843</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45843</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45843</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45843</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45843</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45843</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45843</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45843</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45843</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45843</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45843</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45843</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45843</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45843</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45843</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45843</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45843</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45843</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45843</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45843</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45843</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45843</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45843</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45843</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45843</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45843</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45843</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45843</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45843</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45843</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45843</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45843</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45843</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45843</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45843</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45843</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45843</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45843</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45843</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45843</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45843</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45843</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45843</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45843</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45843</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45843</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45843</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45843</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45843</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45843</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45843</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45843</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45843</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45843</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45843</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45843</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45843</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45843</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45843</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45843</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45843</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45843</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45843</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45843</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45843</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45843</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45843</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45843</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45843</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45843</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45843</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45843</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45843</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45843</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45843</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45843</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45843</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45843</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45843</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45843</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45843</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45843</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45843</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45843</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45843</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45843</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45843</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45843</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45843</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45843</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45843</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45843</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45843</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45843</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45843</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45843</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45843</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45843</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45843</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45843</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45843</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45843</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45843</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45843</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45843</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45843</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45843</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45843</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45843</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45843</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45843</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45843</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45843</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45843</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45843</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45843</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45843</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45843</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45843</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45843</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45843</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45843</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45843</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45843</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45843</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45843</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45843</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45843</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45843</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45843</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45843</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45843</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45843</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45843</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45843</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45843</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45843</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45843</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45843</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45843</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45843</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45843</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45843</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45843</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45843</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45843</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45843</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45843</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45843</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45843</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45843</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45843</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45843</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45843</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45843</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45843</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45843</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45843</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45843</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45843</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45843</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45843</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45843</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45843</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45843</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45843</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45843</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45843</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45843</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45843</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45843</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45843</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45843</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45843</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45843</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45843</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45843</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45843</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45843</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45843</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45843</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45843</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45843</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45843</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45843</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45843</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45843</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45843</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45843</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45843</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45843</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45843</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45843</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45843</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45843</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45843</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45843</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45843</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45843</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45843</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45843</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45843</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45843</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45843</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45843</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45843</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45843</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45843</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45843</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45843</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45843</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45843</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45843</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45843</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45843</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45843</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45843</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45843</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45843</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45843</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45843</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45843</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45843</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45843</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45843</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45843</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45843</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45843</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45843</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45843</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45843</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45843</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45843</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45843</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45843</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45843</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45843</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45843</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45843</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45843</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45843</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45843</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45843</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45843</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45843</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45843</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45843</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45843</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45843</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45843</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45843</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45843</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45843</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45843</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45843</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45843</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45843</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45843</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45843</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45843</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45843</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45843</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45843</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45843</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45843</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45843</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45843</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45843</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45843</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45843</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45843</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45843</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45843</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45843</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45843</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45843</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45843</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45843</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45843</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45843</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45843</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45843</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45843</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45843</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45843</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45843</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45843</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45843</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45843</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45843</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45843</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45843</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45843</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45843</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45843</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45843</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45843</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45843</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45843</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45843</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45843</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45843</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45843</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45843</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45843</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45843</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45843</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45843</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45843</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45843</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45843</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45843</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45843</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45843</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45843</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45843</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45843</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45843</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45843</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45843</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45843</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45843</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45843</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45843</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45843</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45843</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45843</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45843</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45843</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45843</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45843</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45843</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45843</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45843</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45843</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45843</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45843</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45843</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45843</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45843</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45843</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45843</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45843</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45843</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45843</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45843</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45843</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45843</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45843</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45843</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45843</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45843</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45843</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45843</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45843</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45843</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45843</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45843</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45843</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45843</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45843</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45843</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45843</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45843</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45843</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45843</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45843</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45843</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45843</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45843</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45843</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45843</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45843</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45843</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45843</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45843</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45843</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45843</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45843</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45843</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45843</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45843</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45843</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45843</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45843</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45843</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45843</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45843</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45843</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45843</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45843</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45843</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45843</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45843</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45843</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45843</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45843</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45843</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45843</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45843</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45843</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45843</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45843</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45843</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45843</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45843</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45843</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45843</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45843</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45843</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45843</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45843</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45843</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45843</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45843</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45843</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45843</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45843</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45843</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45843</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45843</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45843</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45843</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45843</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45843</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45843</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45843</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45843</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45843</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45843</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45843</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45843</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45843</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45843</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45843</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45843</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45843</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45843</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45843</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45843</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45843</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45843</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45843</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45843</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45843</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45843</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45843</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45843</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45843</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45843</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45843</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45843</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45843</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45843</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45843</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45843</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45843</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45843</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45843</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45843</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45843</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45843</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45843</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45843</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45843</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45843</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45843</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45843</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45843</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45843</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45843</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45843</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45843</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45843</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45843</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45843</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45843</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45843</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45843</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45843</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45843</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45843</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45843</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45843</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45843</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45843</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45843</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45843</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45843</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45843</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45843</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45843</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45843</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45843</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45843</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45843</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45843</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45843</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45843</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45843</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45843</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45843</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45843</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45843</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45843</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45843</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45843</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45843</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45843</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45843</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45843</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45843</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45843</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45843</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45843</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45843</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45843</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45843</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45843</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45843</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45843</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45843</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45843</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45843</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45843</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45843</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45843</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45843</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45843</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45843</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45843</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45843</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45843</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45843</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45843</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45843</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45843</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45843</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45843</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45843</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45843</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45843</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45843</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45843</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45843</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45843</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45843</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45843</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45843</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45843</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45843</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45843</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45843</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45843</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45843</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45843</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45843</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45843</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45843</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45843</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45843</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45843</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45843</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45843</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45843</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45843</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45843</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45843</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45843</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45843</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45843</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45843</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45843</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45843</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45843</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45843</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45843</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45843</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45843</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45843</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45843</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45843</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45843</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45843</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45843</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45843</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45843</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45843</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45843</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45843</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45843</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45843</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45843</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45843</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45843</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45843</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45843</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45843</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45843</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45843</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45843</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45843</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45843</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45843</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45843</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45843</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45843</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45843</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45843</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45843</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45843</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45843</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45843</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45843</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45843</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45843</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45843</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45843</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45843</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45843</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45843</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45843</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45843</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45843</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45843</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45843</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45843</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45843</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45843</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45843</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45843</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45843</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45843</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45843</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45843</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45843</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45843</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45843</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45843</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45843</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45843</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45843</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45843</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45843</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45843</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45843</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45843</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45843</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45843</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45843</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45843</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45843</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45843</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45843</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45843</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45843</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45843</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45843</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45843</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45843</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45843</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45843</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45843</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45843</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45843</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45843</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45843</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45843</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45843</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45843</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45843</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45843</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45843</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45843</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45843</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45843</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45843</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45843</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45843</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45843</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45843</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45843</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45843</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45843</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45843</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45843</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45843</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45843</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45843</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45843</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45843</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45843</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45843</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45843</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45843</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45843</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45843</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45843</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45843</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45843</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45843</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45843</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45843</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45843</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45843</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45843</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45843</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45843</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45843</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45843</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45843</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45843</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45843</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45843</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45843</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45843</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45843</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45843</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45843</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45843</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45843</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45843</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45843</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45843</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45843</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45843</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45843</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45843</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45843</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45843</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45843</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45843</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45843</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45843</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45843</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45843</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45843</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45843</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45843</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45843</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45843</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45843</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45843</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45843</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45843</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45843</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45843</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45843</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45843</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45843</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45843</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45843</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45843</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45843</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45843</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45843</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45843</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45843</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45843</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45843</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45843</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45843</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45843</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45843</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45843</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45843</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45843</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45843</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45843</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45843</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45843</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45843</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45843</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45843</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45843</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45843</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45843</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45843</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45843</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45843</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45843</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45843</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45843</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45843</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45843</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45843</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45843</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45843</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45843</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45843</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45843</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45843</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45843</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45843</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45843</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45843</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45843</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45843</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45843</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45843</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45843</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45843</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45843</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45843</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45843</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45843</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45843</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45843</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45843</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45843</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45843</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45843</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45843</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45843</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45843</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45843</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45843</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45843</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45843</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45843</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45843</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45843</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45843</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45843</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45843</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45843</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45843</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45843</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45843</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45843</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45843</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45843</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45843</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45843</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45843</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45843</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45843</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45843</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45843</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45843</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45843</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45843</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45843</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45843</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45843</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45843</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45843</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45843</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45843</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45843</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45843</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45843</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45843</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45843</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45843</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45843</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45843</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45843</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45843</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45843</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45843</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45843</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45843</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45843</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45843</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45843</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45843</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45843</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45843</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45843</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45843</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45843</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45843</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45843</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45843</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45843</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45843</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45843</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45843</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45843</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45843</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45843</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45843</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45843</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45843</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45843</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45843</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45843</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45843</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45843</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45843</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45843</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45843</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45843</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45843</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45843</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45843</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45843</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45843</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45843</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45843</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45843</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45843</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45843</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45843</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45843</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45843</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45843</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45843</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45843</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45843</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45843</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45843</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45843</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45843</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45843</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45843</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45843</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45843</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45843</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45843</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45843</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45843</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45843</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45843</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45843</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45843</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45843</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45843</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45843</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45843</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45843</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45843</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45843</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45843</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45843</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45843</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45843</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45843</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45843</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45843</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45843</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45843</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45843</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45843</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45843</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45843</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45843</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45843</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45843</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45843</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45843</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45843</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45843</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45843</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45843</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45843</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45843</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45843</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45843</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45843</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45843</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45843</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45843</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45843</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45843</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45843</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45843</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45843</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45843</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45843</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45843</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45843</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45843</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45843</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45843</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45843</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45843</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45843</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45843</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45843</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45843</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45843</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45843</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45843</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45843</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45843</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45843</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45843</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45843</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45843</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45843</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45843</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45843</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45843</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45843</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45843</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45843</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45843</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45843</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45843</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45843</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45843</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45843</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45843</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45843</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45843</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45843</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45843</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45843</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45843</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45843</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45843</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45843</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45843</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45843</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45843</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45843</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45843</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45843</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45843</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45843</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45843</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45843</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45843</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45843</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45843</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45843</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45843</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45843</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45843</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45843</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45843</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45843</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45843</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45843</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45843</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45843</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45843</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45843</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45843</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45843</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45843</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45843</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45843</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45843</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45843</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45843</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45843</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45843</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45843</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45843</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45843</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45843</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45843</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45843</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45843</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45843</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45843</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45843</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45843</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45843</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45843</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45843</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45843</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45843</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45843</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45843</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45843</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45843</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45843</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45843</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45843</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45843</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45843</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45843</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45843</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45843</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45843</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45843</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45843</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45843</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45843</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45843</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45843</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45843</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45843</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45843</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45843</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45843</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45843</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45843</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45843</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45843</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45843</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45843</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45843</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45843</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45843</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45843</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45843</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45843</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45843</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45843</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45843</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45843</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45843</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45843</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45843</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45843</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45843</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45843</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45843</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45843</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45843</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45843</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45843</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45843</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45843</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45843</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45843</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45843</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45843</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45843</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45843</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45843</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45843</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45843</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45843</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45843</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45843</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45843</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45843</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45843</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45843</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45843</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45843</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45843</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45843</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45843</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45843</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45843</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45843</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45843</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45843</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45843</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45843</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45843</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45843</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45843</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45843</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45843</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45843</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45843</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45843</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45843</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45843</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45843</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45843</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45843</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45843</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45843</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45843</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45843</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45843</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45843</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45843</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45843</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45843</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45843</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45843</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45843</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45843</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45843</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45843</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45843</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45843</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45843</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45843</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45843</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45843</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45843</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45843</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45843</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45843</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45843</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45843</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45843</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45843</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45843</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45843</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45843</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45843</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45843</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45843</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45843</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45843</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45843</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45843</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45843</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45843</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45843</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45843</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45843</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45843</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45843</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45843</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45843</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45843</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45843</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45843</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45843</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45843</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45843</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45843</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45843</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45843</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45843</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45843</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45843</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45843</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45843</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45843</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45843</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45843</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45843</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45843</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45843</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45843</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45843</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45843</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45843</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45843</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45843</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45843</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45843</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45843</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45843</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45843</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45843</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45843</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45843</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45843</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45843</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45843</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45843</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45843</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45843</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45843</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45843</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45843</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45843</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45843</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45843</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45843</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45843</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45843</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45843</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45843</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45843</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45843</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45843</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45843</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45843</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45843</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45843</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45843</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45843</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45843</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45843</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45843</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45843</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45843</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45843</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45843</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45843</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45843</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45843</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45843</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45843</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45843</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45843</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45843</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45843</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45843</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45843</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45843</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45843</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45843</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45843</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45843</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45843</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45843</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45843</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45843</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45843</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45843</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45843</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45843</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45843</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45843</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45843</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45843</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45843</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45843</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45843</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45843</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45843</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45843</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45843</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45843</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45843</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45843</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45843</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45843</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45843</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45843</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45843</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45843</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45843</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45843</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45843</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45843</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45843</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45843</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45843</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45843</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45843</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45843</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45843</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45843</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45843</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45843</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45843</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45843</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45843</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45843</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45843</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45843</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45843</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45843</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45843</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45843</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45843</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45843</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45843</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45843</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45843</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45843</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45843</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45843</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45843</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45843</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45843</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45843</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45843</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45843</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45843</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45843</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45843</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45843</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45843</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45843</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45843</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45843</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45843</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45843</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45843</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45843</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45843</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45843</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45843</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45843</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45843</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45843</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45843</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45843</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45843</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45843</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45843</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45843</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45843</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45843</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45843</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45843</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45843</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45843</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45843</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45843</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45843</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45843</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45843</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45843</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45843</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45843</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45843</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45843</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45843</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45843</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45843</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45843</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45843</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45843</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45843</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45843</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45843</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45843</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45843</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45843</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45843</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45843</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45843</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45843</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45843</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45843</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45843</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45843</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45843</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45843</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45843</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45843</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45843</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45843</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45843</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45843</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45843</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45843</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45843</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45843</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45843</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45843</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45843</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45843</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45843</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45843</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45843</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45843</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45843</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45843</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45843</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45843</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45843</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45843</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45843</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45843</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45843</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45843</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45843</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45843</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45843</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45843</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45843</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45843</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45843</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45843</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45843</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45843</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45843</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45843</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45843</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45843</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45843</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45843</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45843</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45843</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45843</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45843</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45843</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45843</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45843</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45843</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45843</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45843</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45843</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45843</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45843</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45843</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45843</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45843</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45843</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45843</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45843</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45843</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45843</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45843</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45843</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45843</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45843</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45843</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45843</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45843</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45843</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45843</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45843</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45843</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45843</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45843</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45843</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45843</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45843</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45843</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45843</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45843</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45843</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45843</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45843</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45843</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45843</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45843</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45843</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45843</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45843</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45843</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45843</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45843</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45843</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45843</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45843</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45843</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45843</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45843</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45843</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45843</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45843</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45843</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45843</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45843</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45843</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45843</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45843</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45843</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45843</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45843</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45843</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45843</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45843</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45843</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45843</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45843</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45843</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45843</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45843</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45843</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45843</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45843</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45843</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45843</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45843</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45843</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45843</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45843</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45843</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45843</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45843</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45843</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45843</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45843</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45843</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45843</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45843</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45843</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45843</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45843</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45843</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45843</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45843</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45843</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45843</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45843</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45843</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45843</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45843</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45843</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45843</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45843</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45843</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45843</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45843</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45843</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45843</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45843</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45843</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45843</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45843</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45843</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45843</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45843</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45843</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45843</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45843</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45843</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45843</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45843</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45843</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45843</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45843</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45843</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45843</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45843</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45843</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45843</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45843</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45843</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45843</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45843</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45843</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45843</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45843</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45843</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45843</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45843</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45843</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45843</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45843</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45843</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45843</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45843</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45843</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45843</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45843</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45843</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45843</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45843</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45843</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45843</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45843</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45843</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45843</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45843</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45843</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45843</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45843</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45843</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45843</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45843</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45843</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45843</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45843</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45843</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45843</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45843</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45843</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45843</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45843</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45843</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45843</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45843</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45843</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45843</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45843</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45843</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45843</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45843</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45843</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45843</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45843</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45843</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45843</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45843</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45843</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45843</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45843</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45843</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45843</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45843</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45843</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45843</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45843</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45843</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45843</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45843</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45843</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45843</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45843</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45843</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45843</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45843</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45843</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45843</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45843</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45843</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45843</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45843</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45843</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45843</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45843</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45843</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45843</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45843</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45843</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45843</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45843</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45843</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45843</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45843</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45843</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45843</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45843</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45843</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45843</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45843</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45843</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45843</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45843</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45843</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45843</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45843</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45843</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45843</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45843</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45843</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45843</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45843</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45843</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45843</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45843</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45843</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45843</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45843</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45843</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45843</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45843</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45843</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45843</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45843</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45843</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45843</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45843</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45843</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45843</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45843</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45843</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45843</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45843</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45843</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45843</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45843</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45843</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45843</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45843</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45843</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45843</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45843</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45843</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45843</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45843</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45843</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45843</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45843</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45843</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45843</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45843</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45843</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45843</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45843</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45843</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45843</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45843</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45843</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45843</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45843</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45843</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45843</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45843</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45843</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45843</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45843</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45843</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45843</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45843</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45843</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45843</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45843</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45843</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45843</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45843</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45843</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45843</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45843</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45843</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45843</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45843</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45843</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45843</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45843</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45843</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45843</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45843</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45843</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45843</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45843</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45843</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45843</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45843</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45843</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45843</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45843</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45843</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45843</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45843</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45843</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45843</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45843</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45843</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45843</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45843</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45843</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45843</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45843</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45843</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45843</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45843</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45843</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45843</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45843</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45843</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45843</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45843</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45843</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45843</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45843</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45843</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45843</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45843</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45843</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45843</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45843</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45843</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45843</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45843</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45843</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45843</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45843</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45843</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45843</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45843</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45843</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45843</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45843</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45843</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45843</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45843</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45843</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45843</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45843</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45843</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45843</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45843</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45843</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45843</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45843</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45843</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45843</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45843</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45843</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45843</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45843</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45843</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45843</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45843</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45843</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45843</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45843</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45843</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45843</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45843</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45843</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45843</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45843</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45843</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45843</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45843</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45843</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45843</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45843</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45843</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45843</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45843</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45843</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45843</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45843</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45843</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45843</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45843</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45843</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45843</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45843</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45843</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45843</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45843</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45843</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45843</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45843</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45843</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45843</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45843</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45843</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45843</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45843</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45843</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45843</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45843</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45843</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45843</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45843</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45843</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45843</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45843</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45843</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45843</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45843</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45843</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45843</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45843</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45843</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45843</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45843</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45843</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45843</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45843</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45843</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45843</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45843</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45843</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45843</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45843</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45843</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45843</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45843</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45843</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45843</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45843</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45843</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45843</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45843</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45843</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45843</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45843</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45843</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45843</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45843</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45843</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45843</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45843</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45843</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45843</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45843</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45843</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45843</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45843</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45843</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45843</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45843</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45843</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45843</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45843</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45843</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45843</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45843</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45843</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45843</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45843</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45843</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45843</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45843</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45843</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45843</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45843</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45843</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45843</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45843</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45843</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45843</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45843</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45843</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45843</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45843</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45843</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45843</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45843</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45843</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45843</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45843</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45843</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45843</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45843</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45843</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45843</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45843</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45843</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45843</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45843</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45843</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45843</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45843</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45843</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45843</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45843</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45843</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45843</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45843</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45843</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45843</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45843</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45843</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45843</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45843</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45843</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45843</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45843</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45843</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45843</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45843</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45843</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45843</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45843</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45843</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45843</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45843</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45843</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45843</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45843</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45843</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45843</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45843</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45843</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45843</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45843</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45843</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45843</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45843</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45843</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45843</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45843</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45843</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45843</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45843</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45843</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45843</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45843</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45843</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45843</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45843</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45843</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45843</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45843</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45843</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45843</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45843</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45843</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45843</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45843</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45843</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45843</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45843</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45843</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45843</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45843</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45843</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45843</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45843</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45843</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45843</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45843</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45843</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45843</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45843</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45843</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45843</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45843</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45843</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45843</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45843</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45843</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45843</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45843</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45843</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45843</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45843</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45843</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45843</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45843</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45843</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45843</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45843</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45843</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45843</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45843</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45843</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45843</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45843</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45843</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45843</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45843</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45843</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45843</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45843</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45843</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45843</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45843</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45843</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45843</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45843</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45843</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45843</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45843</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45843</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45843</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45843</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45843</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45843</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45843</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45843</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45843</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45843</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45843</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45843</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45843</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45843</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45843</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45843</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45843</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45843</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45843</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45843</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45843</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45843</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45843</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45843</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45843</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45843</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45843</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45843</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45843</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45843</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45843</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45843</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45843</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45843</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45843</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45843</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45843</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45843</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45843</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45843</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45843</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45843</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45843</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45843</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45843</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45843</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45843</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45843</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45843</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45843</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45843</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45843</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45843</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45843</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45843</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45843</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45843</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45843</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45843</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45843</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45843</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45843</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45843</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45843</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45843</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45843</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45843</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45843</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45843</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45843</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45843</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45843</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45843</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45843</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45843</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45843</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45843</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45843</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45843</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45843</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45843</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45843</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45843</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45843</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45843</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45843</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45843</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45843</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45843</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45843</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45843</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45843</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45843</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45843</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45843</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45843</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45843</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45843</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45843</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45843</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45843</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45843</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45843</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45843</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45843</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45843</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45843</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45843</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45843</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27873-2025</t>
        </is>
      </c>
      <c r="B7704" s="1" t="n">
        <v>45817</v>
      </c>
      <c r="C7704" s="1" t="n">
        <v>45843</v>
      </c>
      <c r="D7704" t="inlineStr">
        <is>
          <t>SÖDERMANLANDS LÄN</t>
        </is>
      </c>
      <c r="E7704" t="inlineStr">
        <is>
          <t>NYKÖPING</t>
        </is>
      </c>
      <c r="F7704" t="inlineStr">
        <is>
          <t>Holmen skog AB</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27827-2025</t>
        </is>
      </c>
      <c r="B7705" s="1" t="n">
        <v>45817</v>
      </c>
      <c r="C7705" s="1" t="n">
        <v>45843</v>
      </c>
      <c r="D7705" t="inlineStr">
        <is>
          <t>SÖDERMANLANDS LÄN</t>
        </is>
      </c>
      <c r="E7705" t="inlineStr">
        <is>
          <t>FLEN</t>
        </is>
      </c>
      <c r="F7705" t="inlineStr">
        <is>
          <t>Holmen skog AB</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27871-2025</t>
        </is>
      </c>
      <c r="B7706" s="1" t="n">
        <v>45817</v>
      </c>
      <c r="C7706" s="1" t="n">
        <v>45843</v>
      </c>
      <c r="D7706" t="inlineStr">
        <is>
          <t>SÖDERMANLANDS LÄN</t>
        </is>
      </c>
      <c r="E7706" t="inlineStr">
        <is>
          <t>NYKÖPING</t>
        </is>
      </c>
      <c r="F7706" t="inlineStr">
        <is>
          <t>Holmen skog AB</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28090-2025</t>
        </is>
      </c>
      <c r="B7707" s="1" t="n">
        <v>45817</v>
      </c>
      <c r="C7707" s="1" t="n">
        <v>45843</v>
      </c>
      <c r="D7707" t="inlineStr">
        <is>
          <t>SÖDERMANLANDS LÄN</t>
        </is>
      </c>
      <c r="E7707" t="inlineStr">
        <is>
          <t>ESKILSTUNA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27805-2025</t>
        </is>
      </c>
      <c r="B7708" s="1" t="n">
        <v>45817</v>
      </c>
      <c r="C7708" s="1" t="n">
        <v>45843</v>
      </c>
      <c r="D7708" t="inlineStr">
        <is>
          <t>SÖDERMANLANDS LÄN</t>
        </is>
      </c>
      <c r="E7708" t="inlineStr">
        <is>
          <t>NYKÖPING</t>
        </is>
      </c>
      <c r="F7708" t="inlineStr">
        <is>
          <t>Holmen skog AB</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27947-2025</t>
        </is>
      </c>
      <c r="B7709" s="1" t="n">
        <v>45817</v>
      </c>
      <c r="C7709" s="1" t="n">
        <v>45843</v>
      </c>
      <c r="D7709" t="inlineStr">
        <is>
          <t>SÖDERMANLANDS LÄN</t>
        </is>
      </c>
      <c r="E7709" t="inlineStr">
        <is>
          <t>NYKÖPING</t>
        </is>
      </c>
      <c r="F7709" t="inlineStr">
        <is>
          <t>Holmen skog AB</t>
        </is>
      </c>
      <c r="G7709" t="n">
        <v>4.3</v>
      </c>
      <c r="H7709" t="n">
        <v>0</v>
      </c>
      <c r="I7709" t="n">
        <v>0</v>
      </c>
      <c r="J7709" t="n">
        <v>0</v>
      </c>
      <c r="K7709" t="n">
        <v>0</v>
      </c>
      <c r="L7709" t="n">
        <v>0</v>
      </c>
      <c r="M7709" t="n">
        <v>0</v>
      </c>
      <c r="N7709" t="n">
        <v>0</v>
      </c>
      <c r="O7709" t="n">
        <v>0</v>
      </c>
      <c r="P7709" t="n">
        <v>0</v>
      </c>
      <c r="Q7709" t="n">
        <v>0</v>
      </c>
      <c r="R7709" s="2" t="inlineStr"/>
    </row>
    <row r="7710" ht="15" customHeight="1">
      <c r="A7710" t="inlineStr">
        <is>
          <t>A 27960-2025</t>
        </is>
      </c>
      <c r="B7710" s="1" t="n">
        <v>45817</v>
      </c>
      <c r="C7710" s="1" t="n">
        <v>45843</v>
      </c>
      <c r="D7710" t="inlineStr">
        <is>
          <t>SÖDERMANLANDS LÄN</t>
        </is>
      </c>
      <c r="E7710" t="inlineStr">
        <is>
          <t>VINGÅKER</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28104-2025</t>
        </is>
      </c>
      <c r="B7711" s="1" t="n">
        <v>45817</v>
      </c>
      <c r="C7711" s="1" t="n">
        <v>45843</v>
      </c>
      <c r="D7711" t="inlineStr">
        <is>
          <t>SÖDERMANLANDS LÄN</t>
        </is>
      </c>
      <c r="E7711" t="inlineStr">
        <is>
          <t>STRÄNGNÄS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28107-2025</t>
        </is>
      </c>
      <c r="B7712" s="1" t="n">
        <v>45817</v>
      </c>
      <c r="C7712" s="1" t="n">
        <v>45843</v>
      </c>
      <c r="D7712" t="inlineStr">
        <is>
          <t>SÖDERMANLANDS LÄN</t>
        </is>
      </c>
      <c r="E7712" t="inlineStr">
        <is>
          <t>STRÄNGNÄS</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28250-2025</t>
        </is>
      </c>
      <c r="B7713" s="1" t="n">
        <v>45817</v>
      </c>
      <c r="C7713" s="1" t="n">
        <v>45843</v>
      </c>
      <c r="D7713" t="inlineStr">
        <is>
          <t>SÖDERMANLANDS LÄN</t>
        </is>
      </c>
      <c r="E7713" t="inlineStr">
        <is>
          <t>STRÄNGNÄS</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28300-2025</t>
        </is>
      </c>
      <c r="B7714" s="1" t="n">
        <v>45817</v>
      </c>
      <c r="C7714" s="1" t="n">
        <v>45843</v>
      </c>
      <c r="D7714" t="inlineStr">
        <is>
          <t>SÖDERMANLANDS LÄN</t>
        </is>
      </c>
      <c r="E7714" t="inlineStr">
        <is>
          <t>STRÄNGNÄS</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28253-2025</t>
        </is>
      </c>
      <c r="B7715" s="1" t="n">
        <v>45817</v>
      </c>
      <c r="C7715" s="1" t="n">
        <v>45843</v>
      </c>
      <c r="D7715" t="inlineStr">
        <is>
          <t>SÖDERMANLANDS LÄN</t>
        </is>
      </c>
      <c r="E7715" t="inlineStr">
        <is>
          <t>STRÄNGNÄS</t>
        </is>
      </c>
      <c r="G7715" t="n">
        <v>7.6</v>
      </c>
      <c r="H7715" t="n">
        <v>0</v>
      </c>
      <c r="I7715" t="n">
        <v>0</v>
      </c>
      <c r="J7715" t="n">
        <v>0</v>
      </c>
      <c r="K7715" t="n">
        <v>0</v>
      </c>
      <c r="L7715" t="n">
        <v>0</v>
      </c>
      <c r="M7715" t="n">
        <v>0</v>
      </c>
      <c r="N7715" t="n">
        <v>0</v>
      </c>
      <c r="O7715" t="n">
        <v>0</v>
      </c>
      <c r="P7715" t="n">
        <v>0</v>
      </c>
      <c r="Q7715" t="n">
        <v>0</v>
      </c>
      <c r="R7715" s="2" t="inlineStr"/>
    </row>
    <row r="7716" ht="15" customHeight="1">
      <c r="A7716" t="inlineStr">
        <is>
          <t>A 28273-2025</t>
        </is>
      </c>
      <c r="B7716" s="1" t="n">
        <v>45817</v>
      </c>
      <c r="C7716" s="1" t="n">
        <v>45843</v>
      </c>
      <c r="D7716" t="inlineStr">
        <is>
          <t>SÖDERMANLANDS LÄN</t>
        </is>
      </c>
      <c r="E7716" t="inlineStr">
        <is>
          <t>STRÄNGNÄS</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28291-2025</t>
        </is>
      </c>
      <c r="B7717" s="1" t="n">
        <v>45817</v>
      </c>
      <c r="C7717" s="1" t="n">
        <v>45843</v>
      </c>
      <c r="D7717" t="inlineStr">
        <is>
          <t>SÖDERMANLANDS LÄN</t>
        </is>
      </c>
      <c r="E7717" t="inlineStr">
        <is>
          <t>STRÄNGNÄS</t>
        </is>
      </c>
      <c r="G7717" t="n">
        <v>7.3</v>
      </c>
      <c r="H7717" t="n">
        <v>0</v>
      </c>
      <c r="I7717" t="n">
        <v>0</v>
      </c>
      <c r="J7717" t="n">
        <v>0</v>
      </c>
      <c r="K7717" t="n">
        <v>0</v>
      </c>
      <c r="L7717" t="n">
        <v>0</v>
      </c>
      <c r="M7717" t="n">
        <v>0</v>
      </c>
      <c r="N7717" t="n">
        <v>0</v>
      </c>
      <c r="O7717" t="n">
        <v>0</v>
      </c>
      <c r="P7717" t="n">
        <v>0</v>
      </c>
      <c r="Q7717" t="n">
        <v>0</v>
      </c>
      <c r="R7717" s="2" t="inlineStr"/>
    </row>
    <row r="7718" ht="15" customHeight="1">
      <c r="A7718" t="inlineStr">
        <is>
          <t>A 28310-2025</t>
        </is>
      </c>
      <c r="B7718" s="1" t="n">
        <v>45817</v>
      </c>
      <c r="C7718" s="1" t="n">
        <v>45843</v>
      </c>
      <c r="D7718" t="inlineStr">
        <is>
          <t>SÖDERMANLANDS LÄN</t>
        </is>
      </c>
      <c r="E7718" t="inlineStr">
        <is>
          <t>STRÄNGNÄS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28064-2025</t>
        </is>
      </c>
      <c r="B7719" s="1" t="n">
        <v>45817</v>
      </c>
      <c r="C7719" s="1" t="n">
        <v>45843</v>
      </c>
      <c r="D7719" t="inlineStr">
        <is>
          <t>SÖDERMANLANDS LÄN</t>
        </is>
      </c>
      <c r="E7719" t="inlineStr">
        <is>
          <t>STRÄNGNÄS</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28075-2025</t>
        </is>
      </c>
      <c r="B7720" s="1" t="n">
        <v>45817</v>
      </c>
      <c r="C7720" s="1" t="n">
        <v>45843</v>
      </c>
      <c r="D7720" t="inlineStr">
        <is>
          <t>SÖDERMANLANDS LÄN</t>
        </is>
      </c>
      <c r="E7720" t="inlineStr">
        <is>
          <t>STRÄNGNÄS</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28078-2025</t>
        </is>
      </c>
      <c r="B7721" s="1" t="n">
        <v>45817</v>
      </c>
      <c r="C7721" s="1" t="n">
        <v>45843</v>
      </c>
      <c r="D7721" t="inlineStr">
        <is>
          <t>SÖDERMANLANDS LÄN</t>
        </is>
      </c>
      <c r="E7721" t="inlineStr">
        <is>
          <t>STRÄNGNÄS</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28105-2025</t>
        </is>
      </c>
      <c r="B7722" s="1" t="n">
        <v>45817</v>
      </c>
      <c r="C7722" s="1" t="n">
        <v>45843</v>
      </c>
      <c r="D7722" t="inlineStr">
        <is>
          <t>SÖDERMANLANDS LÄN</t>
        </is>
      </c>
      <c r="E7722" t="inlineStr">
        <is>
          <t>STRÄNGNÄS</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28298-2025</t>
        </is>
      </c>
      <c r="B7723" s="1" t="n">
        <v>45817</v>
      </c>
      <c r="C7723" s="1" t="n">
        <v>45843</v>
      </c>
      <c r="D7723" t="inlineStr">
        <is>
          <t>SÖDERMANLANDS LÄN</t>
        </is>
      </c>
      <c r="E7723" t="inlineStr">
        <is>
          <t>STRÄNGNÄS</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28106-2025</t>
        </is>
      </c>
      <c r="B7724" s="1" t="n">
        <v>45817</v>
      </c>
      <c r="C7724" s="1" t="n">
        <v>45843</v>
      </c>
      <c r="D7724" t="inlineStr">
        <is>
          <t>SÖDERMANLANDS LÄN</t>
        </is>
      </c>
      <c r="E7724" t="inlineStr">
        <is>
          <t>STRÄNGNÄS</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28259-2025</t>
        </is>
      </c>
      <c r="B7725" s="1" t="n">
        <v>45817</v>
      </c>
      <c r="C7725" s="1" t="n">
        <v>45843</v>
      </c>
      <c r="D7725" t="inlineStr">
        <is>
          <t>SÖDERMANLANDS LÄN</t>
        </is>
      </c>
      <c r="E7725" t="inlineStr">
        <is>
          <t>STRÄNGNÄS</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28046-2025</t>
        </is>
      </c>
      <c r="B7726" s="1" t="n">
        <v>45817</v>
      </c>
      <c r="C7726" s="1" t="n">
        <v>45843</v>
      </c>
      <c r="D7726" t="inlineStr">
        <is>
          <t>SÖDERMANLANDS LÄN</t>
        </is>
      </c>
      <c r="E7726" t="inlineStr">
        <is>
          <t>STRÄNGNÄS</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28305-2025</t>
        </is>
      </c>
      <c r="B7727" s="1" t="n">
        <v>45817</v>
      </c>
      <c r="C7727" s="1" t="n">
        <v>45843</v>
      </c>
      <c r="D7727" t="inlineStr">
        <is>
          <t>SÖDERMANLANDS LÄN</t>
        </is>
      </c>
      <c r="E7727" t="inlineStr">
        <is>
          <t>STRÄNGNÄS</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45843</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28654-2025</t>
        </is>
      </c>
      <c r="B7729" s="1" t="n">
        <v>45819</v>
      </c>
      <c r="C7729" s="1" t="n">
        <v>45843</v>
      </c>
      <c r="D7729" t="inlineStr">
        <is>
          <t>SÖDERMANLANDS LÄN</t>
        </is>
      </c>
      <c r="E7729" t="inlineStr">
        <is>
          <t>NYKÖPING</t>
        </is>
      </c>
      <c r="F7729" t="inlineStr">
        <is>
          <t>Sveaskog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28644-2025</t>
        </is>
      </c>
      <c r="B7730" s="1" t="n">
        <v>45819</v>
      </c>
      <c r="C7730" s="1" t="n">
        <v>45843</v>
      </c>
      <c r="D7730" t="inlineStr">
        <is>
          <t>SÖDERMANLANDS LÄN</t>
        </is>
      </c>
      <c r="E7730" t="inlineStr">
        <is>
          <t>NYKÖPING</t>
        </is>
      </c>
      <c r="F7730" t="inlineStr">
        <is>
          <t>Sveaskog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28645-2025</t>
        </is>
      </c>
      <c r="B7731" s="1" t="n">
        <v>45819</v>
      </c>
      <c r="C7731" s="1" t="n">
        <v>45843</v>
      </c>
      <c r="D7731" t="inlineStr">
        <is>
          <t>SÖDERMANLANDS LÄN</t>
        </is>
      </c>
      <c r="E7731" t="inlineStr">
        <is>
          <t>NYKÖPING</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28655-2025</t>
        </is>
      </c>
      <c r="B7732" s="1" t="n">
        <v>45819</v>
      </c>
      <c r="C7732" s="1" t="n">
        <v>45843</v>
      </c>
      <c r="D7732" t="inlineStr">
        <is>
          <t>SÖDERMANLANDS LÄN</t>
        </is>
      </c>
      <c r="E7732" t="inlineStr">
        <is>
          <t>NYKÖPING</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28652-2025</t>
        </is>
      </c>
      <c r="B7733" s="1" t="n">
        <v>45819</v>
      </c>
      <c r="C7733" s="1" t="n">
        <v>45843</v>
      </c>
      <c r="D7733" t="inlineStr">
        <is>
          <t>SÖDERMANLANDS LÄN</t>
        </is>
      </c>
      <c r="E7733" t="inlineStr">
        <is>
          <t>NYKÖPING</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28664-2025</t>
        </is>
      </c>
      <c r="B7734" s="1" t="n">
        <v>45819</v>
      </c>
      <c r="C7734" s="1" t="n">
        <v>45843</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28662-2025</t>
        </is>
      </c>
      <c r="B7735" s="1" t="n">
        <v>45819</v>
      </c>
      <c r="C7735" s="1" t="n">
        <v>45843</v>
      </c>
      <c r="D7735" t="inlineStr">
        <is>
          <t>SÖDERMANLANDS LÄN</t>
        </is>
      </c>
      <c r="E7735" t="inlineStr">
        <is>
          <t>NYKÖPING</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28650-2025</t>
        </is>
      </c>
      <c r="B7736" s="1" t="n">
        <v>45819</v>
      </c>
      <c r="C7736" s="1" t="n">
        <v>45843</v>
      </c>
      <c r="D7736" t="inlineStr">
        <is>
          <t>SÖDERMANLANDS LÄN</t>
        </is>
      </c>
      <c r="E7736" t="inlineStr">
        <is>
          <t>NYKÖPING</t>
        </is>
      </c>
      <c r="F7736" t="inlineStr">
        <is>
          <t>Sveaskog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28646-2025</t>
        </is>
      </c>
      <c r="B7737" s="1" t="n">
        <v>45819</v>
      </c>
      <c r="C7737" s="1" t="n">
        <v>45843</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28841-2025</t>
        </is>
      </c>
      <c r="B7738" s="1" t="n">
        <v>45820</v>
      </c>
      <c r="C7738" s="1" t="n">
        <v>45843</v>
      </c>
      <c r="D7738" t="inlineStr">
        <is>
          <t>SÖDERMANLANDS LÄN</t>
        </is>
      </c>
      <c r="E7738" t="inlineStr">
        <is>
          <t>NYKÖPING</t>
        </is>
      </c>
      <c r="F7738" t="inlineStr">
        <is>
          <t>Sveaskog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45843</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28705-2025</t>
        </is>
      </c>
      <c r="B7740" s="1" t="n">
        <v>45820</v>
      </c>
      <c r="C7740" s="1" t="n">
        <v>45843</v>
      </c>
      <c r="D7740" t="inlineStr">
        <is>
          <t>SÖDERMANLANDS LÄN</t>
        </is>
      </c>
      <c r="E7740" t="inlineStr">
        <is>
          <t>NYKÖPING</t>
        </is>
      </c>
      <c r="F7740" t="inlineStr">
        <is>
          <t>Holmen skog AB</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28704-2025</t>
        </is>
      </c>
      <c r="B7741" s="1" t="n">
        <v>45820</v>
      </c>
      <c r="C7741" s="1" t="n">
        <v>45843</v>
      </c>
      <c r="D7741" t="inlineStr">
        <is>
          <t>SÖDERMANLANDS LÄN</t>
        </is>
      </c>
      <c r="E7741" t="inlineStr">
        <is>
          <t>NYKÖPING</t>
        </is>
      </c>
      <c r="F7741" t="inlineStr">
        <is>
          <t>Holmen skog AB</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28868-2025</t>
        </is>
      </c>
      <c r="B7742" s="1" t="n">
        <v>45820</v>
      </c>
      <c r="C7742" s="1" t="n">
        <v>45843</v>
      </c>
      <c r="D7742" t="inlineStr">
        <is>
          <t>SÖDERMANLANDS LÄN</t>
        </is>
      </c>
      <c r="E7742" t="inlineStr">
        <is>
          <t>NYKÖPING</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45843</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45843</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45843</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45843</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30113-2025</t>
        </is>
      </c>
      <c r="B7747" s="1" t="n">
        <v>45826</v>
      </c>
      <c r="C7747" s="1" t="n">
        <v>45843</v>
      </c>
      <c r="D7747" t="inlineStr">
        <is>
          <t>SÖDERMANLANDS LÄN</t>
        </is>
      </c>
      <c r="E7747" t="inlineStr">
        <is>
          <t>ESKILSTUNA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30070-2025</t>
        </is>
      </c>
      <c r="B7748" s="1" t="n">
        <v>45826</v>
      </c>
      <c r="C7748" s="1" t="n">
        <v>45843</v>
      </c>
      <c r="D7748" t="inlineStr">
        <is>
          <t>SÖDERMANLANDS LÄN</t>
        </is>
      </c>
      <c r="E7748" t="inlineStr">
        <is>
          <t>KATRINEHOLM</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30068-2025</t>
        </is>
      </c>
      <c r="B7749" s="1" t="n">
        <v>45826</v>
      </c>
      <c r="C7749" s="1" t="n">
        <v>45843</v>
      </c>
      <c r="D7749" t="inlineStr">
        <is>
          <t>SÖDERMANLANDS LÄN</t>
        </is>
      </c>
      <c r="E7749" t="inlineStr">
        <is>
          <t>FLEN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30075-2025</t>
        </is>
      </c>
      <c r="B7750" s="1" t="n">
        <v>45826</v>
      </c>
      <c r="C7750" s="1" t="n">
        <v>45843</v>
      </c>
      <c r="D7750" t="inlineStr">
        <is>
          <t>SÖDERMANLANDS LÄN</t>
        </is>
      </c>
      <c r="E7750" t="inlineStr">
        <is>
          <t>FLEN</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30117-2025</t>
        </is>
      </c>
      <c r="B7751" s="1" t="n">
        <v>45826</v>
      </c>
      <c r="C7751" s="1" t="n">
        <v>45843</v>
      </c>
      <c r="D7751" t="inlineStr">
        <is>
          <t>SÖDERMANLANDS LÄN</t>
        </is>
      </c>
      <c r="E7751" t="inlineStr">
        <is>
          <t>ESKILSTUNA</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30004-2025</t>
        </is>
      </c>
      <c r="B7752" s="1" t="n">
        <v>45826</v>
      </c>
      <c r="C7752" s="1" t="n">
        <v>45843</v>
      </c>
      <c r="D7752" t="inlineStr">
        <is>
          <t>SÖDERMANLANDS LÄN</t>
        </is>
      </c>
      <c r="E7752" t="inlineStr">
        <is>
          <t>ESKILSTUNA</t>
        </is>
      </c>
      <c r="G7752" t="n">
        <v>5.5</v>
      </c>
      <c r="H7752" t="n">
        <v>0</v>
      </c>
      <c r="I7752" t="n">
        <v>0</v>
      </c>
      <c r="J7752" t="n">
        <v>0</v>
      </c>
      <c r="K7752" t="n">
        <v>0</v>
      </c>
      <c r="L7752" t="n">
        <v>0</v>
      </c>
      <c r="M7752" t="n">
        <v>0</v>
      </c>
      <c r="N7752" t="n">
        <v>0</v>
      </c>
      <c r="O7752" t="n">
        <v>0</v>
      </c>
      <c r="P7752" t="n">
        <v>0</v>
      </c>
      <c r="Q7752" t="n">
        <v>0</v>
      </c>
      <c r="R7752" s="2" t="inlineStr"/>
    </row>
    <row r="7753" ht="15" customHeight="1">
      <c r="A7753" t="inlineStr">
        <is>
          <t>A 30050-2025</t>
        </is>
      </c>
      <c r="B7753" s="1" t="n">
        <v>45826</v>
      </c>
      <c r="C7753" s="1" t="n">
        <v>45843</v>
      </c>
      <c r="D7753" t="inlineStr">
        <is>
          <t>SÖDERMANLANDS LÄN</t>
        </is>
      </c>
      <c r="E7753" t="inlineStr">
        <is>
          <t>KATRINEHOLM</t>
        </is>
      </c>
      <c r="G7753" t="n">
        <v>7.9</v>
      </c>
      <c r="H7753" t="n">
        <v>0</v>
      </c>
      <c r="I7753" t="n">
        <v>0</v>
      </c>
      <c r="J7753" t="n">
        <v>0</v>
      </c>
      <c r="K7753" t="n">
        <v>0</v>
      </c>
      <c r="L7753" t="n">
        <v>0</v>
      </c>
      <c r="M7753" t="n">
        <v>0</v>
      </c>
      <c r="N7753" t="n">
        <v>0</v>
      </c>
      <c r="O7753" t="n">
        <v>0</v>
      </c>
      <c r="P7753" t="n">
        <v>0</v>
      </c>
      <c r="Q7753" t="n">
        <v>0</v>
      </c>
      <c r="R7753" s="2" t="inlineStr"/>
    </row>
    <row r="7754" ht="15" customHeight="1">
      <c r="A7754" t="inlineStr">
        <is>
          <t>A 30097-2025</t>
        </is>
      </c>
      <c r="B7754" s="1" t="n">
        <v>45826</v>
      </c>
      <c r="C7754" s="1" t="n">
        <v>45843</v>
      </c>
      <c r="D7754" t="inlineStr">
        <is>
          <t>SÖDERMANLANDS LÄN</t>
        </is>
      </c>
      <c r="E7754" t="inlineStr">
        <is>
          <t>ESKILSTUNA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30096-2025</t>
        </is>
      </c>
      <c r="B7755" s="1" t="n">
        <v>45826</v>
      </c>
      <c r="C7755" s="1" t="n">
        <v>45843</v>
      </c>
      <c r="D7755" t="inlineStr">
        <is>
          <t>SÖDERMANLANDS LÄN</t>
        </is>
      </c>
      <c r="E7755" t="inlineStr">
        <is>
          <t>ESKILSTUNA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30034-2025</t>
        </is>
      </c>
      <c r="B7756" s="1" t="n">
        <v>45826</v>
      </c>
      <c r="C7756" s="1" t="n">
        <v>45843</v>
      </c>
      <c r="D7756" t="inlineStr">
        <is>
          <t>SÖDERMANLANDS LÄN</t>
        </is>
      </c>
      <c r="E7756" t="inlineStr">
        <is>
          <t>NYKÖPING</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29846-2025</t>
        </is>
      </c>
      <c r="B7757" s="1" t="n">
        <v>45826</v>
      </c>
      <c r="C7757" s="1" t="n">
        <v>45843</v>
      </c>
      <c r="D7757" t="inlineStr">
        <is>
          <t>SÖDERMANLANDS LÄN</t>
        </is>
      </c>
      <c r="E7757" t="inlineStr">
        <is>
          <t>NYKÖPING</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45843</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30352-2025</t>
        </is>
      </c>
      <c r="B7759" s="1" t="n">
        <v>45827</v>
      </c>
      <c r="C7759" s="1" t="n">
        <v>45843</v>
      </c>
      <c r="D7759" t="inlineStr">
        <is>
          <t>SÖDERMANLANDS LÄN</t>
        </is>
      </c>
      <c r="E7759" t="inlineStr">
        <is>
          <t>KATRINEHOLM</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30402-2025</t>
        </is>
      </c>
      <c r="B7760" s="1" t="n">
        <v>45827</v>
      </c>
      <c r="C7760" s="1" t="n">
        <v>45843</v>
      </c>
      <c r="D7760" t="inlineStr">
        <is>
          <t>SÖDERMANLANDS LÄN</t>
        </is>
      </c>
      <c r="E7760" t="inlineStr">
        <is>
          <t>KATRINEHOLM</t>
        </is>
      </c>
      <c r="G7760" t="n">
        <v>7.1</v>
      </c>
      <c r="H7760" t="n">
        <v>0</v>
      </c>
      <c r="I7760" t="n">
        <v>0</v>
      </c>
      <c r="J7760" t="n">
        <v>0</v>
      </c>
      <c r="K7760" t="n">
        <v>0</v>
      </c>
      <c r="L7760" t="n">
        <v>0</v>
      </c>
      <c r="M7760" t="n">
        <v>0</v>
      </c>
      <c r="N7760" t="n">
        <v>0</v>
      </c>
      <c r="O7760" t="n">
        <v>0</v>
      </c>
      <c r="P7760" t="n">
        <v>0</v>
      </c>
      <c r="Q7760" t="n">
        <v>0</v>
      </c>
      <c r="R7760" s="2" t="inlineStr"/>
    </row>
    <row r="7761" ht="15" customHeight="1">
      <c r="A7761" t="inlineStr">
        <is>
          <t>A 30287-2025</t>
        </is>
      </c>
      <c r="B7761" s="1" t="n">
        <v>45827</v>
      </c>
      <c r="C7761" s="1" t="n">
        <v>45843</v>
      </c>
      <c r="D7761" t="inlineStr">
        <is>
          <t>SÖDERMANLANDS LÄN</t>
        </is>
      </c>
      <c r="E7761" t="inlineStr">
        <is>
          <t>KATRINEHOLM</t>
        </is>
      </c>
      <c r="G7761" t="n">
        <v>10.2</v>
      </c>
      <c r="H7761" t="n">
        <v>0</v>
      </c>
      <c r="I7761" t="n">
        <v>0</v>
      </c>
      <c r="J7761" t="n">
        <v>0</v>
      </c>
      <c r="K7761" t="n">
        <v>0</v>
      </c>
      <c r="L7761" t="n">
        <v>0</v>
      </c>
      <c r="M7761" t="n">
        <v>0</v>
      </c>
      <c r="N7761" t="n">
        <v>0</v>
      </c>
      <c r="O7761" t="n">
        <v>0</v>
      </c>
      <c r="P7761" t="n">
        <v>0</v>
      </c>
      <c r="Q7761" t="n">
        <v>0</v>
      </c>
      <c r="R7761" s="2" t="inlineStr"/>
    </row>
    <row r="7762" ht="15" customHeight="1">
      <c r="A7762" t="inlineStr">
        <is>
          <t>A 30386-2025</t>
        </is>
      </c>
      <c r="B7762" s="1" t="n">
        <v>45827</v>
      </c>
      <c r="C7762" s="1" t="n">
        <v>45843</v>
      </c>
      <c r="D7762" t="inlineStr">
        <is>
          <t>SÖDERMANLANDS LÄN</t>
        </is>
      </c>
      <c r="E7762" t="inlineStr">
        <is>
          <t>KATRINEHOLM</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45843</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45843</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30703-2025</t>
        </is>
      </c>
      <c r="B7765" s="1" t="n">
        <v>45831</v>
      </c>
      <c r="C7765" s="1" t="n">
        <v>45843</v>
      </c>
      <c r="D7765" t="inlineStr">
        <is>
          <t>SÖDERMANLANDS LÄN</t>
        </is>
      </c>
      <c r="E7765" t="inlineStr">
        <is>
          <t>NYKÖPING</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31034-2025</t>
        </is>
      </c>
      <c r="B7766" s="1" t="n">
        <v>45831</v>
      </c>
      <c r="C7766" s="1" t="n">
        <v>45843</v>
      </c>
      <c r="D7766" t="inlineStr">
        <is>
          <t>SÖDERMANLANDS LÄN</t>
        </is>
      </c>
      <c r="E7766" t="inlineStr">
        <is>
          <t>NYKÖPING</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31038-2025</t>
        </is>
      </c>
      <c r="B7767" s="1" t="n">
        <v>45831</v>
      </c>
      <c r="C7767" s="1" t="n">
        <v>45843</v>
      </c>
      <c r="D7767" t="inlineStr">
        <is>
          <t>SÖDERMANLANDS LÄN</t>
        </is>
      </c>
      <c r="E7767" t="inlineStr">
        <is>
          <t>NYKÖPING</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30622-2025</t>
        </is>
      </c>
      <c r="B7768" s="1" t="n">
        <v>45831</v>
      </c>
      <c r="C7768" s="1" t="n">
        <v>45843</v>
      </c>
      <c r="D7768" t="inlineStr">
        <is>
          <t>SÖDERMANLANDS LÄN</t>
        </is>
      </c>
      <c r="E7768" t="inlineStr">
        <is>
          <t>STRÄNGNÄS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30636-2025</t>
        </is>
      </c>
      <c r="B7769" s="1" t="n">
        <v>45831</v>
      </c>
      <c r="C7769" s="1" t="n">
        <v>45843</v>
      </c>
      <c r="D7769" t="inlineStr">
        <is>
          <t>SÖDERMANLANDS LÄN</t>
        </is>
      </c>
      <c r="E7769" t="inlineStr">
        <is>
          <t>STRÄNGNÄS</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30630-2025</t>
        </is>
      </c>
      <c r="B7770" s="1" t="n">
        <v>45831</v>
      </c>
      <c r="C7770" s="1" t="n">
        <v>45843</v>
      </c>
      <c r="D7770" t="inlineStr">
        <is>
          <t>SÖDERMANLANDS LÄN</t>
        </is>
      </c>
      <c r="E7770" t="inlineStr">
        <is>
          <t>ESKILSTUNA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30706-2025</t>
        </is>
      </c>
      <c r="B7771" s="1" t="n">
        <v>45831</v>
      </c>
      <c r="C7771" s="1" t="n">
        <v>45843</v>
      </c>
      <c r="D7771" t="inlineStr">
        <is>
          <t>SÖDERMANLANDS LÄN</t>
        </is>
      </c>
      <c r="E7771" t="inlineStr">
        <is>
          <t>NYKÖPING</t>
        </is>
      </c>
      <c r="F7771" t="inlineStr">
        <is>
          <t>Sveaskog</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30709-2025</t>
        </is>
      </c>
      <c r="B7772" s="1" t="n">
        <v>45831</v>
      </c>
      <c r="C7772" s="1" t="n">
        <v>45843</v>
      </c>
      <c r="D7772" t="inlineStr">
        <is>
          <t>SÖDERMANLANDS LÄN</t>
        </is>
      </c>
      <c r="E7772" t="inlineStr">
        <is>
          <t>NYKÖPING</t>
        </is>
      </c>
      <c r="F7772" t="inlineStr">
        <is>
          <t>Sveaskog</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30710-2025</t>
        </is>
      </c>
      <c r="B7773" s="1" t="n">
        <v>45831</v>
      </c>
      <c r="C7773" s="1" t="n">
        <v>45843</v>
      </c>
      <c r="D7773" t="inlineStr">
        <is>
          <t>SÖDERMANLANDS LÄN</t>
        </is>
      </c>
      <c r="E7773" t="inlineStr">
        <is>
          <t>NYKÖPING</t>
        </is>
      </c>
      <c r="F7773" t="inlineStr">
        <is>
          <t>Sveaskog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31082-2025</t>
        </is>
      </c>
      <c r="B7774" s="1" t="n">
        <v>45832</v>
      </c>
      <c r="C7774" s="1" t="n">
        <v>45843</v>
      </c>
      <c r="D7774" t="inlineStr">
        <is>
          <t>SÖDERMANLANDS LÄN</t>
        </is>
      </c>
      <c r="E7774" t="inlineStr">
        <is>
          <t>NYKÖPING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31056-2025</t>
        </is>
      </c>
      <c r="B7775" s="1" t="n">
        <v>45832</v>
      </c>
      <c r="C7775" s="1" t="n">
        <v>45843</v>
      </c>
      <c r="D7775" t="inlineStr">
        <is>
          <t>SÖDERMANLANDS LÄN</t>
        </is>
      </c>
      <c r="E7775" t="inlineStr">
        <is>
          <t>ESKILSTUNA</t>
        </is>
      </c>
      <c r="F7775" t="inlineStr">
        <is>
          <t>Sveaskog</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31166-2025</t>
        </is>
      </c>
      <c r="B7776" s="1" t="n">
        <v>45832</v>
      </c>
      <c r="C7776" s="1" t="n">
        <v>45843</v>
      </c>
      <c r="D7776" t="inlineStr">
        <is>
          <t>SÖDERMANLANDS LÄN</t>
        </is>
      </c>
      <c r="E7776" t="inlineStr">
        <is>
          <t>TROSA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30943-2025</t>
        </is>
      </c>
      <c r="B7777" s="1" t="n">
        <v>45832</v>
      </c>
      <c r="C7777" s="1" t="n">
        <v>45843</v>
      </c>
      <c r="D7777" t="inlineStr">
        <is>
          <t>SÖDERMANLANDS LÄN</t>
        </is>
      </c>
      <c r="E7777" t="inlineStr">
        <is>
          <t>NYKÖPING</t>
        </is>
      </c>
      <c r="G7777" t="n">
        <v>32.5</v>
      </c>
      <c r="H7777" t="n">
        <v>0</v>
      </c>
      <c r="I7777" t="n">
        <v>0</v>
      </c>
      <c r="J7777" t="n">
        <v>0</v>
      </c>
      <c r="K7777" t="n">
        <v>0</v>
      </c>
      <c r="L7777" t="n">
        <v>0</v>
      </c>
      <c r="M7777" t="n">
        <v>0</v>
      </c>
      <c r="N7777" t="n">
        <v>0</v>
      </c>
      <c r="O7777" t="n">
        <v>0</v>
      </c>
      <c r="P7777" t="n">
        <v>0</v>
      </c>
      <c r="Q7777" t="n">
        <v>0</v>
      </c>
      <c r="R7777" s="2" t="inlineStr"/>
    </row>
    <row r="7778" ht="15" customHeight="1">
      <c r="A7778" t="inlineStr">
        <is>
          <t>A 30946-2025</t>
        </is>
      </c>
      <c r="B7778" s="1" t="n">
        <v>45832</v>
      </c>
      <c r="C7778" s="1" t="n">
        <v>45843</v>
      </c>
      <c r="D7778" t="inlineStr">
        <is>
          <t>SÖDERMANLANDS LÄN</t>
        </is>
      </c>
      <c r="E7778" t="inlineStr">
        <is>
          <t>NYKÖPING</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30999-2025</t>
        </is>
      </c>
      <c r="B7779" s="1" t="n">
        <v>45832</v>
      </c>
      <c r="C7779" s="1" t="n">
        <v>45843</v>
      </c>
      <c r="D7779" t="inlineStr">
        <is>
          <t>SÖDERMANLANDS LÄN</t>
        </is>
      </c>
      <c r="E7779" t="inlineStr">
        <is>
          <t>STRÄNGNÄS</t>
        </is>
      </c>
      <c r="G7779" t="n">
        <v>4.8</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45843</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31376-2025</t>
        </is>
      </c>
      <c r="B7781" s="1" t="n">
        <v>45833</v>
      </c>
      <c r="C7781" s="1" t="n">
        <v>45843</v>
      </c>
      <c r="D7781" t="inlineStr">
        <is>
          <t>SÖDERMANLANDS LÄN</t>
        </is>
      </c>
      <c r="E7781" t="inlineStr">
        <is>
          <t>KATRINEHOLM</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31392-2025</t>
        </is>
      </c>
      <c r="B7782" s="1" t="n">
        <v>45833</v>
      </c>
      <c r="C7782" s="1" t="n">
        <v>45843</v>
      </c>
      <c r="D7782" t="inlineStr">
        <is>
          <t>SÖDERMANLANDS LÄN</t>
        </is>
      </c>
      <c r="E7782" t="inlineStr">
        <is>
          <t>KATRINEHOLM</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31314-2025</t>
        </is>
      </c>
      <c r="B7783" s="1" t="n">
        <v>45833</v>
      </c>
      <c r="C7783" s="1" t="n">
        <v>45843</v>
      </c>
      <c r="D7783" t="inlineStr">
        <is>
          <t>SÖDERMANLANDS LÄN</t>
        </is>
      </c>
      <c r="E7783" t="inlineStr">
        <is>
          <t>ESKILSTUNA</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45843</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31929-2025</t>
        </is>
      </c>
      <c r="B7785" s="1" t="n">
        <v>45834</v>
      </c>
      <c r="C7785" s="1" t="n">
        <v>45843</v>
      </c>
      <c r="D7785" t="inlineStr">
        <is>
          <t>SÖDERMANLANDS LÄN</t>
        </is>
      </c>
      <c r="E7785" t="inlineStr">
        <is>
          <t>NYKÖPING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31928-2025</t>
        </is>
      </c>
      <c r="B7786" s="1" t="n">
        <v>45834</v>
      </c>
      <c r="C7786" s="1" t="n">
        <v>45843</v>
      </c>
      <c r="D7786" t="inlineStr">
        <is>
          <t>SÖDERMANLANDS LÄN</t>
        </is>
      </c>
      <c r="E7786" t="inlineStr">
        <is>
          <t>NYKÖPING</t>
        </is>
      </c>
      <c r="G7786" t="n">
        <v>1.9</v>
      </c>
      <c r="H7786" t="n">
        <v>0</v>
      </c>
      <c r="I7786" t="n">
        <v>0</v>
      </c>
      <c r="J7786" t="n">
        <v>0</v>
      </c>
      <c r="K7786" t="n">
        <v>0</v>
      </c>
      <c r="L7786" t="n">
        <v>0</v>
      </c>
      <c r="M7786" t="n">
        <v>0</v>
      </c>
      <c r="N7786" t="n">
        <v>0</v>
      </c>
      <c r="O7786" t="n">
        <v>0</v>
      </c>
      <c r="P7786" t="n">
        <v>0</v>
      </c>
      <c r="Q7786" t="n">
        <v>0</v>
      </c>
      <c r="R7786" s="2" t="inlineStr"/>
    </row>
    <row r="7787" ht="15" customHeight="1">
      <c r="A7787" t="inlineStr">
        <is>
          <t>A 31745-2025</t>
        </is>
      </c>
      <c r="B7787" s="1" t="n">
        <v>45834</v>
      </c>
      <c r="C7787" s="1" t="n">
        <v>45843</v>
      </c>
      <c r="D7787" t="inlineStr">
        <is>
          <t>SÖDERMANLANDS LÄN</t>
        </is>
      </c>
      <c r="E7787" t="inlineStr">
        <is>
          <t>STRÄNGNÄS</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31922-2025</t>
        </is>
      </c>
      <c r="B7788" s="1" t="n">
        <v>45834</v>
      </c>
      <c r="C7788" s="1" t="n">
        <v>45843</v>
      </c>
      <c r="D7788" t="inlineStr">
        <is>
          <t>SÖDERMANLANDS LÄN</t>
        </is>
      </c>
      <c r="E7788" t="inlineStr">
        <is>
          <t>NYKÖPING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45843</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45843</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31990-2025</t>
        </is>
      </c>
      <c r="B7791" s="1" t="n">
        <v>45835</v>
      </c>
      <c r="C7791" s="1" t="n">
        <v>45843</v>
      </c>
      <c r="D7791" t="inlineStr">
        <is>
          <t>SÖDERMANLANDS LÄN</t>
        </is>
      </c>
      <c r="E7791" t="inlineStr">
        <is>
          <t>KATRINEHOLM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45843</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32763-2025</t>
        </is>
      </c>
      <c r="B7793" s="1" t="n">
        <v>45839</v>
      </c>
      <c r="C7793" s="1" t="n">
        <v>45843</v>
      </c>
      <c r="D7793" t="inlineStr">
        <is>
          <t>SÖDERMANLANDS LÄN</t>
        </is>
      </c>
      <c r="E7793" t="inlineStr">
        <is>
          <t>STRÄNGNÄS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32761-2025</t>
        </is>
      </c>
      <c r="B7794" s="1" t="n">
        <v>45839</v>
      </c>
      <c r="C7794" s="1" t="n">
        <v>45843</v>
      </c>
      <c r="D7794" t="inlineStr">
        <is>
          <t>SÖDERMANLANDS LÄN</t>
        </is>
      </c>
      <c r="E7794" t="inlineStr">
        <is>
          <t>STRÄNGNÄS</t>
        </is>
      </c>
      <c r="G7794" t="n">
        <v>11.9</v>
      </c>
      <c r="H7794" t="n">
        <v>0</v>
      </c>
      <c r="I7794" t="n">
        <v>0</v>
      </c>
      <c r="J7794" t="n">
        <v>0</v>
      </c>
      <c r="K7794" t="n">
        <v>0</v>
      </c>
      <c r="L7794" t="n">
        <v>0</v>
      </c>
      <c r="M7794" t="n">
        <v>0</v>
      </c>
      <c r="N7794" t="n">
        <v>0</v>
      </c>
      <c r="O7794" t="n">
        <v>0</v>
      </c>
      <c r="P7794" t="n">
        <v>0</v>
      </c>
      <c r="Q7794" t="n">
        <v>0</v>
      </c>
      <c r="R7794" s="2" t="inlineStr"/>
    </row>
    <row r="7795" ht="15" customHeight="1">
      <c r="A7795" t="inlineStr">
        <is>
          <t>A 32755-2025</t>
        </is>
      </c>
      <c r="B7795" s="1" t="n">
        <v>45839</v>
      </c>
      <c r="C7795" s="1" t="n">
        <v>45843</v>
      </c>
      <c r="D7795" t="inlineStr">
        <is>
          <t>SÖDERMANLANDS LÄN</t>
        </is>
      </c>
      <c r="E7795" t="inlineStr">
        <is>
          <t>STRÄNGNÄS</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33077-2025</t>
        </is>
      </c>
      <c r="B7796" s="1" t="n">
        <v>45840</v>
      </c>
      <c r="C7796" s="1" t="n">
        <v>45843</v>
      </c>
      <c r="D7796" t="inlineStr">
        <is>
          <t>SÖDERMANLANDS LÄN</t>
        </is>
      </c>
      <c r="E7796" t="inlineStr">
        <is>
          <t>KATRINEHOLM</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33084-2025</t>
        </is>
      </c>
      <c r="B7797" s="1" t="n">
        <v>45840</v>
      </c>
      <c r="C7797" s="1" t="n">
        <v>45843</v>
      </c>
      <c r="D7797" t="inlineStr">
        <is>
          <t>SÖDERMANLANDS LÄN</t>
        </is>
      </c>
      <c r="E7797" t="inlineStr">
        <is>
          <t>KATRINEHOLM</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33107-2025</t>
        </is>
      </c>
      <c r="B7798" s="1" t="n">
        <v>45840</v>
      </c>
      <c r="C7798" s="1" t="n">
        <v>45843</v>
      </c>
      <c r="D7798" t="inlineStr">
        <is>
          <t>SÖDERMANLANDS LÄN</t>
        </is>
      </c>
      <c r="E7798" t="inlineStr">
        <is>
          <t>NYKÖPING</t>
        </is>
      </c>
      <c r="G7798" t="n">
        <v>9.699999999999999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33101-2025</t>
        </is>
      </c>
      <c r="B7799" s="1" t="n">
        <v>45840</v>
      </c>
      <c r="C7799" s="1" t="n">
        <v>45843</v>
      </c>
      <c r="D7799" t="inlineStr">
        <is>
          <t>SÖDERMANLANDS LÄN</t>
        </is>
      </c>
      <c r="E7799" t="inlineStr">
        <is>
          <t>KATRINEHOLM</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33096-2025</t>
        </is>
      </c>
      <c r="B7800" s="1" t="n">
        <v>45840</v>
      </c>
      <c r="C7800" s="1" t="n">
        <v>45843</v>
      </c>
      <c r="D7800" t="inlineStr">
        <is>
          <t>SÖDERMANLANDS LÄN</t>
        </is>
      </c>
      <c r="E7800" t="inlineStr">
        <is>
          <t>KATRINEHOLM</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33129-2025</t>
        </is>
      </c>
      <c r="B7801" s="1" t="n">
        <v>45840</v>
      </c>
      <c r="C7801" s="1" t="n">
        <v>45843</v>
      </c>
      <c r="D7801" t="inlineStr">
        <is>
          <t>SÖDERMANLANDS LÄN</t>
        </is>
      </c>
      <c r="E7801" t="inlineStr">
        <is>
          <t>KATRINEHOLM</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33090-2025</t>
        </is>
      </c>
      <c r="B7802" s="1" t="n">
        <v>45840</v>
      </c>
      <c r="C7802" s="1" t="n">
        <v>45843</v>
      </c>
      <c r="D7802" t="inlineStr">
        <is>
          <t>SÖDERMANLANDS LÄN</t>
        </is>
      </c>
      <c r="E7802" t="inlineStr">
        <is>
          <t>KATRINEHOLM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33382-2025</t>
        </is>
      </c>
      <c r="B7803" s="1" t="n">
        <v>45841</v>
      </c>
      <c r="C7803" s="1" t="n">
        <v>45843</v>
      </c>
      <c r="D7803" t="inlineStr">
        <is>
          <t>SÖDERMANLANDS LÄN</t>
        </is>
      </c>
      <c r="E7803" t="inlineStr">
        <is>
          <t>NYKÖPING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33577-2025</t>
        </is>
      </c>
      <c r="B7804" s="1" t="n">
        <v>45841</v>
      </c>
      <c r="C7804" s="1" t="n">
        <v>45843</v>
      </c>
      <c r="D7804" t="inlineStr">
        <is>
          <t>SÖDERMANLANDS LÄN</t>
        </is>
      </c>
      <c r="E7804" t="inlineStr">
        <is>
          <t>KATRINEHOLM</t>
        </is>
      </c>
      <c r="F7804" t="inlineStr">
        <is>
          <t>Holmen skog AB</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33539-2025</t>
        </is>
      </c>
      <c r="B7805" s="1" t="n">
        <v>45841</v>
      </c>
      <c r="C7805" s="1" t="n">
        <v>45843</v>
      </c>
      <c r="D7805" t="inlineStr">
        <is>
          <t>SÖDERMANLANDS LÄN</t>
        </is>
      </c>
      <c r="E7805" t="inlineStr">
        <is>
          <t>STRÄNGNÄS</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33310-2025</t>
        </is>
      </c>
      <c r="B7806" s="1" t="n">
        <v>45841</v>
      </c>
      <c r="C7806" s="1" t="n">
        <v>45843</v>
      </c>
      <c r="D7806" t="inlineStr">
        <is>
          <t>SÖDERMANLANDS LÄN</t>
        </is>
      </c>
      <c r="E7806" t="inlineStr">
        <is>
          <t>NYKÖPING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33469-2025</t>
        </is>
      </c>
      <c r="B7807" s="1" t="n">
        <v>45841</v>
      </c>
      <c r="C7807" s="1" t="n">
        <v>45843</v>
      </c>
      <c r="D7807" t="inlineStr">
        <is>
          <t>SÖDERMANLANDS LÄN</t>
        </is>
      </c>
      <c r="E7807" t="inlineStr">
        <is>
          <t>KATRINEHOLM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33815-2025</t>
        </is>
      </c>
      <c r="B7808" s="1" t="n">
        <v>45842</v>
      </c>
      <c r="C7808" s="1" t="n">
        <v>45843</v>
      </c>
      <c r="D7808" t="inlineStr">
        <is>
          <t>SÖDERMANLANDS LÄN</t>
        </is>
      </c>
      <c r="E7808" t="inlineStr">
        <is>
          <t>KATRINEHOLM</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33870-2025</t>
        </is>
      </c>
      <c r="B7809" s="1" t="n">
        <v>45842</v>
      </c>
      <c r="C7809" s="1" t="n">
        <v>45843</v>
      </c>
      <c r="D7809" t="inlineStr">
        <is>
          <t>SÖDERMANLANDS LÄN</t>
        </is>
      </c>
      <c r="E7809" t="inlineStr">
        <is>
          <t>GNESTA</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33773-2025</t>
        </is>
      </c>
      <c r="B7810" s="1" t="n">
        <v>45842</v>
      </c>
      <c r="C7810" s="1" t="n">
        <v>45843</v>
      </c>
      <c r="D7810" t="inlineStr">
        <is>
          <t>SÖDERMANLANDS LÄN</t>
        </is>
      </c>
      <c r="E7810" t="inlineStr">
        <is>
          <t>NYKÖPING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33762-2025</t>
        </is>
      </c>
      <c r="B7811" s="1" t="n">
        <v>45842</v>
      </c>
      <c r="C7811" s="1" t="n">
        <v>45843</v>
      </c>
      <c r="D7811" t="inlineStr">
        <is>
          <t>SÖDERMANLANDS LÄN</t>
        </is>
      </c>
      <c r="E7811" t="inlineStr">
        <is>
          <t>NYKÖPING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33767-2025</t>
        </is>
      </c>
      <c r="B7812" s="1" t="n">
        <v>45842</v>
      </c>
      <c r="C7812" s="1" t="n">
        <v>45843</v>
      </c>
      <c r="D7812" t="inlineStr">
        <is>
          <t>SÖDERMANLANDS LÄN</t>
        </is>
      </c>
      <c r="E7812" t="inlineStr">
        <is>
          <t>NYKÖPING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33764-2025</t>
        </is>
      </c>
      <c r="B7813" s="1" t="n">
        <v>45842</v>
      </c>
      <c r="C7813" s="1" t="n">
        <v>45843</v>
      </c>
      <c r="D7813" t="inlineStr">
        <is>
          <t>SÖDERMANLANDS LÄN</t>
        </is>
      </c>
      <c r="E7813" t="inlineStr">
        <is>
          <t>NYKÖPING</t>
        </is>
      </c>
      <c r="G7813" t="n">
        <v>6.2</v>
      </c>
      <c r="H7813" t="n">
        <v>0</v>
      </c>
      <c r="I7813" t="n">
        <v>0</v>
      </c>
      <c r="J7813" t="n">
        <v>0</v>
      </c>
      <c r="K7813" t="n">
        <v>0</v>
      </c>
      <c r="L7813" t="n">
        <v>0</v>
      </c>
      <c r="M7813" t="n">
        <v>0</v>
      </c>
      <c r="N7813" t="n">
        <v>0</v>
      </c>
      <c r="O7813" t="n">
        <v>0</v>
      </c>
      <c r="P7813" t="n">
        <v>0</v>
      </c>
      <c r="Q7813" t="n">
        <v>0</v>
      </c>
      <c r="R7813" s="2" t="inlineStr"/>
    </row>
    <row r="7814">
      <c r="A7814" t="inlineStr">
        <is>
          <t>A 33812-2025</t>
        </is>
      </c>
      <c r="B7814" s="1" t="n">
        <v>45842</v>
      </c>
      <c r="C7814" s="1" t="n">
        <v>45843</v>
      </c>
      <c r="D7814" t="inlineStr">
        <is>
          <t>SÖDERMANLANDS LÄN</t>
        </is>
      </c>
      <c r="E7814" t="inlineStr">
        <is>
          <t>KATRINEHOLM</t>
        </is>
      </c>
      <c r="G7814" t="n">
        <v>1.5</v>
      </c>
      <c r="H7814" t="n">
        <v>0</v>
      </c>
      <c r="I7814" t="n">
        <v>0</v>
      </c>
      <c r="J7814" t="n">
        <v>0</v>
      </c>
      <c r="K7814" t="n">
        <v>0</v>
      </c>
      <c r="L7814" t="n">
        <v>0</v>
      </c>
      <c r="M7814" t="n">
        <v>0</v>
      </c>
      <c r="N7814" t="n">
        <v>0</v>
      </c>
      <c r="O7814" t="n">
        <v>0</v>
      </c>
      <c r="P7814" t="n">
        <v>0</v>
      </c>
      <c r="Q7814" t="n">
        <v>0</v>
      </c>
      <c r="R7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2025-07-05T19:51:03Z</dcterms:created>
  <dcterms:modified xmlns:dcterms="http://purl.org/dc/terms/" xmlns:xsi="http://www.w3.org/2001/XMLSchema-instance" xsi:type="dcterms:W3CDTF">2025-07-05T19:51:10Z</dcterms:modified>
</cp:coreProperties>
</file>