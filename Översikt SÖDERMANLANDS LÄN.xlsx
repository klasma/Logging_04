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45353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45353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45353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45353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45353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45353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45353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45353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45353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45353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45353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45353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45353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45353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45353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45353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45353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45353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45353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45353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45353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45353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45353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45353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45353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45353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45353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45353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45353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45353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45353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45353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45353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45353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45353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45353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45353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45353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45353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45353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45353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45353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45353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45353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45353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45353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45353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45353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45353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45353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45353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45353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45353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45353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45353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45353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45353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45353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45353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45353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45353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45353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45353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45353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45353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45353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45353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45353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45353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45353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45353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45353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45353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45353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45353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45353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45353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45353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45353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45353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45353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45353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45353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45353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45353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45353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45353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45353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45353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45353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45353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45353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45353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45353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45353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45353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45353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45353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45353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45353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45353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45353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45353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45353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45353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45353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45353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45353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45353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45353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45353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45353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45353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45353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45353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45353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45353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45353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45353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45353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45353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45353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45353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45353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45353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45353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45353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45353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45353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45353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45353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45353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45353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45353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45353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45353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45353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45353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45353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45353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45353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45353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45353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45353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45353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45353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45353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45353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45353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45353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45353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45353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45353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45353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45353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45353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45353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45353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45353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45353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45353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45353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45353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45353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45353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45353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45353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45353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45353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45353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45353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45353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45353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45353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45353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45353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45353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45353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45353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45353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45353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45353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45353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45353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45353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45353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45353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45353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45353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45353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45353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45353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45353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45353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45353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45353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45353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45353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45353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45353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45353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45353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45353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45353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45353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45353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45353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45353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45353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45353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45353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45353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45353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45353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45353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45353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23515-2020</t>
        </is>
      </c>
      <c r="B288" s="1" t="n">
        <v>43966</v>
      </c>
      <c r="C288" s="1" t="n">
        <v>45353</v>
      </c>
      <c r="D288" t="inlineStr">
        <is>
          <t>SÖDERMANLANDS LÄN</t>
        </is>
      </c>
      <c r="E288" t="inlineStr">
        <is>
          <t>STRÄNGNÄS</t>
        </is>
      </c>
      <c r="G288" t="n">
        <v>2.2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Gullklöver</t>
        </is>
      </c>
      <c r="S288">
        <f>HYPERLINK("https://klasma.github.io/Logging_0486/artfynd/A 23515-2020 artfynd.xlsx", "A 23515-2020")</f>
        <v/>
      </c>
      <c r="T288">
        <f>HYPERLINK("https://klasma.github.io/Logging_0486/kartor/A 23515-2020 karta.png", "A 23515-2020")</f>
        <v/>
      </c>
      <c r="V288">
        <f>HYPERLINK("https://klasma.github.io/Logging_0486/klagomål/A 23515-2020 FSC-klagomål.docx", "A 23515-2020")</f>
        <v/>
      </c>
      <c r="W288">
        <f>HYPERLINK("https://klasma.github.io/Logging_0486/klagomålsmail/A 23515-2020 FSC-klagomål mail.docx", "A 23515-2020")</f>
        <v/>
      </c>
      <c r="X288">
        <f>HYPERLINK("https://klasma.github.io/Logging_0486/tillsyn/A 23515-2020 tillsynsbegäran.docx", "A 23515-2020")</f>
        <v/>
      </c>
      <c r="Y288">
        <f>HYPERLINK("https://klasma.github.io/Logging_0486/tillsynsmail/A 23515-2020 tillsynsbegäran mail.docx", "A 23515-2020")</f>
        <v/>
      </c>
    </row>
    <row r="289" ht="15" customHeight="1">
      <c r="A289" t="inlineStr">
        <is>
          <t>A 25802-2020</t>
        </is>
      </c>
      <c r="B289" s="1" t="n">
        <v>43983</v>
      </c>
      <c r="C289" s="1" t="n">
        <v>45353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HYPERLINK("https://klasma.github.io/Logging_0480/artfynd/A 25802-2020 artfynd.xlsx", "A 25802-2020")</f>
        <v/>
      </c>
      <c r="T289">
        <f>HYPERLINK("https://klasma.github.io/Logging_0480/kartor/A 25802-2020 karta.png", "A 25802-2020")</f>
        <v/>
      </c>
      <c r="V289">
        <f>HYPERLINK("https://klasma.github.io/Logging_0480/klagomål/A 25802-2020 FSC-klagomål.docx", "A 25802-2020")</f>
        <v/>
      </c>
      <c r="W289">
        <f>HYPERLINK("https://klasma.github.io/Logging_0480/klagomålsmail/A 25802-2020 FSC-klagomål mail.docx", "A 25802-2020")</f>
        <v/>
      </c>
      <c r="X289">
        <f>HYPERLINK("https://klasma.github.io/Logging_0480/tillsyn/A 25802-2020 tillsynsbegäran.docx", "A 25802-2020")</f>
        <v/>
      </c>
      <c r="Y289">
        <f>HYPERLINK("https://klasma.github.io/Logging_0480/tillsynsmail/A 25802-2020 tillsynsbegäran mail.docx", "A 25802-2020")</f>
        <v/>
      </c>
    </row>
    <row r="290" ht="15" customHeight="1">
      <c r="A290" t="inlineStr">
        <is>
          <t>A 28149-2020</t>
        </is>
      </c>
      <c r="B290" s="1" t="n">
        <v>43997</v>
      </c>
      <c r="C290" s="1" t="n">
        <v>45353</v>
      </c>
      <c r="D290" t="inlineStr">
        <is>
          <t>SÖDERMANLANDS LÄN</t>
        </is>
      </c>
      <c r="E290" t="inlineStr">
        <is>
          <t>TROSA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Trubbfjädermossa</t>
        </is>
      </c>
      <c r="S290">
        <f>HYPERLINK("https://klasma.github.io/Logging_0488/artfynd/A 28149-2020 artfynd.xlsx", "A 28149-2020")</f>
        <v/>
      </c>
      <c r="T290">
        <f>HYPERLINK("https://klasma.github.io/Logging_0488/kartor/A 28149-2020 karta.png", "A 28149-2020")</f>
        <v/>
      </c>
      <c r="V290">
        <f>HYPERLINK("https://klasma.github.io/Logging_0488/klagomål/A 28149-2020 FSC-klagomål.docx", "A 28149-2020")</f>
        <v/>
      </c>
      <c r="W290">
        <f>HYPERLINK("https://klasma.github.io/Logging_0488/klagomålsmail/A 28149-2020 FSC-klagomål mail.docx", "A 28149-2020")</f>
        <v/>
      </c>
      <c r="X290">
        <f>HYPERLINK("https://klasma.github.io/Logging_0488/tillsyn/A 28149-2020 tillsynsbegäran.docx", "A 28149-2020")</f>
        <v/>
      </c>
      <c r="Y290">
        <f>HYPERLINK("https://klasma.github.io/Logging_0488/tillsynsmail/A 28149-2020 tillsynsbegäran mail.docx", "A 28149-2020")</f>
        <v/>
      </c>
    </row>
    <row r="291" ht="15" customHeight="1">
      <c r="A291" t="inlineStr">
        <is>
          <t>A 29400-2020</t>
        </is>
      </c>
      <c r="B291" s="1" t="n">
        <v>44004</v>
      </c>
      <c r="C291" s="1" t="n">
        <v>45353</v>
      </c>
      <c r="D291" t="inlineStr">
        <is>
          <t>SÖDERMANLANDS LÄN</t>
        </is>
      </c>
      <c r="E291" t="inlineStr">
        <is>
          <t>NYKÖPING</t>
        </is>
      </c>
      <c r="G291" t="n">
        <v>7.7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HYPERLINK("https://klasma.github.io/Logging_0480/artfynd/A 29400-2020 artfynd.xlsx", "A 29400-2020")</f>
        <v/>
      </c>
      <c r="T291">
        <f>HYPERLINK("https://klasma.github.io/Logging_0480/kartor/A 29400-2020 karta.png", "A 29400-2020")</f>
        <v/>
      </c>
      <c r="V291">
        <f>HYPERLINK("https://klasma.github.io/Logging_0480/klagomål/A 29400-2020 FSC-klagomål.docx", "A 29400-2020")</f>
        <v/>
      </c>
      <c r="W291">
        <f>HYPERLINK("https://klasma.github.io/Logging_0480/klagomålsmail/A 29400-2020 FSC-klagomål mail.docx", "A 29400-2020")</f>
        <v/>
      </c>
      <c r="X291">
        <f>HYPERLINK("https://klasma.github.io/Logging_0480/tillsyn/A 29400-2020 tillsynsbegäran.docx", "A 29400-2020")</f>
        <v/>
      </c>
      <c r="Y291">
        <f>HYPERLINK("https://klasma.github.io/Logging_0480/tillsynsmail/A 29400-2020 tillsynsbegäran mail.docx", "A 29400-2020")</f>
        <v/>
      </c>
    </row>
    <row r="292" ht="15" customHeight="1">
      <c r="A292" t="inlineStr">
        <is>
          <t>A 29320-2020</t>
        </is>
      </c>
      <c r="B292" s="1" t="n">
        <v>44004</v>
      </c>
      <c r="C292" s="1" t="n">
        <v>45353</v>
      </c>
      <c r="D292" t="inlineStr">
        <is>
          <t>SÖDERMANLANDS LÄN</t>
        </is>
      </c>
      <c r="E292" t="inlineStr">
        <is>
          <t>NYKÖPING</t>
        </is>
      </c>
      <c r="G292" t="n">
        <v>15.2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Buskskvätta</t>
        </is>
      </c>
      <c r="S292">
        <f>HYPERLINK("https://klasma.github.io/Logging_0480/artfynd/A 29320-2020 artfynd.xlsx", "A 29320-2020")</f>
        <v/>
      </c>
      <c r="T292">
        <f>HYPERLINK("https://klasma.github.io/Logging_0480/kartor/A 29320-2020 karta.png", "A 29320-2020")</f>
        <v/>
      </c>
      <c r="V292">
        <f>HYPERLINK("https://klasma.github.io/Logging_0480/klagomål/A 29320-2020 FSC-klagomål.docx", "A 29320-2020")</f>
        <v/>
      </c>
      <c r="W292">
        <f>HYPERLINK("https://klasma.github.io/Logging_0480/klagomålsmail/A 29320-2020 FSC-klagomål mail.docx", "A 29320-2020")</f>
        <v/>
      </c>
      <c r="X292">
        <f>HYPERLINK("https://klasma.github.io/Logging_0480/tillsyn/A 29320-2020 tillsynsbegäran.docx", "A 29320-2020")</f>
        <v/>
      </c>
      <c r="Y292">
        <f>HYPERLINK("https://klasma.github.io/Logging_0480/tillsynsmail/A 29320-2020 tillsynsbegäran mail.docx", "A 29320-2020")</f>
        <v/>
      </c>
    </row>
    <row r="293" ht="15" customHeight="1">
      <c r="A293" t="inlineStr">
        <is>
          <t>A 29402-2020</t>
        </is>
      </c>
      <c r="B293" s="1" t="n">
        <v>44004</v>
      </c>
      <c r="C293" s="1" t="n">
        <v>45353</v>
      </c>
      <c r="D293" t="inlineStr">
        <is>
          <t>SÖDERMANLANDS LÄN</t>
        </is>
      </c>
      <c r="E293" t="inlineStr">
        <is>
          <t>NYKÖPING</t>
        </is>
      </c>
      <c r="G293" t="n">
        <v>1.7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Flodsångare</t>
        </is>
      </c>
      <c r="S293">
        <f>HYPERLINK("https://klasma.github.io/Logging_0480/artfynd/A 29402-2020 artfynd.xlsx", "A 29402-2020")</f>
        <v/>
      </c>
      <c r="T293">
        <f>HYPERLINK("https://klasma.github.io/Logging_0480/kartor/A 29402-2020 karta.png", "A 29402-2020")</f>
        <v/>
      </c>
      <c r="V293">
        <f>HYPERLINK("https://klasma.github.io/Logging_0480/klagomål/A 29402-2020 FSC-klagomål.docx", "A 29402-2020")</f>
        <v/>
      </c>
      <c r="W293">
        <f>HYPERLINK("https://klasma.github.io/Logging_0480/klagomålsmail/A 29402-2020 FSC-klagomål mail.docx", "A 29402-2020")</f>
        <v/>
      </c>
      <c r="X293">
        <f>HYPERLINK("https://klasma.github.io/Logging_0480/tillsyn/A 29402-2020 tillsynsbegäran.docx", "A 29402-2020")</f>
        <v/>
      </c>
      <c r="Y293">
        <f>HYPERLINK("https://klasma.github.io/Logging_0480/tillsynsmail/A 29402-2020 tillsynsbegäran mail.docx", "A 29402-2020")</f>
        <v/>
      </c>
    </row>
    <row r="294" ht="15" customHeight="1">
      <c r="A294" t="inlineStr">
        <is>
          <t>A 30887-2020</t>
        </is>
      </c>
      <c r="B294" s="1" t="n">
        <v>44008</v>
      </c>
      <c r="C294" s="1" t="n">
        <v>45353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HYPERLINK("https://klasma.github.io/Logging_0480/artfynd/A 30887-2020 artfynd.xlsx", "A 30887-2020")</f>
        <v/>
      </c>
      <c r="T294">
        <f>HYPERLINK("https://klasma.github.io/Logging_0480/kartor/A 30887-2020 karta.png", "A 30887-2020")</f>
        <v/>
      </c>
      <c r="V294">
        <f>HYPERLINK("https://klasma.github.io/Logging_0480/klagomål/A 30887-2020 FSC-klagomål.docx", "A 30887-2020")</f>
        <v/>
      </c>
      <c r="W294">
        <f>HYPERLINK("https://klasma.github.io/Logging_0480/klagomålsmail/A 30887-2020 FSC-klagomål mail.docx", "A 30887-2020")</f>
        <v/>
      </c>
      <c r="X294">
        <f>HYPERLINK("https://klasma.github.io/Logging_0480/tillsyn/A 30887-2020 tillsynsbegäran.docx", "A 30887-2020")</f>
        <v/>
      </c>
      <c r="Y294">
        <f>HYPERLINK("https://klasma.github.io/Logging_0480/tillsynsmail/A 30887-2020 tillsynsbegäran mail.docx", "A 30887-2020")</f>
        <v/>
      </c>
    </row>
    <row r="295" ht="15" customHeight="1">
      <c r="A295" t="inlineStr">
        <is>
          <t>A 31870-2020</t>
        </is>
      </c>
      <c r="B295" s="1" t="n">
        <v>44014</v>
      </c>
      <c r="C295" s="1" t="n">
        <v>45353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10.1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Mellanlummer</t>
        </is>
      </c>
      <c r="S295">
        <f>HYPERLINK("https://klasma.github.io/Logging_0482/artfynd/A 31870-2020 artfynd.xlsx", "A 31870-2020")</f>
        <v/>
      </c>
      <c r="T295">
        <f>HYPERLINK("https://klasma.github.io/Logging_0482/kartor/A 31870-2020 karta.png", "A 31870-2020")</f>
        <v/>
      </c>
      <c r="V295">
        <f>HYPERLINK("https://klasma.github.io/Logging_0482/klagomål/A 31870-2020 FSC-klagomål.docx", "A 31870-2020")</f>
        <v/>
      </c>
      <c r="W295">
        <f>HYPERLINK("https://klasma.github.io/Logging_0482/klagomålsmail/A 31870-2020 FSC-klagomål mail.docx", "A 31870-2020")</f>
        <v/>
      </c>
      <c r="X295">
        <f>HYPERLINK("https://klasma.github.io/Logging_0482/tillsyn/A 31870-2020 tillsynsbegäran.docx", "A 31870-2020")</f>
        <v/>
      </c>
      <c r="Y295">
        <f>HYPERLINK("https://klasma.github.io/Logging_0482/tillsynsmail/A 31870-2020 tillsynsbegäran mail.docx", "A 31870-2020")</f>
        <v/>
      </c>
    </row>
    <row r="296" ht="15" customHeight="1">
      <c r="A296" t="inlineStr">
        <is>
          <t>A 35106-2020</t>
        </is>
      </c>
      <c r="B296" s="1" t="n">
        <v>44040</v>
      </c>
      <c r="C296" s="1" t="n">
        <v>45353</v>
      </c>
      <c r="D296" t="inlineStr">
        <is>
          <t>SÖDERMANLANDS LÄN</t>
        </is>
      </c>
      <c r="E296" t="inlineStr">
        <is>
          <t>TROSA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Stor bockrot</t>
        </is>
      </c>
      <c r="S296">
        <f>HYPERLINK("https://klasma.github.io/Logging_0488/artfynd/A 35106-2020 artfynd.xlsx", "A 35106-2020")</f>
        <v/>
      </c>
      <c r="T296">
        <f>HYPERLINK("https://klasma.github.io/Logging_0488/kartor/A 35106-2020 karta.png", "A 35106-2020")</f>
        <v/>
      </c>
      <c r="V296">
        <f>HYPERLINK("https://klasma.github.io/Logging_0488/klagomål/A 35106-2020 FSC-klagomål.docx", "A 35106-2020")</f>
        <v/>
      </c>
      <c r="W296">
        <f>HYPERLINK("https://klasma.github.io/Logging_0488/klagomålsmail/A 35106-2020 FSC-klagomål mail.docx", "A 35106-2020")</f>
        <v/>
      </c>
      <c r="X296">
        <f>HYPERLINK("https://klasma.github.io/Logging_0488/tillsyn/A 35106-2020 tillsynsbegäran.docx", "A 35106-2020")</f>
        <v/>
      </c>
      <c r="Y296">
        <f>HYPERLINK("https://klasma.github.io/Logging_0488/tillsynsmail/A 35106-2020 tillsynsbegäran mail.docx", "A 35106-2020")</f>
        <v/>
      </c>
    </row>
    <row r="297" ht="15" customHeight="1">
      <c r="A297" t="inlineStr">
        <is>
          <t>A 38423-2020</t>
        </is>
      </c>
      <c r="B297" s="1" t="n">
        <v>44060</v>
      </c>
      <c r="C297" s="1" t="n">
        <v>45353</v>
      </c>
      <c r="D297" t="inlineStr">
        <is>
          <t>SÖDERMANLANDS LÄN</t>
        </is>
      </c>
      <c r="E297" t="inlineStr">
        <is>
          <t>ESKILSTUNA</t>
        </is>
      </c>
      <c r="G297" t="n">
        <v>1.1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HYPERLINK("https://klasma.github.io/Logging_0484/artfynd/A 38423-2020 artfynd.xlsx", "A 38423-2020")</f>
        <v/>
      </c>
      <c r="T297">
        <f>HYPERLINK("https://klasma.github.io/Logging_0484/kartor/A 38423-2020 karta.png", "A 38423-2020")</f>
        <v/>
      </c>
      <c r="V297">
        <f>HYPERLINK("https://klasma.github.io/Logging_0484/klagomål/A 38423-2020 FSC-klagomål.docx", "A 38423-2020")</f>
        <v/>
      </c>
      <c r="W297">
        <f>HYPERLINK("https://klasma.github.io/Logging_0484/klagomålsmail/A 38423-2020 FSC-klagomål mail.docx", "A 38423-2020")</f>
        <v/>
      </c>
      <c r="X297">
        <f>HYPERLINK("https://klasma.github.io/Logging_0484/tillsyn/A 38423-2020 tillsynsbegäran.docx", "A 38423-2020")</f>
        <v/>
      </c>
      <c r="Y297">
        <f>HYPERLINK("https://klasma.github.io/Logging_0484/tillsynsmail/A 38423-2020 tillsynsbegäran mail.docx", "A 38423-2020")</f>
        <v/>
      </c>
    </row>
    <row r="298" ht="15" customHeight="1">
      <c r="A298" t="inlineStr">
        <is>
          <t>A 44227-2020</t>
        </is>
      </c>
      <c r="B298" s="1" t="n">
        <v>44084</v>
      </c>
      <c r="C298" s="1" t="n">
        <v>45353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3.8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Skogsknipprot</t>
        </is>
      </c>
      <c r="S298">
        <f>HYPERLINK("https://klasma.github.io/Logging_0480/artfynd/A 44227-2020 artfynd.xlsx", "A 44227-2020")</f>
        <v/>
      </c>
      <c r="T298">
        <f>HYPERLINK("https://klasma.github.io/Logging_0480/kartor/A 44227-2020 karta.png", "A 44227-2020")</f>
        <v/>
      </c>
      <c r="V298">
        <f>HYPERLINK("https://klasma.github.io/Logging_0480/klagomål/A 44227-2020 FSC-klagomål.docx", "A 44227-2020")</f>
        <v/>
      </c>
      <c r="W298">
        <f>HYPERLINK("https://klasma.github.io/Logging_0480/klagomålsmail/A 44227-2020 FSC-klagomål mail.docx", "A 44227-2020")</f>
        <v/>
      </c>
      <c r="X298">
        <f>HYPERLINK("https://klasma.github.io/Logging_0480/tillsyn/A 44227-2020 tillsynsbegäran.docx", "A 44227-2020")</f>
        <v/>
      </c>
      <c r="Y298">
        <f>HYPERLINK("https://klasma.github.io/Logging_0480/tillsynsmail/A 44227-2020 tillsynsbegäran mail.docx", "A 44227-2020")</f>
        <v/>
      </c>
    </row>
    <row r="299" ht="15" customHeight="1">
      <c r="A299" t="inlineStr">
        <is>
          <t>A 44224-2020</t>
        </is>
      </c>
      <c r="B299" s="1" t="n">
        <v>44084</v>
      </c>
      <c r="C299" s="1" t="n">
        <v>45353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5.4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Tornseglare</t>
        </is>
      </c>
      <c r="S299">
        <f>HYPERLINK("https://klasma.github.io/Logging_0480/artfynd/A 44224-2020 artfynd.xlsx", "A 44224-2020")</f>
        <v/>
      </c>
      <c r="T299">
        <f>HYPERLINK("https://klasma.github.io/Logging_0480/kartor/A 44224-2020 karta.png", "A 44224-2020")</f>
        <v/>
      </c>
      <c r="V299">
        <f>HYPERLINK("https://klasma.github.io/Logging_0480/klagomål/A 44224-2020 FSC-klagomål.docx", "A 44224-2020")</f>
        <v/>
      </c>
      <c r="W299">
        <f>HYPERLINK("https://klasma.github.io/Logging_0480/klagomålsmail/A 44224-2020 FSC-klagomål mail.docx", "A 44224-2020")</f>
        <v/>
      </c>
      <c r="X299">
        <f>HYPERLINK("https://klasma.github.io/Logging_0480/tillsyn/A 44224-2020 tillsynsbegäran.docx", "A 44224-2020")</f>
        <v/>
      </c>
      <c r="Y299">
        <f>HYPERLINK("https://klasma.github.io/Logging_0480/tillsynsmail/A 44224-2020 tillsynsbegäran mail.docx", "A 44224-2020")</f>
        <v/>
      </c>
      <c r="Z299">
        <f>HYPERLINK("https://klasma.github.io/Logging_0480/fåglar/A 44224-2020 prioriterade fågelarter.docx", "A 44224-2020")</f>
        <v/>
      </c>
    </row>
    <row r="300" ht="15" customHeight="1">
      <c r="A300" t="inlineStr">
        <is>
          <t>A 47989-2020</t>
        </is>
      </c>
      <c r="B300" s="1" t="n">
        <v>44099</v>
      </c>
      <c r="C300" s="1" t="n">
        <v>45353</v>
      </c>
      <c r="D300" t="inlineStr">
        <is>
          <t>SÖDERMANLANDS LÄN</t>
        </is>
      </c>
      <c r="E300" t="inlineStr">
        <is>
          <t>KATRINEHOLM</t>
        </is>
      </c>
      <c r="F300" t="inlineStr">
        <is>
          <t>Övriga statliga verk och myndigheter</t>
        </is>
      </c>
      <c r="G300" t="n">
        <v>4.7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Stubbspretmossa</t>
        </is>
      </c>
      <c r="S300">
        <f>HYPERLINK("https://klasma.github.io/Logging_0483/artfynd/A 47989-2020 artfynd.xlsx", "A 47989-2020")</f>
        <v/>
      </c>
      <c r="T300">
        <f>HYPERLINK("https://klasma.github.io/Logging_0483/kartor/A 47989-2020 karta.png", "A 47989-2020")</f>
        <v/>
      </c>
      <c r="V300">
        <f>HYPERLINK("https://klasma.github.io/Logging_0483/klagomål/A 47989-2020 FSC-klagomål.docx", "A 47989-2020")</f>
        <v/>
      </c>
      <c r="W300">
        <f>HYPERLINK("https://klasma.github.io/Logging_0483/klagomålsmail/A 47989-2020 FSC-klagomål mail.docx", "A 47989-2020")</f>
        <v/>
      </c>
      <c r="X300">
        <f>HYPERLINK("https://klasma.github.io/Logging_0483/tillsyn/A 47989-2020 tillsynsbegäran.docx", "A 47989-2020")</f>
        <v/>
      </c>
      <c r="Y300">
        <f>HYPERLINK("https://klasma.github.io/Logging_0483/tillsynsmail/A 47989-2020 tillsynsbegäran mail.docx", "A 47989-2020")</f>
        <v/>
      </c>
    </row>
    <row r="301" ht="15" customHeight="1">
      <c r="A301" t="inlineStr">
        <is>
          <t>A 51080-2020</t>
        </is>
      </c>
      <c r="B301" s="1" t="n">
        <v>44112</v>
      </c>
      <c r="C301" s="1" t="n">
        <v>45353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HYPERLINK("https://klasma.github.io/Logging_0461/artfynd/A 51080-2020 artfynd.xlsx", "A 51080-2020")</f>
        <v/>
      </c>
      <c r="T301">
        <f>HYPERLINK("https://klasma.github.io/Logging_0461/kartor/A 51080-2020 karta.png", "A 51080-2020")</f>
        <v/>
      </c>
      <c r="V301">
        <f>HYPERLINK("https://klasma.github.io/Logging_0461/klagomål/A 51080-2020 FSC-klagomål.docx", "A 51080-2020")</f>
        <v/>
      </c>
      <c r="W301">
        <f>HYPERLINK("https://klasma.github.io/Logging_0461/klagomålsmail/A 51080-2020 FSC-klagomål mail.docx", "A 51080-2020")</f>
        <v/>
      </c>
      <c r="X301">
        <f>HYPERLINK("https://klasma.github.io/Logging_0461/tillsyn/A 51080-2020 tillsynsbegäran.docx", "A 51080-2020")</f>
        <v/>
      </c>
      <c r="Y301">
        <f>HYPERLINK("https://klasma.github.io/Logging_0461/tillsynsmail/A 51080-2020 tillsynsbegäran mail.docx", "A 51080-2020")</f>
        <v/>
      </c>
    </row>
    <row r="302" ht="15" customHeight="1">
      <c r="A302" t="inlineStr">
        <is>
          <t>A 52828-2020</t>
        </is>
      </c>
      <c r="B302" s="1" t="n">
        <v>44119</v>
      </c>
      <c r="C302" s="1" t="n">
        <v>45353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HYPERLINK("https://klasma.github.io/Logging_0461/artfynd/A 52828-2020 artfynd.xlsx", "A 52828-2020")</f>
        <v/>
      </c>
      <c r="T302">
        <f>HYPERLINK("https://klasma.github.io/Logging_0461/kartor/A 52828-2020 karta.png", "A 52828-2020")</f>
        <v/>
      </c>
      <c r="V302">
        <f>HYPERLINK("https://klasma.github.io/Logging_0461/klagomål/A 52828-2020 FSC-klagomål.docx", "A 52828-2020")</f>
        <v/>
      </c>
      <c r="W302">
        <f>HYPERLINK("https://klasma.github.io/Logging_0461/klagomålsmail/A 52828-2020 FSC-klagomål mail.docx", "A 52828-2020")</f>
        <v/>
      </c>
      <c r="X302">
        <f>HYPERLINK("https://klasma.github.io/Logging_0461/tillsyn/A 52828-2020 tillsynsbegäran.docx", "A 52828-2020")</f>
        <v/>
      </c>
      <c r="Y302">
        <f>HYPERLINK("https://klasma.github.io/Logging_0461/tillsynsmail/A 52828-2020 tillsynsbegäran mail.docx", "A 52828-2020")</f>
        <v/>
      </c>
      <c r="Z302">
        <f>HYPERLINK("https://klasma.github.io/Logging_0461/fåglar/A 52828-2020 prioriterade fågelarter.docx", "A 52828-2020")</f>
        <v/>
      </c>
    </row>
    <row r="303" ht="15" customHeight="1">
      <c r="A303" t="inlineStr">
        <is>
          <t>A 55009-2020</t>
        </is>
      </c>
      <c r="B303" s="1" t="n">
        <v>44127</v>
      </c>
      <c r="C303" s="1" t="n">
        <v>45353</v>
      </c>
      <c r="D303" t="inlineStr">
        <is>
          <t>SÖDERMANLANDS LÄN</t>
        </is>
      </c>
      <c r="E303" t="inlineStr">
        <is>
          <t>FLEN</t>
        </is>
      </c>
      <c r="G303" t="n">
        <v>26.6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HYPERLINK("https://klasma.github.io/Logging_0482/artfynd/A 55009-2020 artfynd.xlsx", "A 55009-2020")</f>
        <v/>
      </c>
      <c r="T303">
        <f>HYPERLINK("https://klasma.github.io/Logging_0482/kartor/A 55009-2020 karta.png", "A 55009-2020")</f>
        <v/>
      </c>
      <c r="V303">
        <f>HYPERLINK("https://klasma.github.io/Logging_0482/klagomål/A 55009-2020 FSC-klagomål.docx", "A 55009-2020")</f>
        <v/>
      </c>
      <c r="W303">
        <f>HYPERLINK("https://klasma.github.io/Logging_0482/klagomålsmail/A 55009-2020 FSC-klagomål mail.docx", "A 55009-2020")</f>
        <v/>
      </c>
      <c r="X303">
        <f>HYPERLINK("https://klasma.github.io/Logging_0482/tillsyn/A 55009-2020 tillsynsbegäran.docx", "A 55009-2020")</f>
        <v/>
      </c>
      <c r="Y303">
        <f>HYPERLINK("https://klasma.github.io/Logging_0482/tillsynsmail/A 55009-2020 tillsynsbegäran mail.docx", "A 55009-2020")</f>
        <v/>
      </c>
    </row>
    <row r="304" ht="15" customHeight="1">
      <c r="A304" t="inlineStr">
        <is>
          <t>A 55760-2020</t>
        </is>
      </c>
      <c r="B304" s="1" t="n">
        <v>44132</v>
      </c>
      <c r="C304" s="1" t="n">
        <v>45353</v>
      </c>
      <c r="D304" t="inlineStr">
        <is>
          <t>SÖDERMANLANDS LÄN</t>
        </is>
      </c>
      <c r="E304" t="inlineStr">
        <is>
          <t>TROSA</t>
        </is>
      </c>
      <c r="F304" t="inlineStr">
        <is>
          <t>Kommuner</t>
        </is>
      </c>
      <c r="G304" t="n">
        <v>9.6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Strutbräken</t>
        </is>
      </c>
      <c r="S304">
        <f>HYPERLINK("https://klasma.github.io/Logging_0488/artfynd/A 55760-2020 artfynd.xlsx", "A 55760-2020")</f>
        <v/>
      </c>
      <c r="T304">
        <f>HYPERLINK("https://klasma.github.io/Logging_0488/kartor/A 55760-2020 karta.png", "A 55760-2020")</f>
        <v/>
      </c>
      <c r="V304">
        <f>HYPERLINK("https://klasma.github.io/Logging_0488/klagomål/A 55760-2020 FSC-klagomål.docx", "A 55760-2020")</f>
        <v/>
      </c>
      <c r="W304">
        <f>HYPERLINK("https://klasma.github.io/Logging_0488/klagomålsmail/A 55760-2020 FSC-klagomål mail.docx", "A 55760-2020")</f>
        <v/>
      </c>
      <c r="X304">
        <f>HYPERLINK("https://klasma.github.io/Logging_0488/tillsyn/A 55760-2020 tillsynsbegäran.docx", "A 55760-2020")</f>
        <v/>
      </c>
      <c r="Y304">
        <f>HYPERLINK("https://klasma.github.io/Logging_0488/tillsynsmail/A 55760-2020 tillsynsbegäran mail.docx", "A 55760-2020")</f>
        <v/>
      </c>
    </row>
    <row r="305" ht="15" customHeight="1">
      <c r="A305" t="inlineStr">
        <is>
          <t>A 56228-2020</t>
        </is>
      </c>
      <c r="B305" s="1" t="n">
        <v>44134</v>
      </c>
      <c r="C305" s="1" t="n">
        <v>45353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HYPERLINK("https://klasma.github.io/Logging_0484/artfynd/A 56228-2020 artfynd.xlsx", "A 56228-2020")</f>
        <v/>
      </c>
      <c r="T305">
        <f>HYPERLINK("https://klasma.github.io/Logging_0484/kartor/A 56228-2020 karta.png", "A 56228-2020")</f>
        <v/>
      </c>
      <c r="V305">
        <f>HYPERLINK("https://klasma.github.io/Logging_0484/klagomål/A 56228-2020 FSC-klagomål.docx", "A 56228-2020")</f>
        <v/>
      </c>
      <c r="W305">
        <f>HYPERLINK("https://klasma.github.io/Logging_0484/klagomålsmail/A 56228-2020 FSC-klagomål mail.docx", "A 56228-2020")</f>
        <v/>
      </c>
      <c r="X305">
        <f>HYPERLINK("https://klasma.github.io/Logging_0484/tillsyn/A 56228-2020 tillsynsbegäran.docx", "A 56228-2020")</f>
        <v/>
      </c>
      <c r="Y305">
        <f>HYPERLINK("https://klasma.github.io/Logging_0484/tillsynsmail/A 56228-2020 tillsynsbegäran mail.docx", "A 56228-2020")</f>
        <v/>
      </c>
    </row>
    <row r="306" ht="15" customHeight="1">
      <c r="A306" t="inlineStr">
        <is>
          <t>A 58011-2020</t>
        </is>
      </c>
      <c r="B306" s="1" t="n">
        <v>44141</v>
      </c>
      <c r="C306" s="1" t="n">
        <v>45353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Kommuner</t>
        </is>
      </c>
      <c r="G306" t="n">
        <v>11.1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Druvfingersvamp</t>
        </is>
      </c>
      <c r="S306">
        <f>HYPERLINK("https://klasma.github.io/Logging_0486/artfynd/A 58011-2020 artfynd.xlsx", "A 58011-2020")</f>
        <v/>
      </c>
      <c r="T306">
        <f>HYPERLINK("https://klasma.github.io/Logging_0486/kartor/A 58011-2020 karta.png", "A 58011-2020")</f>
        <v/>
      </c>
      <c r="V306">
        <f>HYPERLINK("https://klasma.github.io/Logging_0486/klagomål/A 58011-2020 FSC-klagomål.docx", "A 58011-2020")</f>
        <v/>
      </c>
      <c r="W306">
        <f>HYPERLINK("https://klasma.github.io/Logging_0486/klagomålsmail/A 58011-2020 FSC-klagomål mail.docx", "A 58011-2020")</f>
        <v/>
      </c>
      <c r="X306">
        <f>HYPERLINK("https://klasma.github.io/Logging_0486/tillsyn/A 58011-2020 tillsynsbegäran.docx", "A 58011-2020")</f>
        <v/>
      </c>
      <c r="Y306">
        <f>HYPERLINK("https://klasma.github.io/Logging_0486/tillsynsmail/A 58011-2020 tillsynsbegäran mail.docx", "A 58011-2020")</f>
        <v/>
      </c>
    </row>
    <row r="307" ht="15" customHeight="1">
      <c r="A307" t="inlineStr">
        <is>
          <t>A 64960-2020</t>
        </is>
      </c>
      <c r="B307" s="1" t="n">
        <v>44167</v>
      </c>
      <c r="C307" s="1" t="n">
        <v>45353</v>
      </c>
      <c r="D307" t="inlineStr">
        <is>
          <t>SÖDERMANLANDS LÄN</t>
        </is>
      </c>
      <c r="E307" t="inlineStr">
        <is>
          <t>STRÄNGNÄS</t>
        </is>
      </c>
      <c r="G307" t="n">
        <v>7.7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HYPERLINK("https://klasma.github.io/Logging_0486/artfynd/A 64960-2020 artfynd.xlsx", "A 64960-2020")</f>
        <v/>
      </c>
      <c r="T307">
        <f>HYPERLINK("https://klasma.github.io/Logging_0486/kartor/A 64960-2020 karta.png", "A 64960-2020")</f>
        <v/>
      </c>
      <c r="U307">
        <f>HYPERLINK("https://klasma.github.io/Logging_0486/knärot/A 64960-2020 karta knärot.png", "A 64960-2020")</f>
        <v/>
      </c>
      <c r="V307">
        <f>HYPERLINK("https://klasma.github.io/Logging_0486/klagomål/A 64960-2020 FSC-klagomål.docx", "A 64960-2020")</f>
        <v/>
      </c>
      <c r="W307">
        <f>HYPERLINK("https://klasma.github.io/Logging_0486/klagomålsmail/A 64960-2020 FSC-klagomål mail.docx", "A 64960-2020")</f>
        <v/>
      </c>
      <c r="X307">
        <f>HYPERLINK("https://klasma.github.io/Logging_0486/tillsyn/A 64960-2020 tillsynsbegäran.docx", "A 64960-2020")</f>
        <v/>
      </c>
      <c r="Y307">
        <f>HYPERLINK("https://klasma.github.io/Logging_0486/tillsynsmail/A 64960-2020 tillsynsbegäran mail.docx", "A 64960-2020")</f>
        <v/>
      </c>
    </row>
    <row r="308" ht="15" customHeight="1">
      <c r="A308" t="inlineStr">
        <is>
          <t>A 66876-2020</t>
        </is>
      </c>
      <c r="B308" s="1" t="n">
        <v>44180</v>
      </c>
      <c r="C308" s="1" t="n">
        <v>45353</v>
      </c>
      <c r="D308" t="inlineStr">
        <is>
          <t>SÖDERMANLANDS LÄN</t>
        </is>
      </c>
      <c r="E308" t="inlineStr">
        <is>
          <t>KATRINEHOLM</t>
        </is>
      </c>
      <c r="G308" t="n">
        <v>3.7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HYPERLINK("https://klasma.github.io/Logging_0483/artfynd/A 66876-2020 artfynd.xlsx", "A 66876-2020")</f>
        <v/>
      </c>
      <c r="T308">
        <f>HYPERLINK("https://klasma.github.io/Logging_0483/kartor/A 66876-2020 karta.png", "A 66876-2020")</f>
        <v/>
      </c>
      <c r="V308">
        <f>HYPERLINK("https://klasma.github.io/Logging_0483/klagomål/A 66876-2020 FSC-klagomål.docx", "A 66876-2020")</f>
        <v/>
      </c>
      <c r="W308">
        <f>HYPERLINK("https://klasma.github.io/Logging_0483/klagomålsmail/A 66876-2020 FSC-klagomål mail.docx", "A 66876-2020")</f>
        <v/>
      </c>
      <c r="X308">
        <f>HYPERLINK("https://klasma.github.io/Logging_0483/tillsyn/A 66876-2020 tillsynsbegäran.docx", "A 66876-2020")</f>
        <v/>
      </c>
      <c r="Y308">
        <f>HYPERLINK("https://klasma.github.io/Logging_0483/tillsynsmail/A 66876-2020 tillsynsbegäran mail.docx", "A 66876-2020")</f>
        <v/>
      </c>
    </row>
    <row r="309" ht="15" customHeight="1">
      <c r="A309" t="inlineStr">
        <is>
          <t>A 7130-2021</t>
        </is>
      </c>
      <c r="B309" s="1" t="n">
        <v>44238</v>
      </c>
      <c r="C309" s="1" t="n">
        <v>45353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Stor aspticka</t>
        </is>
      </c>
      <c r="S309">
        <f>HYPERLINK("https://klasma.github.io/Logging_0480/artfynd/A 7130-2021 artfynd.xlsx", "A 7130-2021")</f>
        <v/>
      </c>
      <c r="T309">
        <f>HYPERLINK("https://klasma.github.io/Logging_0480/kartor/A 7130-2021 karta.png", "A 7130-2021")</f>
        <v/>
      </c>
      <c r="V309">
        <f>HYPERLINK("https://klasma.github.io/Logging_0480/klagomål/A 7130-2021 FSC-klagomål.docx", "A 7130-2021")</f>
        <v/>
      </c>
      <c r="W309">
        <f>HYPERLINK("https://klasma.github.io/Logging_0480/klagomålsmail/A 7130-2021 FSC-klagomål mail.docx", "A 7130-2021")</f>
        <v/>
      </c>
      <c r="X309">
        <f>HYPERLINK("https://klasma.github.io/Logging_0480/tillsyn/A 7130-2021 tillsynsbegäran.docx", "A 7130-2021")</f>
        <v/>
      </c>
      <c r="Y309">
        <f>HYPERLINK("https://klasma.github.io/Logging_0480/tillsynsmail/A 7130-2021 tillsynsbegäran mail.docx", "A 7130-2021")</f>
        <v/>
      </c>
    </row>
    <row r="310" ht="15" customHeight="1">
      <c r="A310" t="inlineStr">
        <is>
          <t>A 11150-2021</t>
        </is>
      </c>
      <c r="B310" s="1" t="n">
        <v>44261</v>
      </c>
      <c r="C310" s="1" t="n">
        <v>45353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Gullklöver</t>
        </is>
      </c>
      <c r="S310">
        <f>HYPERLINK("https://klasma.github.io/Logging_0461/artfynd/A 11150-2021 artfynd.xlsx", "A 11150-2021")</f>
        <v/>
      </c>
      <c r="T310">
        <f>HYPERLINK("https://klasma.github.io/Logging_0461/kartor/A 11150-2021 karta.png", "A 11150-2021")</f>
        <v/>
      </c>
      <c r="V310">
        <f>HYPERLINK("https://klasma.github.io/Logging_0461/klagomål/A 11150-2021 FSC-klagomål.docx", "A 11150-2021")</f>
        <v/>
      </c>
      <c r="W310">
        <f>HYPERLINK("https://klasma.github.io/Logging_0461/klagomålsmail/A 11150-2021 FSC-klagomål mail.docx", "A 11150-2021")</f>
        <v/>
      </c>
      <c r="X310">
        <f>HYPERLINK("https://klasma.github.io/Logging_0461/tillsyn/A 11150-2021 tillsynsbegäran.docx", "A 11150-2021")</f>
        <v/>
      </c>
      <c r="Y310">
        <f>HYPERLINK("https://klasma.github.io/Logging_0461/tillsynsmail/A 11150-2021 tillsynsbegäran mail.docx", "A 11150-2021")</f>
        <v/>
      </c>
    </row>
    <row r="311" ht="15" customHeight="1">
      <c r="A311" t="inlineStr">
        <is>
          <t>A 11354-2021</t>
        </is>
      </c>
      <c r="B311" s="1" t="n">
        <v>44263</v>
      </c>
      <c r="C311" s="1" t="n">
        <v>45353</v>
      </c>
      <c r="D311" t="inlineStr">
        <is>
          <t>SÖDERMANLANDS LÄN</t>
        </is>
      </c>
      <c r="E311" t="inlineStr">
        <is>
          <t>NYKÖPING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Mellanlummer</t>
        </is>
      </c>
      <c r="S311">
        <f>HYPERLINK("https://klasma.github.io/Logging_0480/artfynd/A 11354-2021 artfynd.xlsx", "A 11354-2021")</f>
        <v/>
      </c>
      <c r="T311">
        <f>HYPERLINK("https://klasma.github.io/Logging_0480/kartor/A 11354-2021 karta.png", "A 11354-2021")</f>
        <v/>
      </c>
      <c r="V311">
        <f>HYPERLINK("https://klasma.github.io/Logging_0480/klagomål/A 11354-2021 FSC-klagomål.docx", "A 11354-2021")</f>
        <v/>
      </c>
      <c r="W311">
        <f>HYPERLINK("https://klasma.github.io/Logging_0480/klagomålsmail/A 11354-2021 FSC-klagomål mail.docx", "A 11354-2021")</f>
        <v/>
      </c>
      <c r="X311">
        <f>HYPERLINK("https://klasma.github.io/Logging_0480/tillsyn/A 11354-2021 tillsynsbegäran.docx", "A 11354-2021")</f>
        <v/>
      </c>
      <c r="Y311">
        <f>HYPERLINK("https://klasma.github.io/Logging_0480/tillsynsmail/A 11354-2021 tillsynsbegäran mail.docx", "A 11354-2021")</f>
        <v/>
      </c>
    </row>
    <row r="312" ht="15" customHeight="1">
      <c r="A312" t="inlineStr">
        <is>
          <t>A 16826-2021</t>
        </is>
      </c>
      <c r="B312" s="1" t="n">
        <v>44295</v>
      </c>
      <c r="C312" s="1" t="n">
        <v>45353</v>
      </c>
      <c r="D312" t="inlineStr">
        <is>
          <t>SÖDERMANLANDS LÄN</t>
        </is>
      </c>
      <c r="E312" t="inlineStr">
        <is>
          <t>GNESTA</t>
        </is>
      </c>
      <c r="G312" t="n">
        <v>13.9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HYPERLINK("https://klasma.github.io/Logging_0461/artfynd/A 16826-2021 artfynd.xlsx", "A 16826-2021")</f>
        <v/>
      </c>
      <c r="T312">
        <f>HYPERLINK("https://klasma.github.io/Logging_0461/kartor/A 16826-2021 karta.png", "A 16826-2021")</f>
        <v/>
      </c>
      <c r="V312">
        <f>HYPERLINK("https://klasma.github.io/Logging_0461/klagomål/A 16826-2021 FSC-klagomål.docx", "A 16826-2021")</f>
        <v/>
      </c>
      <c r="W312">
        <f>HYPERLINK("https://klasma.github.io/Logging_0461/klagomålsmail/A 16826-2021 FSC-klagomål mail.docx", "A 16826-2021")</f>
        <v/>
      </c>
      <c r="X312">
        <f>HYPERLINK("https://klasma.github.io/Logging_0461/tillsyn/A 16826-2021 tillsynsbegäran.docx", "A 16826-2021")</f>
        <v/>
      </c>
      <c r="Y312">
        <f>HYPERLINK("https://klasma.github.io/Logging_0461/tillsynsmail/A 16826-2021 tillsynsbegäran mail.docx", "A 16826-2021")</f>
        <v/>
      </c>
    </row>
    <row r="313" ht="15" customHeight="1">
      <c r="A313" t="inlineStr">
        <is>
          <t>A 24223-2021</t>
        </is>
      </c>
      <c r="B313" s="1" t="n">
        <v>44336</v>
      </c>
      <c r="C313" s="1" t="n">
        <v>45353</v>
      </c>
      <c r="D313" t="inlineStr">
        <is>
          <t>SÖDERMANLANDS LÄN</t>
        </is>
      </c>
      <c r="E313" t="inlineStr">
        <is>
          <t>VINGÅKER</t>
        </is>
      </c>
      <c r="G313" t="n">
        <v>4.2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HYPERLINK("https://klasma.github.io/Logging_0428/artfynd/A 24223-2021 artfynd.xlsx", "A 24223-2021")</f>
        <v/>
      </c>
      <c r="T313">
        <f>HYPERLINK("https://klasma.github.io/Logging_0428/kartor/A 24223-2021 karta.png", "A 24223-2021")</f>
        <v/>
      </c>
      <c r="V313">
        <f>HYPERLINK("https://klasma.github.io/Logging_0428/klagomål/A 24223-2021 FSC-klagomål.docx", "A 24223-2021")</f>
        <v/>
      </c>
      <c r="W313">
        <f>HYPERLINK("https://klasma.github.io/Logging_0428/klagomålsmail/A 24223-2021 FSC-klagomål mail.docx", "A 24223-2021")</f>
        <v/>
      </c>
      <c r="X313">
        <f>HYPERLINK("https://klasma.github.io/Logging_0428/tillsyn/A 24223-2021 tillsynsbegäran.docx", "A 24223-2021")</f>
        <v/>
      </c>
      <c r="Y313">
        <f>HYPERLINK("https://klasma.github.io/Logging_0428/tillsynsmail/A 24223-2021 tillsynsbegäran mail.docx", "A 24223-2021")</f>
        <v/>
      </c>
    </row>
    <row r="314" ht="15" customHeight="1">
      <c r="A314" t="inlineStr">
        <is>
          <t>A 24301-2021</t>
        </is>
      </c>
      <c r="B314" s="1" t="n">
        <v>44337</v>
      </c>
      <c r="C314" s="1" t="n">
        <v>45353</v>
      </c>
      <c r="D314" t="inlineStr">
        <is>
          <t>SÖDERMANLANDS LÄN</t>
        </is>
      </c>
      <c r="E314" t="inlineStr">
        <is>
          <t>VINGÅKER</t>
        </is>
      </c>
      <c r="F314" t="inlineStr">
        <is>
          <t>Sveaskog</t>
        </is>
      </c>
      <c r="G314" t="n">
        <v>1.7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Järpe</t>
        </is>
      </c>
      <c r="S314">
        <f>HYPERLINK("https://klasma.github.io/Logging_0428/artfynd/A 24301-2021 artfynd.xlsx", "A 24301-2021")</f>
        <v/>
      </c>
      <c r="T314">
        <f>HYPERLINK("https://klasma.github.io/Logging_0428/kartor/A 24301-2021 karta.png", "A 24301-2021")</f>
        <v/>
      </c>
      <c r="V314">
        <f>HYPERLINK("https://klasma.github.io/Logging_0428/klagomål/A 24301-2021 FSC-klagomål.docx", "A 24301-2021")</f>
        <v/>
      </c>
      <c r="W314">
        <f>HYPERLINK("https://klasma.github.io/Logging_0428/klagomålsmail/A 24301-2021 FSC-klagomål mail.docx", "A 24301-2021")</f>
        <v/>
      </c>
      <c r="X314">
        <f>HYPERLINK("https://klasma.github.io/Logging_0428/tillsyn/A 24301-2021 tillsynsbegäran.docx", "A 24301-2021")</f>
        <v/>
      </c>
      <c r="Y314">
        <f>HYPERLINK("https://klasma.github.io/Logging_0428/tillsynsmail/A 24301-2021 tillsynsbegäran mail.docx", "A 24301-2021")</f>
        <v/>
      </c>
      <c r="Z314">
        <f>HYPERLINK("https://klasma.github.io/Logging_0428/fåglar/A 24301-2021 prioriterade fågelarter.docx", "A 24301-2021")</f>
        <v/>
      </c>
    </row>
    <row r="315" ht="15" customHeight="1">
      <c r="A315" t="inlineStr">
        <is>
          <t>A 30155-2021</t>
        </is>
      </c>
      <c r="B315" s="1" t="n">
        <v>44363</v>
      </c>
      <c r="C315" s="1" t="n">
        <v>45353</v>
      </c>
      <c r="D315" t="inlineStr">
        <is>
          <t>SÖDERMANLANDS LÄN</t>
        </is>
      </c>
      <c r="E315" t="inlineStr">
        <is>
          <t>NYKÖPING</t>
        </is>
      </c>
      <c r="G315" t="n">
        <v>8.5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HYPERLINK("https://klasma.github.io/Logging_0480/artfynd/A 30155-2021 artfynd.xlsx", "A 30155-2021")</f>
        <v/>
      </c>
      <c r="T315">
        <f>HYPERLINK("https://klasma.github.io/Logging_0480/kartor/A 30155-2021 karta.png", "A 30155-2021")</f>
        <v/>
      </c>
      <c r="V315">
        <f>HYPERLINK("https://klasma.github.io/Logging_0480/klagomål/A 30155-2021 FSC-klagomål.docx", "A 30155-2021")</f>
        <v/>
      </c>
      <c r="W315">
        <f>HYPERLINK("https://klasma.github.io/Logging_0480/klagomålsmail/A 30155-2021 FSC-klagomål mail.docx", "A 30155-2021")</f>
        <v/>
      </c>
      <c r="X315">
        <f>HYPERLINK("https://klasma.github.io/Logging_0480/tillsyn/A 30155-2021 tillsynsbegäran.docx", "A 30155-2021")</f>
        <v/>
      </c>
      <c r="Y315">
        <f>HYPERLINK("https://klasma.github.io/Logging_0480/tillsynsmail/A 30155-2021 tillsynsbegäran mail.docx", "A 30155-2021")</f>
        <v/>
      </c>
      <c r="Z315">
        <f>HYPERLINK("https://klasma.github.io/Logging_0480/fåglar/A 30155-2021 prioriterade fågelarter.docx", "A 30155-2021")</f>
        <v/>
      </c>
    </row>
    <row r="316" ht="15" customHeight="1">
      <c r="A316" t="inlineStr">
        <is>
          <t>A 33191-2021</t>
        </is>
      </c>
      <c r="B316" s="1" t="n">
        <v>44376</v>
      </c>
      <c r="C316" s="1" t="n">
        <v>45353</v>
      </c>
      <c r="D316" t="inlineStr">
        <is>
          <t>SÖDERMANLANDS LÄN</t>
        </is>
      </c>
      <c r="E316" t="inlineStr">
        <is>
          <t>STRÄNGNÄS</t>
        </is>
      </c>
      <c r="G316" t="n">
        <v>17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Fällmossa</t>
        </is>
      </c>
      <c r="S316">
        <f>HYPERLINK("https://klasma.github.io/Logging_0486/artfynd/A 33191-2021 artfynd.xlsx", "A 33191-2021")</f>
        <v/>
      </c>
      <c r="T316">
        <f>HYPERLINK("https://klasma.github.io/Logging_0486/kartor/A 33191-2021 karta.png", "A 33191-2021")</f>
        <v/>
      </c>
      <c r="V316">
        <f>HYPERLINK("https://klasma.github.io/Logging_0486/klagomål/A 33191-2021 FSC-klagomål.docx", "A 33191-2021")</f>
        <v/>
      </c>
      <c r="W316">
        <f>HYPERLINK("https://klasma.github.io/Logging_0486/klagomålsmail/A 33191-2021 FSC-klagomål mail.docx", "A 33191-2021")</f>
        <v/>
      </c>
      <c r="X316">
        <f>HYPERLINK("https://klasma.github.io/Logging_0486/tillsyn/A 33191-2021 tillsynsbegäran.docx", "A 33191-2021")</f>
        <v/>
      </c>
      <c r="Y316">
        <f>HYPERLINK("https://klasma.github.io/Logging_0486/tillsynsmail/A 33191-2021 tillsynsbegäran mail.docx", "A 33191-2021")</f>
        <v/>
      </c>
    </row>
    <row r="317" ht="15" customHeight="1">
      <c r="A317" t="inlineStr">
        <is>
          <t>A 33759-2021</t>
        </is>
      </c>
      <c r="B317" s="1" t="n">
        <v>44378</v>
      </c>
      <c r="C317" s="1" t="n">
        <v>45353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20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HYPERLINK("https://klasma.github.io/Logging_0484/artfynd/A 33759-2021 artfynd.xlsx", "A 33759-2021")</f>
        <v/>
      </c>
      <c r="T317">
        <f>HYPERLINK("https://klasma.github.io/Logging_0484/kartor/A 33759-2021 karta.png", "A 33759-2021")</f>
        <v/>
      </c>
      <c r="V317">
        <f>HYPERLINK("https://klasma.github.io/Logging_0484/klagomål/A 33759-2021 FSC-klagomål.docx", "A 33759-2021")</f>
        <v/>
      </c>
      <c r="W317">
        <f>HYPERLINK("https://klasma.github.io/Logging_0484/klagomålsmail/A 33759-2021 FSC-klagomål mail.docx", "A 33759-2021")</f>
        <v/>
      </c>
      <c r="X317">
        <f>HYPERLINK("https://klasma.github.io/Logging_0484/tillsyn/A 33759-2021 tillsynsbegäran.docx", "A 33759-2021")</f>
        <v/>
      </c>
      <c r="Y317">
        <f>HYPERLINK("https://klasma.github.io/Logging_0484/tillsynsmail/A 33759-2021 tillsynsbegäran mail.docx", "A 33759-2021")</f>
        <v/>
      </c>
    </row>
    <row r="318" ht="15" customHeight="1">
      <c r="A318" t="inlineStr">
        <is>
          <t>A 37347-2021</t>
        </is>
      </c>
      <c r="B318" s="1" t="n">
        <v>44397</v>
      </c>
      <c r="C318" s="1" t="n">
        <v>45353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5.9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Vanlig snok</t>
        </is>
      </c>
      <c r="S318">
        <f>HYPERLINK("https://klasma.github.io/Logging_0482/artfynd/A 37347-2021 artfynd.xlsx", "A 37347-2021")</f>
        <v/>
      </c>
      <c r="T318">
        <f>HYPERLINK("https://klasma.github.io/Logging_0482/kartor/A 37347-2021 karta.png", "A 37347-2021")</f>
        <v/>
      </c>
      <c r="V318">
        <f>HYPERLINK("https://klasma.github.io/Logging_0482/klagomål/A 37347-2021 FSC-klagomål.docx", "A 37347-2021")</f>
        <v/>
      </c>
      <c r="W318">
        <f>HYPERLINK("https://klasma.github.io/Logging_0482/klagomålsmail/A 37347-2021 FSC-klagomål mail.docx", "A 37347-2021")</f>
        <v/>
      </c>
      <c r="X318">
        <f>HYPERLINK("https://klasma.github.io/Logging_0482/tillsyn/A 37347-2021 tillsynsbegäran.docx", "A 37347-2021")</f>
        <v/>
      </c>
      <c r="Y318">
        <f>HYPERLINK("https://klasma.github.io/Logging_0482/tillsynsmail/A 37347-2021 tillsynsbegäran mail.docx", "A 37347-2021")</f>
        <v/>
      </c>
    </row>
    <row r="319" ht="15" customHeight="1">
      <c r="A319" t="inlineStr">
        <is>
          <t>A 37836-2021</t>
        </is>
      </c>
      <c r="B319" s="1" t="n">
        <v>44403</v>
      </c>
      <c r="C319" s="1" t="n">
        <v>45353</v>
      </c>
      <c r="D319" t="inlineStr">
        <is>
          <t>SÖDERMANLANDS LÄN</t>
        </is>
      </c>
      <c r="E319" t="inlineStr">
        <is>
          <t>TROSA</t>
        </is>
      </c>
      <c r="F319" t="inlineStr">
        <is>
          <t>Övriga statliga verk och myndigheter</t>
        </is>
      </c>
      <c r="G319" t="n">
        <v>1.9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HYPERLINK("https://klasma.github.io/Logging_0488/artfynd/A 37836-2021 artfynd.xlsx", "A 37836-2021")</f>
        <v/>
      </c>
      <c r="T319">
        <f>HYPERLINK("https://klasma.github.io/Logging_0488/kartor/A 37836-2021 karta.png", "A 37836-2021")</f>
        <v/>
      </c>
      <c r="U319">
        <f>HYPERLINK("https://klasma.github.io/Logging_0488/knärot/A 37836-2021 karta knärot.png", "A 37836-2021")</f>
        <v/>
      </c>
      <c r="V319">
        <f>HYPERLINK("https://klasma.github.io/Logging_0488/klagomål/A 37836-2021 FSC-klagomål.docx", "A 37836-2021")</f>
        <v/>
      </c>
      <c r="W319">
        <f>HYPERLINK("https://klasma.github.io/Logging_0488/klagomålsmail/A 37836-2021 FSC-klagomål mail.docx", "A 37836-2021")</f>
        <v/>
      </c>
      <c r="X319">
        <f>HYPERLINK("https://klasma.github.io/Logging_0488/tillsyn/A 37836-2021 tillsynsbegäran.docx", "A 37836-2021")</f>
        <v/>
      </c>
      <c r="Y319">
        <f>HYPERLINK("https://klasma.github.io/Logging_0488/tillsynsmail/A 37836-2021 tillsynsbegäran mail.docx", "A 37836-2021")</f>
        <v/>
      </c>
    </row>
    <row r="320" ht="15" customHeight="1">
      <c r="A320" t="inlineStr">
        <is>
          <t>A 37879-2021</t>
        </is>
      </c>
      <c r="B320" s="1" t="n">
        <v>44403</v>
      </c>
      <c r="C320" s="1" t="n">
        <v>45353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Persiljespindling</t>
        </is>
      </c>
      <c r="S320">
        <f>HYPERLINK("https://klasma.github.io/Logging_0480/artfynd/A 37879-2021 artfynd.xlsx", "A 37879-2021")</f>
        <v/>
      </c>
      <c r="T320">
        <f>HYPERLINK("https://klasma.github.io/Logging_0480/kartor/A 37879-2021 karta.png", "A 37879-2021")</f>
        <v/>
      </c>
      <c r="V320">
        <f>HYPERLINK("https://klasma.github.io/Logging_0480/klagomål/A 37879-2021 FSC-klagomål.docx", "A 37879-2021")</f>
        <v/>
      </c>
      <c r="W320">
        <f>HYPERLINK("https://klasma.github.io/Logging_0480/klagomålsmail/A 37879-2021 FSC-klagomål mail.docx", "A 37879-2021")</f>
        <v/>
      </c>
      <c r="X320">
        <f>HYPERLINK("https://klasma.github.io/Logging_0480/tillsyn/A 37879-2021 tillsynsbegäran.docx", "A 37879-2021")</f>
        <v/>
      </c>
      <c r="Y320">
        <f>HYPERLINK("https://klasma.github.io/Logging_0480/tillsynsmail/A 37879-2021 tillsynsbegäran mail.docx", "A 37879-2021")</f>
        <v/>
      </c>
    </row>
    <row r="321" ht="15" customHeight="1">
      <c r="A321" t="inlineStr">
        <is>
          <t>A 38366-2021</t>
        </is>
      </c>
      <c r="B321" s="1" t="n">
        <v>44406</v>
      </c>
      <c r="C321" s="1" t="n">
        <v>45353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Skogsklocka</t>
        </is>
      </c>
      <c r="S321">
        <f>HYPERLINK("https://klasma.github.io/Logging_0480/artfynd/A 38366-2021 artfynd.xlsx", "A 38366-2021")</f>
        <v/>
      </c>
      <c r="T321">
        <f>HYPERLINK("https://klasma.github.io/Logging_0480/kartor/A 38366-2021 karta.png", "A 38366-2021")</f>
        <v/>
      </c>
      <c r="V321">
        <f>HYPERLINK("https://klasma.github.io/Logging_0480/klagomål/A 38366-2021 FSC-klagomål.docx", "A 38366-2021")</f>
        <v/>
      </c>
      <c r="W321">
        <f>HYPERLINK("https://klasma.github.io/Logging_0480/klagomålsmail/A 38366-2021 FSC-klagomål mail.docx", "A 38366-2021")</f>
        <v/>
      </c>
      <c r="X321">
        <f>HYPERLINK("https://klasma.github.io/Logging_0480/tillsyn/A 38366-2021 tillsynsbegäran.docx", "A 38366-2021")</f>
        <v/>
      </c>
      <c r="Y321">
        <f>HYPERLINK("https://klasma.github.io/Logging_0480/tillsynsmail/A 38366-2021 tillsynsbegäran mail.docx", "A 38366-2021")</f>
        <v/>
      </c>
    </row>
    <row r="322" ht="15" customHeight="1">
      <c r="A322" t="inlineStr">
        <is>
          <t>A 42903-2021</t>
        </is>
      </c>
      <c r="B322" s="1" t="n">
        <v>44430</v>
      </c>
      <c r="C322" s="1" t="n">
        <v>45353</v>
      </c>
      <c r="D322" t="inlineStr">
        <is>
          <t>SÖDERMANLANDS LÄN</t>
        </is>
      </c>
      <c r="E322" t="inlineStr">
        <is>
          <t>NYKÖPING</t>
        </is>
      </c>
      <c r="G322" t="n">
        <v>20.2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Gullklöver</t>
        </is>
      </c>
      <c r="S322">
        <f>HYPERLINK("https://klasma.github.io/Logging_0480/artfynd/A 42903-2021 artfynd.xlsx", "A 42903-2021")</f>
        <v/>
      </c>
      <c r="T322">
        <f>HYPERLINK("https://klasma.github.io/Logging_0480/kartor/A 42903-2021 karta.png", "A 42903-2021")</f>
        <v/>
      </c>
      <c r="V322">
        <f>HYPERLINK("https://klasma.github.io/Logging_0480/klagomål/A 42903-2021 FSC-klagomål.docx", "A 42903-2021")</f>
        <v/>
      </c>
      <c r="W322">
        <f>HYPERLINK("https://klasma.github.io/Logging_0480/klagomålsmail/A 42903-2021 FSC-klagomål mail.docx", "A 42903-2021")</f>
        <v/>
      </c>
      <c r="X322">
        <f>HYPERLINK("https://klasma.github.io/Logging_0480/tillsyn/A 42903-2021 tillsynsbegäran.docx", "A 42903-2021")</f>
        <v/>
      </c>
      <c r="Y322">
        <f>HYPERLINK("https://klasma.github.io/Logging_0480/tillsynsmail/A 42903-2021 tillsynsbegäran mail.docx", "A 42903-2021")</f>
        <v/>
      </c>
    </row>
    <row r="323" ht="15" customHeight="1">
      <c r="A323" t="inlineStr">
        <is>
          <t>A 43536-2021</t>
        </is>
      </c>
      <c r="B323" s="1" t="n">
        <v>44433</v>
      </c>
      <c r="C323" s="1" t="n">
        <v>45353</v>
      </c>
      <c r="D323" t="inlineStr">
        <is>
          <t>SÖDERMANLANDS LÄN</t>
        </is>
      </c>
      <c r="E323" t="inlineStr">
        <is>
          <t>KATRINEHOLM</t>
        </is>
      </c>
      <c r="G323" t="n">
        <v>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Pilblad</t>
        </is>
      </c>
      <c r="S323">
        <f>HYPERLINK("https://klasma.github.io/Logging_0483/artfynd/A 43536-2021 artfynd.xlsx", "A 43536-2021")</f>
        <v/>
      </c>
      <c r="T323">
        <f>HYPERLINK("https://klasma.github.io/Logging_0483/kartor/A 43536-2021 karta.png", "A 43536-2021")</f>
        <v/>
      </c>
      <c r="V323">
        <f>HYPERLINK("https://klasma.github.io/Logging_0483/klagomål/A 43536-2021 FSC-klagomål.docx", "A 43536-2021")</f>
        <v/>
      </c>
      <c r="W323">
        <f>HYPERLINK("https://klasma.github.io/Logging_0483/klagomålsmail/A 43536-2021 FSC-klagomål mail.docx", "A 43536-2021")</f>
        <v/>
      </c>
      <c r="X323">
        <f>HYPERLINK("https://klasma.github.io/Logging_0483/tillsyn/A 43536-2021 tillsynsbegäran.docx", "A 43536-2021")</f>
        <v/>
      </c>
      <c r="Y323">
        <f>HYPERLINK("https://klasma.github.io/Logging_0483/tillsynsmail/A 43536-2021 tillsynsbegäran mail.docx", "A 43536-2021")</f>
        <v/>
      </c>
    </row>
    <row r="324" ht="15" customHeight="1">
      <c r="A324" t="inlineStr">
        <is>
          <t>A 47095-2021</t>
        </is>
      </c>
      <c r="B324" s="1" t="n">
        <v>44446</v>
      </c>
      <c r="C324" s="1" t="n">
        <v>45353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Kricka</t>
        </is>
      </c>
      <c r="S324">
        <f>HYPERLINK("https://klasma.github.io/Logging_0480/artfynd/A 47095-2021 artfynd.xlsx", "A 47095-2021")</f>
        <v/>
      </c>
      <c r="T324">
        <f>HYPERLINK("https://klasma.github.io/Logging_0480/kartor/A 47095-2021 karta.png", "A 47095-2021")</f>
        <v/>
      </c>
      <c r="V324">
        <f>HYPERLINK("https://klasma.github.io/Logging_0480/klagomål/A 47095-2021 FSC-klagomål.docx", "A 47095-2021")</f>
        <v/>
      </c>
      <c r="W324">
        <f>HYPERLINK("https://klasma.github.io/Logging_0480/klagomålsmail/A 47095-2021 FSC-klagomål mail.docx", "A 47095-2021")</f>
        <v/>
      </c>
      <c r="X324">
        <f>HYPERLINK("https://klasma.github.io/Logging_0480/tillsyn/A 47095-2021 tillsynsbegäran.docx", "A 47095-2021")</f>
        <v/>
      </c>
      <c r="Y324">
        <f>HYPERLINK("https://klasma.github.io/Logging_0480/tillsynsmail/A 47095-2021 tillsynsbegäran mail.docx", "A 47095-2021")</f>
        <v/>
      </c>
    </row>
    <row r="325" ht="15" customHeight="1">
      <c r="A325" t="inlineStr">
        <is>
          <t>A 47107-2021</t>
        </is>
      </c>
      <c r="B325" s="1" t="n">
        <v>44446</v>
      </c>
      <c r="C325" s="1" t="n">
        <v>45353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4.9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HYPERLINK("https://klasma.github.io/Logging_0480/artfynd/A 47107-2021 artfynd.xlsx", "A 47107-2021")</f>
        <v/>
      </c>
      <c r="T325">
        <f>HYPERLINK("https://klasma.github.io/Logging_0480/kartor/A 47107-2021 karta.png", "A 47107-2021")</f>
        <v/>
      </c>
      <c r="V325">
        <f>HYPERLINK("https://klasma.github.io/Logging_0480/klagomål/A 47107-2021 FSC-klagomål.docx", "A 47107-2021")</f>
        <v/>
      </c>
      <c r="W325">
        <f>HYPERLINK("https://klasma.github.io/Logging_0480/klagomålsmail/A 47107-2021 FSC-klagomål mail.docx", "A 47107-2021")</f>
        <v/>
      </c>
      <c r="X325">
        <f>HYPERLINK("https://klasma.github.io/Logging_0480/tillsyn/A 47107-2021 tillsynsbegäran.docx", "A 47107-2021")</f>
        <v/>
      </c>
      <c r="Y325">
        <f>HYPERLINK("https://klasma.github.io/Logging_0480/tillsynsmail/A 47107-2021 tillsynsbegäran mail.docx", "A 47107-2021")</f>
        <v/>
      </c>
    </row>
    <row r="326" ht="15" customHeight="1">
      <c r="A326" t="inlineStr">
        <is>
          <t>A 52684-2021</t>
        </is>
      </c>
      <c r="B326" s="1" t="n">
        <v>44466</v>
      </c>
      <c r="C326" s="1" t="n">
        <v>45353</v>
      </c>
      <c r="D326" t="inlineStr">
        <is>
          <t>SÖDERMANLANDS LÄN</t>
        </is>
      </c>
      <c r="E326" t="inlineStr">
        <is>
          <t>NYKÖPING</t>
        </is>
      </c>
      <c r="G326" t="n">
        <v>1.3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Kråka</t>
        </is>
      </c>
      <c r="S326">
        <f>HYPERLINK("https://klasma.github.io/Logging_0480/artfynd/A 52684-2021 artfynd.xlsx", "A 52684-2021")</f>
        <v/>
      </c>
      <c r="T326">
        <f>HYPERLINK("https://klasma.github.io/Logging_0480/kartor/A 52684-2021 karta.png", "A 52684-2021")</f>
        <v/>
      </c>
      <c r="V326">
        <f>HYPERLINK("https://klasma.github.io/Logging_0480/klagomål/A 52684-2021 FSC-klagomål.docx", "A 52684-2021")</f>
        <v/>
      </c>
      <c r="W326">
        <f>HYPERLINK("https://klasma.github.io/Logging_0480/klagomålsmail/A 52684-2021 FSC-klagomål mail.docx", "A 52684-2021")</f>
        <v/>
      </c>
      <c r="X326">
        <f>HYPERLINK("https://klasma.github.io/Logging_0480/tillsyn/A 52684-2021 tillsynsbegäran.docx", "A 52684-2021")</f>
        <v/>
      </c>
      <c r="Y326">
        <f>HYPERLINK("https://klasma.github.io/Logging_0480/tillsynsmail/A 52684-2021 tillsynsbegäran mail.docx", "A 52684-2021")</f>
        <v/>
      </c>
    </row>
    <row r="327" ht="15" customHeight="1">
      <c r="A327" t="inlineStr">
        <is>
          <t>A 53206-2021</t>
        </is>
      </c>
      <c r="B327" s="1" t="n">
        <v>44468</v>
      </c>
      <c r="C327" s="1" t="n">
        <v>45353</v>
      </c>
      <c r="D327" t="inlineStr">
        <is>
          <t>SÖDERMANLANDS LÄN</t>
        </is>
      </c>
      <c r="E327" t="inlineStr">
        <is>
          <t>ESKILSTUNA</t>
        </is>
      </c>
      <c r="G327" t="n">
        <v>12.8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Zontaggsvamp</t>
        </is>
      </c>
      <c r="S327">
        <f>HYPERLINK("https://klasma.github.io/Logging_0484/artfynd/A 53206-2021 artfynd.xlsx", "A 53206-2021")</f>
        <v/>
      </c>
      <c r="T327">
        <f>HYPERLINK("https://klasma.github.io/Logging_0484/kartor/A 53206-2021 karta.png", "A 53206-2021")</f>
        <v/>
      </c>
      <c r="V327">
        <f>HYPERLINK("https://klasma.github.io/Logging_0484/klagomål/A 53206-2021 FSC-klagomål.docx", "A 53206-2021")</f>
        <v/>
      </c>
      <c r="W327">
        <f>HYPERLINK("https://klasma.github.io/Logging_0484/klagomålsmail/A 53206-2021 FSC-klagomål mail.docx", "A 53206-2021")</f>
        <v/>
      </c>
      <c r="X327">
        <f>HYPERLINK("https://klasma.github.io/Logging_0484/tillsyn/A 53206-2021 tillsynsbegäran.docx", "A 53206-2021")</f>
        <v/>
      </c>
      <c r="Y327">
        <f>HYPERLINK("https://klasma.github.io/Logging_0484/tillsynsmail/A 53206-2021 tillsynsbegäran mail.docx", "A 53206-2021")</f>
        <v/>
      </c>
    </row>
    <row r="328" ht="15" customHeight="1">
      <c r="A328" t="inlineStr">
        <is>
          <t>A 55092-2021</t>
        </is>
      </c>
      <c r="B328" s="1" t="n">
        <v>44474</v>
      </c>
      <c r="C328" s="1" t="n">
        <v>45353</v>
      </c>
      <c r="D328" t="inlineStr">
        <is>
          <t>SÖDERMANLANDS LÄN</t>
        </is>
      </c>
      <c r="E328" t="inlineStr">
        <is>
          <t>FLEN</t>
        </is>
      </c>
      <c r="G328" t="n">
        <v>3.5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Huggorm</t>
        </is>
      </c>
      <c r="S328">
        <f>HYPERLINK("https://klasma.github.io/Logging_0482/artfynd/A 55092-2021 artfynd.xlsx", "A 55092-2021")</f>
        <v/>
      </c>
      <c r="T328">
        <f>HYPERLINK("https://klasma.github.io/Logging_0482/kartor/A 55092-2021 karta.png", "A 55092-2021")</f>
        <v/>
      </c>
      <c r="V328">
        <f>HYPERLINK("https://klasma.github.io/Logging_0482/klagomål/A 55092-2021 FSC-klagomål.docx", "A 55092-2021")</f>
        <v/>
      </c>
      <c r="W328">
        <f>HYPERLINK("https://klasma.github.io/Logging_0482/klagomålsmail/A 55092-2021 FSC-klagomål mail.docx", "A 55092-2021")</f>
        <v/>
      </c>
      <c r="X328">
        <f>HYPERLINK("https://klasma.github.io/Logging_0482/tillsyn/A 55092-2021 tillsynsbegäran.docx", "A 55092-2021")</f>
        <v/>
      </c>
      <c r="Y328">
        <f>HYPERLINK("https://klasma.github.io/Logging_0482/tillsynsmail/A 55092-2021 tillsynsbegäran mail.docx", "A 55092-2021")</f>
        <v/>
      </c>
    </row>
    <row r="329" ht="15" customHeight="1">
      <c r="A329" t="inlineStr">
        <is>
          <t>A 56420-2021</t>
        </is>
      </c>
      <c r="B329" s="1" t="n">
        <v>44480</v>
      </c>
      <c r="C329" s="1" t="n">
        <v>45353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Björktrast</t>
        </is>
      </c>
      <c r="S329">
        <f>HYPERLINK("https://klasma.github.io/Logging_0480/artfynd/A 56420-2021 artfynd.xlsx", "A 56420-2021")</f>
        <v/>
      </c>
      <c r="T329">
        <f>HYPERLINK("https://klasma.github.io/Logging_0480/kartor/A 56420-2021 karta.png", "A 56420-2021")</f>
        <v/>
      </c>
      <c r="V329">
        <f>HYPERLINK("https://klasma.github.io/Logging_0480/klagomål/A 56420-2021 FSC-klagomål.docx", "A 56420-2021")</f>
        <v/>
      </c>
      <c r="W329">
        <f>HYPERLINK("https://klasma.github.io/Logging_0480/klagomålsmail/A 56420-2021 FSC-klagomål mail.docx", "A 56420-2021")</f>
        <v/>
      </c>
      <c r="X329">
        <f>HYPERLINK("https://klasma.github.io/Logging_0480/tillsyn/A 56420-2021 tillsynsbegäran.docx", "A 56420-2021")</f>
        <v/>
      </c>
      <c r="Y329">
        <f>HYPERLINK("https://klasma.github.io/Logging_0480/tillsynsmail/A 56420-2021 tillsynsbegäran mail.docx", "A 56420-2021")</f>
        <v/>
      </c>
    </row>
    <row r="330" ht="15" customHeight="1">
      <c r="A330" t="inlineStr">
        <is>
          <t>A 57519-2021</t>
        </is>
      </c>
      <c r="B330" s="1" t="n">
        <v>44483</v>
      </c>
      <c r="C330" s="1" t="n">
        <v>45353</v>
      </c>
      <c r="D330" t="inlineStr">
        <is>
          <t>SÖDERMANLANDS LÄN</t>
        </is>
      </c>
      <c r="E330" t="inlineStr">
        <is>
          <t>KATRINEHOLM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HYPERLINK("https://klasma.github.io/Logging_0483/artfynd/A 57519-2021 artfynd.xlsx", "A 57519-2021")</f>
        <v/>
      </c>
      <c r="T330">
        <f>HYPERLINK("https://klasma.github.io/Logging_0483/kartor/A 57519-2021 karta.png", "A 57519-2021")</f>
        <v/>
      </c>
      <c r="V330">
        <f>HYPERLINK("https://klasma.github.io/Logging_0483/klagomål/A 57519-2021 FSC-klagomål.docx", "A 57519-2021")</f>
        <v/>
      </c>
      <c r="W330">
        <f>HYPERLINK("https://klasma.github.io/Logging_0483/klagomålsmail/A 57519-2021 FSC-klagomål mail.docx", "A 57519-2021")</f>
        <v/>
      </c>
      <c r="X330">
        <f>HYPERLINK("https://klasma.github.io/Logging_0483/tillsyn/A 57519-2021 tillsynsbegäran.docx", "A 57519-2021")</f>
        <v/>
      </c>
      <c r="Y330">
        <f>HYPERLINK("https://klasma.github.io/Logging_0483/tillsynsmail/A 57519-2021 tillsynsbegäran mail.docx", "A 57519-2021")</f>
        <v/>
      </c>
    </row>
    <row r="331" ht="15" customHeight="1">
      <c r="A331" t="inlineStr">
        <is>
          <t>A 57766-2021</t>
        </is>
      </c>
      <c r="B331" s="1" t="n">
        <v>44484</v>
      </c>
      <c r="C331" s="1" t="n">
        <v>45353</v>
      </c>
      <c r="D331" t="inlineStr">
        <is>
          <t>SÖDERMANLANDS LÄN</t>
        </is>
      </c>
      <c r="E331" t="inlineStr">
        <is>
          <t>FLEN</t>
        </is>
      </c>
      <c r="G331" t="n">
        <v>9.9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HYPERLINK("https://klasma.github.io/Logging_0482/artfynd/A 57766-2021 artfynd.xlsx", "A 57766-2021")</f>
        <v/>
      </c>
      <c r="T331">
        <f>HYPERLINK("https://klasma.github.io/Logging_0482/kartor/A 57766-2021 karta.png", "A 57766-2021")</f>
        <v/>
      </c>
      <c r="V331">
        <f>HYPERLINK("https://klasma.github.io/Logging_0482/klagomål/A 57766-2021 FSC-klagomål.docx", "A 57766-2021")</f>
        <v/>
      </c>
      <c r="W331">
        <f>HYPERLINK("https://klasma.github.io/Logging_0482/klagomålsmail/A 57766-2021 FSC-klagomål mail.docx", "A 57766-2021")</f>
        <v/>
      </c>
      <c r="X331">
        <f>HYPERLINK("https://klasma.github.io/Logging_0482/tillsyn/A 57766-2021 tillsynsbegäran.docx", "A 57766-2021")</f>
        <v/>
      </c>
      <c r="Y331">
        <f>HYPERLINK("https://klasma.github.io/Logging_0482/tillsynsmail/A 57766-2021 tillsynsbegäran mail.docx", "A 57766-2021")</f>
        <v/>
      </c>
    </row>
    <row r="332" ht="15" customHeight="1">
      <c r="A332" t="inlineStr">
        <is>
          <t>A 61071-2021</t>
        </is>
      </c>
      <c r="B332" s="1" t="n">
        <v>44497</v>
      </c>
      <c r="C332" s="1" t="n">
        <v>45353</v>
      </c>
      <c r="D332" t="inlineStr">
        <is>
          <t>SÖDERMANLANDS LÄN</t>
        </is>
      </c>
      <c r="E332" t="inlineStr">
        <is>
          <t>NYKÖPING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Bronshjon</t>
        </is>
      </c>
      <c r="S332">
        <f>HYPERLINK("https://klasma.github.io/Logging_0480/artfynd/A 61071-2021 artfynd.xlsx", "A 61071-2021")</f>
        <v/>
      </c>
      <c r="T332">
        <f>HYPERLINK("https://klasma.github.io/Logging_0480/kartor/A 61071-2021 karta.png", "A 61071-2021")</f>
        <v/>
      </c>
      <c r="V332">
        <f>HYPERLINK("https://klasma.github.io/Logging_0480/klagomål/A 61071-2021 FSC-klagomål.docx", "A 61071-2021")</f>
        <v/>
      </c>
      <c r="W332">
        <f>HYPERLINK("https://klasma.github.io/Logging_0480/klagomålsmail/A 61071-2021 FSC-klagomål mail.docx", "A 61071-2021")</f>
        <v/>
      </c>
      <c r="X332">
        <f>HYPERLINK("https://klasma.github.io/Logging_0480/tillsyn/A 61071-2021 tillsynsbegäran.docx", "A 61071-2021")</f>
        <v/>
      </c>
      <c r="Y332">
        <f>HYPERLINK("https://klasma.github.io/Logging_0480/tillsynsmail/A 61071-2021 tillsynsbegäran mail.docx", "A 61071-2021")</f>
        <v/>
      </c>
    </row>
    <row r="333" ht="15" customHeight="1">
      <c r="A333" t="inlineStr">
        <is>
          <t>A 62141-2021</t>
        </is>
      </c>
      <c r="B333" s="1" t="n">
        <v>44502</v>
      </c>
      <c r="C333" s="1" t="n">
        <v>45353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13.7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HYPERLINK("https://klasma.github.io/Logging_0484/artfynd/A 62141-2021 artfynd.xlsx", "A 62141-2021")</f>
        <v/>
      </c>
      <c r="T333">
        <f>HYPERLINK("https://klasma.github.io/Logging_0484/kartor/A 62141-2021 karta.png", "A 62141-2021")</f>
        <v/>
      </c>
      <c r="V333">
        <f>HYPERLINK("https://klasma.github.io/Logging_0484/klagomål/A 62141-2021 FSC-klagomål.docx", "A 62141-2021")</f>
        <v/>
      </c>
      <c r="W333">
        <f>HYPERLINK("https://klasma.github.io/Logging_0484/klagomålsmail/A 62141-2021 FSC-klagomål mail.docx", "A 62141-2021")</f>
        <v/>
      </c>
      <c r="X333">
        <f>HYPERLINK("https://klasma.github.io/Logging_0484/tillsyn/A 62141-2021 tillsynsbegäran.docx", "A 62141-2021")</f>
        <v/>
      </c>
      <c r="Y333">
        <f>HYPERLINK("https://klasma.github.io/Logging_0484/tillsynsmail/A 62141-2021 tillsynsbegäran mail.docx", "A 62141-2021")</f>
        <v/>
      </c>
    </row>
    <row r="334" ht="15" customHeight="1">
      <c r="A334" t="inlineStr">
        <is>
          <t>A 62355-2021</t>
        </is>
      </c>
      <c r="B334" s="1" t="n">
        <v>44503</v>
      </c>
      <c r="C334" s="1" t="n">
        <v>45353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HYPERLINK("https://klasma.github.io/Logging_0482/artfynd/A 62355-2021 artfynd.xlsx", "A 62355-2021")</f>
        <v/>
      </c>
      <c r="T334">
        <f>HYPERLINK("https://klasma.github.io/Logging_0482/kartor/A 62355-2021 karta.png", "A 62355-2021")</f>
        <v/>
      </c>
      <c r="V334">
        <f>HYPERLINK("https://klasma.github.io/Logging_0482/klagomål/A 62355-2021 FSC-klagomål.docx", "A 62355-2021")</f>
        <v/>
      </c>
      <c r="W334">
        <f>HYPERLINK("https://klasma.github.io/Logging_0482/klagomålsmail/A 62355-2021 FSC-klagomål mail.docx", "A 62355-2021")</f>
        <v/>
      </c>
      <c r="X334">
        <f>HYPERLINK("https://klasma.github.io/Logging_0482/tillsyn/A 62355-2021 tillsynsbegäran.docx", "A 62355-2021")</f>
        <v/>
      </c>
      <c r="Y334">
        <f>HYPERLINK("https://klasma.github.io/Logging_0482/tillsynsmail/A 62355-2021 tillsynsbegäran mail.docx", "A 62355-2021")</f>
        <v/>
      </c>
    </row>
    <row r="335" ht="15" customHeight="1">
      <c r="A335" t="inlineStr">
        <is>
          <t>A 62535-2021</t>
        </is>
      </c>
      <c r="B335" s="1" t="n">
        <v>44503</v>
      </c>
      <c r="C335" s="1" t="n">
        <v>45353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HYPERLINK("https://klasma.github.io/Logging_0482/artfynd/A 62535-2021 artfynd.xlsx", "A 62535-2021")</f>
        <v/>
      </c>
      <c r="T335">
        <f>HYPERLINK("https://klasma.github.io/Logging_0482/kartor/A 62535-2021 karta.png", "A 62535-2021")</f>
        <v/>
      </c>
      <c r="V335">
        <f>HYPERLINK("https://klasma.github.io/Logging_0482/klagomål/A 62535-2021 FSC-klagomål.docx", "A 62535-2021")</f>
        <v/>
      </c>
      <c r="W335">
        <f>HYPERLINK("https://klasma.github.io/Logging_0482/klagomålsmail/A 62535-2021 FSC-klagomål mail.docx", "A 62535-2021")</f>
        <v/>
      </c>
      <c r="X335">
        <f>HYPERLINK("https://klasma.github.io/Logging_0482/tillsyn/A 62535-2021 tillsynsbegäran.docx", "A 62535-2021")</f>
        <v/>
      </c>
      <c r="Y335">
        <f>HYPERLINK("https://klasma.github.io/Logging_0482/tillsynsmail/A 62535-2021 tillsynsbegäran mail.docx", "A 62535-2021")</f>
        <v/>
      </c>
    </row>
    <row r="336" ht="15" customHeight="1">
      <c r="A336" t="inlineStr">
        <is>
          <t>A 62716-2021</t>
        </is>
      </c>
      <c r="B336" s="1" t="n">
        <v>44503</v>
      </c>
      <c r="C336" s="1" t="n">
        <v>45353</v>
      </c>
      <c r="D336" t="inlineStr">
        <is>
          <t>SÖDERMANLANDS LÄN</t>
        </is>
      </c>
      <c r="E336" t="inlineStr">
        <is>
          <t>NYKÖPING</t>
        </is>
      </c>
      <c r="G336" t="n">
        <v>2.4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62716-2021 artfynd.xlsx", "A 62716-2021")</f>
        <v/>
      </c>
      <c r="T336">
        <f>HYPERLINK("https://klasma.github.io/Logging_0480/kartor/A 62716-2021 karta.png", "A 62716-2021")</f>
        <v/>
      </c>
      <c r="V336">
        <f>HYPERLINK("https://klasma.github.io/Logging_0480/klagomål/A 62716-2021 FSC-klagomål.docx", "A 62716-2021")</f>
        <v/>
      </c>
      <c r="W336">
        <f>HYPERLINK("https://klasma.github.io/Logging_0480/klagomålsmail/A 62716-2021 FSC-klagomål mail.docx", "A 62716-2021")</f>
        <v/>
      </c>
      <c r="X336">
        <f>HYPERLINK("https://klasma.github.io/Logging_0480/tillsyn/A 62716-2021 tillsynsbegäran.docx", "A 62716-2021")</f>
        <v/>
      </c>
      <c r="Y336">
        <f>HYPERLINK("https://klasma.github.io/Logging_0480/tillsynsmail/A 62716-2021 tillsynsbegäran mail.docx", "A 62716-2021")</f>
        <v/>
      </c>
    </row>
    <row r="337" ht="15" customHeight="1">
      <c r="A337" t="inlineStr">
        <is>
          <t>A 63029-2021</t>
        </is>
      </c>
      <c r="B337" s="1" t="n">
        <v>44505</v>
      </c>
      <c r="C337" s="1" t="n">
        <v>45353</v>
      </c>
      <c r="D337" t="inlineStr">
        <is>
          <t>SÖDERMANLANDS LÄN</t>
        </is>
      </c>
      <c r="E337" t="inlineStr">
        <is>
          <t>TROSA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Bredbrämad bastardsvärmare</t>
        </is>
      </c>
      <c r="S337">
        <f>HYPERLINK("https://klasma.github.io/Logging_0488/artfynd/A 63029-2021 artfynd.xlsx", "A 63029-2021")</f>
        <v/>
      </c>
      <c r="T337">
        <f>HYPERLINK("https://klasma.github.io/Logging_0488/kartor/A 63029-2021 karta.png", "A 63029-2021")</f>
        <v/>
      </c>
      <c r="V337">
        <f>HYPERLINK("https://klasma.github.io/Logging_0488/klagomål/A 63029-2021 FSC-klagomål.docx", "A 63029-2021")</f>
        <v/>
      </c>
      <c r="W337">
        <f>HYPERLINK("https://klasma.github.io/Logging_0488/klagomålsmail/A 63029-2021 FSC-klagomål mail.docx", "A 63029-2021")</f>
        <v/>
      </c>
      <c r="X337">
        <f>HYPERLINK("https://klasma.github.io/Logging_0488/tillsyn/A 63029-2021 tillsynsbegäran.docx", "A 63029-2021")</f>
        <v/>
      </c>
      <c r="Y337">
        <f>HYPERLINK("https://klasma.github.io/Logging_0488/tillsynsmail/A 63029-2021 tillsynsbegäran mail.docx", "A 63029-2021")</f>
        <v/>
      </c>
    </row>
    <row r="338" ht="15" customHeight="1">
      <c r="A338" t="inlineStr">
        <is>
          <t>A 63301-2021</t>
        </is>
      </c>
      <c r="B338" s="1" t="n">
        <v>44505</v>
      </c>
      <c r="C338" s="1" t="n">
        <v>45353</v>
      </c>
      <c r="D338" t="inlineStr">
        <is>
          <t>SÖDERMANLANDS LÄN</t>
        </is>
      </c>
      <c r="E338" t="inlineStr">
        <is>
          <t>STRÄNGNÄS</t>
        </is>
      </c>
      <c r="G338" t="n">
        <v>11.6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Nästrot</t>
        </is>
      </c>
      <c r="S338">
        <f>HYPERLINK("https://klasma.github.io/Logging_0486/artfynd/A 63301-2021 artfynd.xlsx", "A 63301-2021")</f>
        <v/>
      </c>
      <c r="T338">
        <f>HYPERLINK("https://klasma.github.io/Logging_0486/kartor/A 63301-2021 karta.png", "A 63301-2021")</f>
        <v/>
      </c>
      <c r="V338">
        <f>HYPERLINK("https://klasma.github.io/Logging_0486/klagomål/A 63301-2021 FSC-klagomål.docx", "A 63301-2021")</f>
        <v/>
      </c>
      <c r="W338">
        <f>HYPERLINK("https://klasma.github.io/Logging_0486/klagomålsmail/A 63301-2021 FSC-klagomål mail.docx", "A 63301-2021")</f>
        <v/>
      </c>
      <c r="X338">
        <f>HYPERLINK("https://klasma.github.io/Logging_0486/tillsyn/A 63301-2021 tillsynsbegäran.docx", "A 63301-2021")</f>
        <v/>
      </c>
      <c r="Y338">
        <f>HYPERLINK("https://klasma.github.io/Logging_0486/tillsynsmail/A 63301-2021 tillsynsbegäran mail.docx", "A 63301-2021")</f>
        <v/>
      </c>
    </row>
    <row r="339" ht="15" customHeight="1">
      <c r="A339" t="inlineStr">
        <is>
          <t>A 65184-2021</t>
        </is>
      </c>
      <c r="B339" s="1" t="n">
        <v>44512</v>
      </c>
      <c r="C339" s="1" t="n">
        <v>45353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Gulsparv</t>
        </is>
      </c>
      <c r="S339">
        <f>HYPERLINK("https://klasma.github.io/Logging_0483/artfynd/A 65184-2021 artfynd.xlsx", "A 65184-2021")</f>
        <v/>
      </c>
      <c r="T339">
        <f>HYPERLINK("https://klasma.github.io/Logging_0483/kartor/A 65184-2021 karta.png", "A 65184-2021")</f>
        <v/>
      </c>
      <c r="V339">
        <f>HYPERLINK("https://klasma.github.io/Logging_0483/klagomål/A 65184-2021 FSC-klagomål.docx", "A 65184-2021")</f>
        <v/>
      </c>
      <c r="W339">
        <f>HYPERLINK("https://klasma.github.io/Logging_0483/klagomålsmail/A 65184-2021 FSC-klagomål mail.docx", "A 65184-2021")</f>
        <v/>
      </c>
      <c r="X339">
        <f>HYPERLINK("https://klasma.github.io/Logging_0483/tillsyn/A 65184-2021 tillsynsbegäran.docx", "A 65184-2021")</f>
        <v/>
      </c>
      <c r="Y339">
        <f>HYPERLINK("https://klasma.github.io/Logging_0483/tillsynsmail/A 65184-2021 tillsynsbegäran mail.docx", "A 65184-2021")</f>
        <v/>
      </c>
    </row>
    <row r="340" ht="15" customHeight="1">
      <c r="A340" t="inlineStr">
        <is>
          <t>A 65330-2021</t>
        </is>
      </c>
      <c r="B340" s="1" t="n">
        <v>44515</v>
      </c>
      <c r="C340" s="1" t="n">
        <v>45353</v>
      </c>
      <c r="D340" t="inlineStr">
        <is>
          <t>SÖDERMANLANDS LÄN</t>
        </is>
      </c>
      <c r="E340" t="inlineStr">
        <is>
          <t>STRÄNGNÄS</t>
        </is>
      </c>
      <c r="G340" t="n">
        <v>6.4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Duvhök</t>
        </is>
      </c>
      <c r="S340">
        <f>HYPERLINK("https://klasma.github.io/Logging_0486/artfynd/A 65330-2021 artfynd.xlsx", "A 65330-2021")</f>
        <v/>
      </c>
      <c r="T340">
        <f>HYPERLINK("https://klasma.github.io/Logging_0486/kartor/A 65330-2021 karta.png", "A 65330-2021")</f>
        <v/>
      </c>
      <c r="V340">
        <f>HYPERLINK("https://klasma.github.io/Logging_0486/klagomål/A 65330-2021 FSC-klagomål.docx", "A 65330-2021")</f>
        <v/>
      </c>
      <c r="W340">
        <f>HYPERLINK("https://klasma.github.io/Logging_0486/klagomålsmail/A 65330-2021 FSC-klagomål mail.docx", "A 65330-2021")</f>
        <v/>
      </c>
      <c r="X340">
        <f>HYPERLINK("https://klasma.github.io/Logging_0486/tillsyn/A 65330-2021 tillsynsbegäran.docx", "A 65330-2021")</f>
        <v/>
      </c>
      <c r="Y340">
        <f>HYPERLINK("https://klasma.github.io/Logging_0486/tillsynsmail/A 65330-2021 tillsynsbegäran mail.docx", "A 65330-2021")</f>
        <v/>
      </c>
    </row>
    <row r="341" ht="15" customHeight="1">
      <c r="A341" t="inlineStr">
        <is>
          <t>A 65380-2021</t>
        </is>
      </c>
      <c r="B341" s="1" t="n">
        <v>44515</v>
      </c>
      <c r="C341" s="1" t="n">
        <v>45353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5.4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HYPERLINK("https://klasma.github.io/Logging_0484/artfynd/A 65380-2021 artfynd.xlsx", "A 65380-2021")</f>
        <v/>
      </c>
      <c r="T341">
        <f>HYPERLINK("https://klasma.github.io/Logging_0484/kartor/A 65380-2021 karta.png", "A 65380-2021")</f>
        <v/>
      </c>
      <c r="V341">
        <f>HYPERLINK("https://klasma.github.io/Logging_0484/klagomål/A 65380-2021 FSC-klagomål.docx", "A 65380-2021")</f>
        <v/>
      </c>
      <c r="W341">
        <f>HYPERLINK("https://klasma.github.io/Logging_0484/klagomålsmail/A 65380-2021 FSC-klagomål mail.docx", "A 65380-2021")</f>
        <v/>
      </c>
      <c r="X341">
        <f>HYPERLINK("https://klasma.github.io/Logging_0484/tillsyn/A 65380-2021 tillsynsbegäran.docx", "A 65380-2021")</f>
        <v/>
      </c>
      <c r="Y341">
        <f>HYPERLINK("https://klasma.github.io/Logging_0484/tillsynsmail/A 65380-2021 tillsynsbegäran mail.docx", "A 65380-2021")</f>
        <v/>
      </c>
    </row>
    <row r="342" ht="15" customHeight="1">
      <c r="A342" t="inlineStr">
        <is>
          <t>A 65889-2021</t>
        </is>
      </c>
      <c r="B342" s="1" t="n">
        <v>44517</v>
      </c>
      <c r="C342" s="1" t="n">
        <v>45353</v>
      </c>
      <c r="D342" t="inlineStr">
        <is>
          <t>SÖDERMANLANDS LÄN</t>
        </is>
      </c>
      <c r="E342" t="inlineStr">
        <is>
          <t>NYKÖPING</t>
        </is>
      </c>
      <c r="G342" t="n">
        <v>4.8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Backstarr</t>
        </is>
      </c>
      <c r="S342">
        <f>HYPERLINK("https://klasma.github.io/Logging_0480/artfynd/A 65889-2021 artfynd.xlsx", "A 65889-2021")</f>
        <v/>
      </c>
      <c r="T342">
        <f>HYPERLINK("https://klasma.github.io/Logging_0480/kartor/A 65889-2021 karta.png", "A 65889-2021")</f>
        <v/>
      </c>
      <c r="V342">
        <f>HYPERLINK("https://klasma.github.io/Logging_0480/klagomål/A 65889-2021 FSC-klagomål.docx", "A 65889-2021")</f>
        <v/>
      </c>
      <c r="W342">
        <f>HYPERLINK("https://klasma.github.io/Logging_0480/klagomålsmail/A 65889-2021 FSC-klagomål mail.docx", "A 65889-2021")</f>
        <v/>
      </c>
      <c r="X342">
        <f>HYPERLINK("https://klasma.github.io/Logging_0480/tillsyn/A 65889-2021 tillsynsbegäran.docx", "A 65889-2021")</f>
        <v/>
      </c>
      <c r="Y342">
        <f>HYPERLINK("https://klasma.github.io/Logging_0480/tillsynsmail/A 65889-2021 tillsynsbegäran mail.docx", "A 65889-2021")</f>
        <v/>
      </c>
    </row>
    <row r="343" ht="15" customHeight="1">
      <c r="A343" t="inlineStr">
        <is>
          <t>A 65892-2021</t>
        </is>
      </c>
      <c r="B343" s="1" t="n">
        <v>44517</v>
      </c>
      <c r="C343" s="1" t="n">
        <v>45353</v>
      </c>
      <c r="D343" t="inlineStr">
        <is>
          <t>SÖDERMANLANDS LÄN</t>
        </is>
      </c>
      <c r="E343" t="inlineStr">
        <is>
          <t>NYKÖPING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65892-2021 artfynd.xlsx", "A 65892-2021")</f>
        <v/>
      </c>
      <c r="T343">
        <f>HYPERLINK("https://klasma.github.io/Logging_0480/kartor/A 65892-2021 karta.png", "A 65892-2021")</f>
        <v/>
      </c>
      <c r="V343">
        <f>HYPERLINK("https://klasma.github.io/Logging_0480/klagomål/A 65892-2021 FSC-klagomål.docx", "A 65892-2021")</f>
        <v/>
      </c>
      <c r="W343">
        <f>HYPERLINK("https://klasma.github.io/Logging_0480/klagomålsmail/A 65892-2021 FSC-klagomål mail.docx", "A 65892-2021")</f>
        <v/>
      </c>
      <c r="X343">
        <f>HYPERLINK("https://klasma.github.io/Logging_0480/tillsyn/A 65892-2021 tillsynsbegäran.docx", "A 65892-2021")</f>
        <v/>
      </c>
      <c r="Y343">
        <f>HYPERLINK("https://klasma.github.io/Logging_0480/tillsynsmail/A 65892-2021 tillsynsbegäran mail.docx", "A 65892-2021")</f>
        <v/>
      </c>
    </row>
    <row r="344" ht="15" customHeight="1">
      <c r="A344" t="inlineStr">
        <is>
          <t>A 66246-2021</t>
        </is>
      </c>
      <c r="B344" s="1" t="n">
        <v>44518</v>
      </c>
      <c r="C344" s="1" t="n">
        <v>45353</v>
      </c>
      <c r="D344" t="inlineStr">
        <is>
          <t>SÖDERMANLANDS LÄN</t>
        </is>
      </c>
      <c r="E344" t="inlineStr">
        <is>
          <t>VINGÅKER</t>
        </is>
      </c>
      <c r="G344" t="n">
        <v>5.2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Dropptaggsvamp</t>
        </is>
      </c>
      <c r="S344">
        <f>HYPERLINK("https://klasma.github.io/Logging_0428/artfynd/A 66246-2021 artfynd.xlsx", "A 66246-2021")</f>
        <v/>
      </c>
      <c r="T344">
        <f>HYPERLINK("https://klasma.github.io/Logging_0428/kartor/A 66246-2021 karta.png", "A 66246-2021")</f>
        <v/>
      </c>
      <c r="V344">
        <f>HYPERLINK("https://klasma.github.io/Logging_0428/klagomål/A 66246-2021 FSC-klagomål.docx", "A 66246-2021")</f>
        <v/>
      </c>
      <c r="W344">
        <f>HYPERLINK("https://klasma.github.io/Logging_0428/klagomålsmail/A 66246-2021 FSC-klagomål mail.docx", "A 66246-2021")</f>
        <v/>
      </c>
      <c r="X344">
        <f>HYPERLINK("https://klasma.github.io/Logging_0428/tillsyn/A 66246-2021 tillsynsbegäran.docx", "A 66246-2021")</f>
        <v/>
      </c>
      <c r="Y344">
        <f>HYPERLINK("https://klasma.github.io/Logging_0428/tillsynsmail/A 66246-2021 tillsynsbegäran mail.docx", "A 66246-2021")</f>
        <v/>
      </c>
    </row>
    <row r="345" ht="15" customHeight="1">
      <c r="A345" t="inlineStr">
        <is>
          <t>A 66243-2021</t>
        </is>
      </c>
      <c r="B345" s="1" t="n">
        <v>44518</v>
      </c>
      <c r="C345" s="1" t="n">
        <v>45353</v>
      </c>
      <c r="D345" t="inlineStr">
        <is>
          <t>SÖDERMANLANDS LÄN</t>
        </is>
      </c>
      <c r="E345" t="inlineStr">
        <is>
          <t>VINGÅKER</t>
        </is>
      </c>
      <c r="G345" t="n">
        <v>7.8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HYPERLINK("https://klasma.github.io/Logging_0428/artfynd/A 66243-2021 artfynd.xlsx", "A 66243-2021")</f>
        <v/>
      </c>
      <c r="T345">
        <f>HYPERLINK("https://klasma.github.io/Logging_0428/kartor/A 66243-2021 karta.png", "A 66243-2021")</f>
        <v/>
      </c>
      <c r="V345">
        <f>HYPERLINK("https://klasma.github.io/Logging_0428/klagomål/A 66243-2021 FSC-klagomål.docx", "A 66243-2021")</f>
        <v/>
      </c>
      <c r="W345">
        <f>HYPERLINK("https://klasma.github.io/Logging_0428/klagomålsmail/A 66243-2021 FSC-klagomål mail.docx", "A 66243-2021")</f>
        <v/>
      </c>
      <c r="X345">
        <f>HYPERLINK("https://klasma.github.io/Logging_0428/tillsyn/A 66243-2021 tillsynsbegäran.docx", "A 66243-2021")</f>
        <v/>
      </c>
      <c r="Y345">
        <f>HYPERLINK("https://klasma.github.io/Logging_0428/tillsynsmail/A 66243-2021 tillsynsbegäran mail.docx", "A 66243-2021")</f>
        <v/>
      </c>
    </row>
    <row r="346" ht="15" customHeight="1">
      <c r="A346" t="inlineStr">
        <is>
          <t>A 67819-2021</t>
        </is>
      </c>
      <c r="B346" s="1" t="n">
        <v>44525</v>
      </c>
      <c r="C346" s="1" t="n">
        <v>45353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HYPERLINK("https://klasma.github.io/Logging_0480/artfynd/A 67819-2021 artfynd.xlsx", "A 67819-2021")</f>
        <v/>
      </c>
      <c r="T346">
        <f>HYPERLINK("https://klasma.github.io/Logging_0480/kartor/A 67819-2021 karta.png", "A 67819-2021")</f>
        <v/>
      </c>
      <c r="V346">
        <f>HYPERLINK("https://klasma.github.io/Logging_0480/klagomål/A 67819-2021 FSC-klagomål.docx", "A 67819-2021")</f>
        <v/>
      </c>
      <c r="W346">
        <f>HYPERLINK("https://klasma.github.io/Logging_0480/klagomålsmail/A 67819-2021 FSC-klagomål mail.docx", "A 67819-2021")</f>
        <v/>
      </c>
      <c r="X346">
        <f>HYPERLINK("https://klasma.github.io/Logging_0480/tillsyn/A 67819-2021 tillsynsbegäran.docx", "A 67819-2021")</f>
        <v/>
      </c>
      <c r="Y346">
        <f>HYPERLINK("https://klasma.github.io/Logging_0480/tillsynsmail/A 67819-2021 tillsynsbegäran mail.docx", "A 67819-2021")</f>
        <v/>
      </c>
    </row>
    <row r="347" ht="15" customHeight="1">
      <c r="A347" t="inlineStr">
        <is>
          <t>A 69612-2021</t>
        </is>
      </c>
      <c r="B347" s="1" t="n">
        <v>44531</v>
      </c>
      <c r="C347" s="1" t="n">
        <v>45353</v>
      </c>
      <c r="D347" t="inlineStr">
        <is>
          <t>SÖDERMANLANDS LÄN</t>
        </is>
      </c>
      <c r="E347" t="inlineStr">
        <is>
          <t>NYKÖPING</t>
        </is>
      </c>
      <c r="G347" t="n">
        <v>9.199999999999999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HYPERLINK("https://klasma.github.io/Logging_0480/artfynd/A 69612-2021 artfynd.xlsx", "A 69612-2021")</f>
        <v/>
      </c>
      <c r="T347">
        <f>HYPERLINK("https://klasma.github.io/Logging_0480/kartor/A 69612-2021 karta.png", "A 69612-2021")</f>
        <v/>
      </c>
      <c r="V347">
        <f>HYPERLINK("https://klasma.github.io/Logging_0480/klagomål/A 69612-2021 FSC-klagomål.docx", "A 69612-2021")</f>
        <v/>
      </c>
      <c r="W347">
        <f>HYPERLINK("https://klasma.github.io/Logging_0480/klagomålsmail/A 69612-2021 FSC-klagomål mail.docx", "A 69612-2021")</f>
        <v/>
      </c>
      <c r="X347">
        <f>HYPERLINK("https://klasma.github.io/Logging_0480/tillsyn/A 69612-2021 tillsynsbegäran.docx", "A 69612-2021")</f>
        <v/>
      </c>
      <c r="Y347">
        <f>HYPERLINK("https://klasma.github.io/Logging_0480/tillsynsmail/A 69612-2021 tillsynsbegäran mail.docx", "A 69612-2021")</f>
        <v/>
      </c>
    </row>
    <row r="348" ht="15" customHeight="1">
      <c r="A348" t="inlineStr">
        <is>
          <t>A 70039-2021</t>
        </is>
      </c>
      <c r="B348" s="1" t="n">
        <v>44533</v>
      </c>
      <c r="C348" s="1" t="n">
        <v>45353</v>
      </c>
      <c r="D348" t="inlineStr">
        <is>
          <t>SÖDERMANLANDS LÄN</t>
        </is>
      </c>
      <c r="E348" t="inlineStr">
        <is>
          <t>FLEN</t>
        </is>
      </c>
      <c r="G348" t="n">
        <v>6.7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Svedjenäva</t>
        </is>
      </c>
      <c r="S348">
        <f>HYPERLINK("https://klasma.github.io/Logging_0482/artfynd/A 70039-2021 artfynd.xlsx", "A 70039-2021")</f>
        <v/>
      </c>
      <c r="T348">
        <f>HYPERLINK("https://klasma.github.io/Logging_0482/kartor/A 70039-2021 karta.png", "A 70039-2021")</f>
        <v/>
      </c>
      <c r="V348">
        <f>HYPERLINK("https://klasma.github.io/Logging_0482/klagomål/A 70039-2021 FSC-klagomål.docx", "A 70039-2021")</f>
        <v/>
      </c>
      <c r="W348">
        <f>HYPERLINK("https://klasma.github.io/Logging_0482/klagomålsmail/A 70039-2021 FSC-klagomål mail.docx", "A 70039-2021")</f>
        <v/>
      </c>
      <c r="X348">
        <f>HYPERLINK("https://klasma.github.io/Logging_0482/tillsyn/A 70039-2021 tillsynsbegäran.docx", "A 70039-2021")</f>
        <v/>
      </c>
      <c r="Y348">
        <f>HYPERLINK("https://klasma.github.io/Logging_0482/tillsynsmail/A 70039-2021 tillsynsbegäran mail.docx", "A 70039-2021")</f>
        <v/>
      </c>
    </row>
    <row r="349" ht="15" customHeight="1">
      <c r="A349" t="inlineStr">
        <is>
          <t>A 72851-2021</t>
        </is>
      </c>
      <c r="B349" s="1" t="n">
        <v>44546</v>
      </c>
      <c r="C349" s="1" t="n">
        <v>45353</v>
      </c>
      <c r="D349" t="inlineStr">
        <is>
          <t>SÖDERMANLANDS LÄN</t>
        </is>
      </c>
      <c r="E349" t="inlineStr">
        <is>
          <t>KATRINEHOLM</t>
        </is>
      </c>
      <c r="G349" t="n">
        <v>0.7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HYPERLINK("https://klasma.github.io/Logging_0483/artfynd/A 72851-2021 artfynd.xlsx", "A 72851-2021")</f>
        <v/>
      </c>
      <c r="T349">
        <f>HYPERLINK("https://klasma.github.io/Logging_0483/kartor/A 72851-2021 karta.png", "A 72851-2021")</f>
        <v/>
      </c>
      <c r="V349">
        <f>HYPERLINK("https://klasma.github.io/Logging_0483/klagomål/A 72851-2021 FSC-klagomål.docx", "A 72851-2021")</f>
        <v/>
      </c>
      <c r="W349">
        <f>HYPERLINK("https://klasma.github.io/Logging_0483/klagomålsmail/A 72851-2021 FSC-klagomål mail.docx", "A 72851-2021")</f>
        <v/>
      </c>
      <c r="X349">
        <f>HYPERLINK("https://klasma.github.io/Logging_0483/tillsyn/A 72851-2021 tillsynsbegäran.docx", "A 72851-2021")</f>
        <v/>
      </c>
      <c r="Y349">
        <f>HYPERLINK("https://klasma.github.io/Logging_0483/tillsynsmail/A 72851-2021 tillsynsbegäran mail.docx", "A 72851-2021")</f>
        <v/>
      </c>
    </row>
    <row r="350" ht="15" customHeight="1">
      <c r="A350" t="inlineStr">
        <is>
          <t>A 73923-2021</t>
        </is>
      </c>
      <c r="B350" s="1" t="n">
        <v>44553</v>
      </c>
      <c r="C350" s="1" t="n">
        <v>45353</v>
      </c>
      <c r="D350" t="inlineStr">
        <is>
          <t>SÖDERMANLANDS LÄN</t>
        </is>
      </c>
      <c r="E350" t="inlineStr">
        <is>
          <t>FLEN</t>
        </is>
      </c>
      <c r="G350" t="n">
        <v>5.7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HYPERLINK("https://klasma.github.io/Logging_0482/artfynd/A 73923-2021 artfynd.xlsx", "A 73923-2021")</f>
        <v/>
      </c>
      <c r="T350">
        <f>HYPERLINK("https://klasma.github.io/Logging_0482/kartor/A 73923-2021 karta.png", "A 73923-2021")</f>
        <v/>
      </c>
      <c r="V350">
        <f>HYPERLINK("https://klasma.github.io/Logging_0482/klagomål/A 73923-2021 FSC-klagomål.docx", "A 73923-2021")</f>
        <v/>
      </c>
      <c r="W350">
        <f>HYPERLINK("https://klasma.github.io/Logging_0482/klagomålsmail/A 73923-2021 FSC-klagomål mail.docx", "A 73923-2021")</f>
        <v/>
      </c>
      <c r="X350">
        <f>HYPERLINK("https://klasma.github.io/Logging_0482/tillsyn/A 73923-2021 tillsynsbegäran.docx", "A 73923-2021")</f>
        <v/>
      </c>
      <c r="Y350">
        <f>HYPERLINK("https://klasma.github.io/Logging_0482/tillsynsmail/A 73923-2021 tillsynsbegäran mail.docx", "A 73923-2021")</f>
        <v/>
      </c>
    </row>
    <row r="351" ht="15" customHeight="1">
      <c r="A351" t="inlineStr">
        <is>
          <t>A 1819-2022</t>
        </is>
      </c>
      <c r="B351" s="1" t="n">
        <v>44574</v>
      </c>
      <c r="C351" s="1" t="n">
        <v>45353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Sveaskog</t>
        </is>
      </c>
      <c r="G351" t="n">
        <v>4.5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Tjäder</t>
        </is>
      </c>
      <c r="S351">
        <f>HYPERLINK("https://klasma.github.io/Logging_0486/artfynd/A 1819-2022 artfynd.xlsx", "A 1819-2022")</f>
        <v/>
      </c>
      <c r="T351">
        <f>HYPERLINK("https://klasma.github.io/Logging_0486/kartor/A 1819-2022 karta.png", "A 1819-2022")</f>
        <v/>
      </c>
      <c r="V351">
        <f>HYPERLINK("https://klasma.github.io/Logging_0486/klagomål/A 1819-2022 FSC-klagomål.docx", "A 1819-2022")</f>
        <v/>
      </c>
      <c r="W351">
        <f>HYPERLINK("https://klasma.github.io/Logging_0486/klagomålsmail/A 1819-2022 FSC-klagomål mail.docx", "A 1819-2022")</f>
        <v/>
      </c>
      <c r="X351">
        <f>HYPERLINK("https://klasma.github.io/Logging_0486/tillsyn/A 1819-2022 tillsynsbegäran.docx", "A 1819-2022")</f>
        <v/>
      </c>
      <c r="Y351">
        <f>HYPERLINK("https://klasma.github.io/Logging_0486/tillsynsmail/A 1819-2022 tillsynsbegäran mail.docx", "A 1819-2022")</f>
        <v/>
      </c>
      <c r="Z351">
        <f>HYPERLINK("https://klasma.github.io/Logging_0486/fåglar/A 1819-2022 prioriterade fågelarter.docx", "A 1819-2022")</f>
        <v/>
      </c>
    </row>
    <row r="352" ht="15" customHeight="1">
      <c r="A352" t="inlineStr">
        <is>
          <t>A 2012-2022</t>
        </is>
      </c>
      <c r="B352" s="1" t="n">
        <v>44575</v>
      </c>
      <c r="C352" s="1" t="n">
        <v>45353</v>
      </c>
      <c r="D352" t="inlineStr">
        <is>
          <t>SÖDERMANLANDS LÄN</t>
        </is>
      </c>
      <c r="E352" t="inlineStr">
        <is>
          <t>GNESTA</t>
        </is>
      </c>
      <c r="G352" t="n">
        <v>5.3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Fläcknycklar</t>
        </is>
      </c>
      <c r="S352">
        <f>HYPERLINK("https://klasma.github.io/Logging_0461/artfynd/A 2012-2022 artfynd.xlsx", "A 2012-2022")</f>
        <v/>
      </c>
      <c r="T352">
        <f>HYPERLINK("https://klasma.github.io/Logging_0461/kartor/A 2012-2022 karta.png", "A 2012-2022")</f>
        <v/>
      </c>
      <c r="V352">
        <f>HYPERLINK("https://klasma.github.io/Logging_0461/klagomål/A 2012-2022 FSC-klagomål.docx", "A 2012-2022")</f>
        <v/>
      </c>
      <c r="W352">
        <f>HYPERLINK("https://klasma.github.io/Logging_0461/klagomålsmail/A 2012-2022 FSC-klagomål mail.docx", "A 2012-2022")</f>
        <v/>
      </c>
      <c r="X352">
        <f>HYPERLINK("https://klasma.github.io/Logging_0461/tillsyn/A 2012-2022 tillsynsbegäran.docx", "A 2012-2022")</f>
        <v/>
      </c>
      <c r="Y352">
        <f>HYPERLINK("https://klasma.github.io/Logging_0461/tillsynsmail/A 2012-2022 tillsynsbegäran mail.docx", "A 2012-2022")</f>
        <v/>
      </c>
    </row>
    <row r="353" ht="15" customHeight="1">
      <c r="A353" t="inlineStr">
        <is>
          <t>A 3162-2022</t>
        </is>
      </c>
      <c r="B353" s="1" t="n">
        <v>44582</v>
      </c>
      <c r="C353" s="1" t="n">
        <v>45353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HYPERLINK("https://klasma.github.io/Logging_0484/artfynd/A 3162-2022 artfynd.xlsx", "A 3162-2022")</f>
        <v/>
      </c>
      <c r="T353">
        <f>HYPERLINK("https://klasma.github.io/Logging_0484/kartor/A 3162-2022 karta.png", "A 3162-2022")</f>
        <v/>
      </c>
      <c r="V353">
        <f>HYPERLINK("https://klasma.github.io/Logging_0484/klagomål/A 3162-2022 FSC-klagomål.docx", "A 3162-2022")</f>
        <v/>
      </c>
      <c r="W353">
        <f>HYPERLINK("https://klasma.github.io/Logging_0484/klagomålsmail/A 3162-2022 FSC-klagomål mail.docx", "A 3162-2022")</f>
        <v/>
      </c>
      <c r="X353">
        <f>HYPERLINK("https://klasma.github.io/Logging_0484/tillsyn/A 3162-2022 tillsynsbegäran.docx", "A 3162-2022")</f>
        <v/>
      </c>
      <c r="Y353">
        <f>HYPERLINK("https://klasma.github.io/Logging_0484/tillsynsmail/A 3162-2022 tillsynsbegäran mail.docx", "A 3162-2022")</f>
        <v/>
      </c>
    </row>
    <row r="354" ht="15" customHeight="1">
      <c r="A354" t="inlineStr">
        <is>
          <t>A 6076-2022</t>
        </is>
      </c>
      <c r="B354" s="1" t="n">
        <v>44599</v>
      </c>
      <c r="C354" s="1" t="n">
        <v>45353</v>
      </c>
      <c r="D354" t="inlineStr">
        <is>
          <t>SÖDERMANLANDS LÄN</t>
        </is>
      </c>
      <c r="E354" t="inlineStr">
        <is>
          <t>KATRINEHOLM</t>
        </is>
      </c>
      <c r="G354" t="n">
        <v>3.3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Svart trolldruva</t>
        </is>
      </c>
      <c r="S354">
        <f>HYPERLINK("https://klasma.github.io/Logging_0483/artfynd/A 6076-2022 artfynd.xlsx", "A 6076-2022")</f>
        <v/>
      </c>
      <c r="T354">
        <f>HYPERLINK("https://klasma.github.io/Logging_0483/kartor/A 6076-2022 karta.png", "A 6076-2022")</f>
        <v/>
      </c>
      <c r="V354">
        <f>HYPERLINK("https://klasma.github.io/Logging_0483/klagomål/A 6076-2022 FSC-klagomål.docx", "A 6076-2022")</f>
        <v/>
      </c>
      <c r="W354">
        <f>HYPERLINK("https://klasma.github.io/Logging_0483/klagomålsmail/A 6076-2022 FSC-klagomål mail.docx", "A 6076-2022")</f>
        <v/>
      </c>
      <c r="X354">
        <f>HYPERLINK("https://klasma.github.io/Logging_0483/tillsyn/A 6076-2022 tillsynsbegäran.docx", "A 6076-2022")</f>
        <v/>
      </c>
      <c r="Y354">
        <f>HYPERLINK("https://klasma.github.io/Logging_0483/tillsynsmail/A 6076-2022 tillsynsbegäran mail.docx", "A 6076-2022")</f>
        <v/>
      </c>
    </row>
    <row r="355" ht="15" customHeight="1">
      <c r="A355" t="inlineStr">
        <is>
          <t>A 7767-2022</t>
        </is>
      </c>
      <c r="B355" s="1" t="n">
        <v>44608</v>
      </c>
      <c r="C355" s="1" t="n">
        <v>45353</v>
      </c>
      <c r="D355" t="inlineStr">
        <is>
          <t>SÖDERMANLANDS LÄN</t>
        </is>
      </c>
      <c r="E355" t="inlineStr">
        <is>
          <t>VINGÅKER</t>
        </is>
      </c>
      <c r="G355" t="n">
        <v>11.5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HYPERLINK("https://klasma.github.io/Logging_0428/artfynd/A 7767-2022 artfynd.xlsx", "A 7767-2022")</f>
        <v/>
      </c>
      <c r="T355">
        <f>HYPERLINK("https://klasma.github.io/Logging_0428/kartor/A 7767-2022 karta.png", "A 7767-2022")</f>
        <v/>
      </c>
      <c r="V355">
        <f>HYPERLINK("https://klasma.github.io/Logging_0428/klagomål/A 7767-2022 FSC-klagomål.docx", "A 7767-2022")</f>
        <v/>
      </c>
      <c r="W355">
        <f>HYPERLINK("https://klasma.github.io/Logging_0428/klagomålsmail/A 7767-2022 FSC-klagomål mail.docx", "A 7767-2022")</f>
        <v/>
      </c>
      <c r="X355">
        <f>HYPERLINK("https://klasma.github.io/Logging_0428/tillsyn/A 7767-2022 tillsynsbegäran.docx", "A 7767-2022")</f>
        <v/>
      </c>
      <c r="Y355">
        <f>HYPERLINK("https://klasma.github.io/Logging_0428/tillsynsmail/A 7767-2022 tillsynsbegäran mail.docx", "A 7767-2022")</f>
        <v/>
      </c>
    </row>
    <row r="356" ht="15" customHeight="1">
      <c r="A356" t="inlineStr">
        <is>
          <t>A 7883-2022</t>
        </is>
      </c>
      <c r="B356" s="1" t="n">
        <v>44608</v>
      </c>
      <c r="C356" s="1" t="n">
        <v>45353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2.2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Plattlummer</t>
        </is>
      </c>
      <c r="S356">
        <f>HYPERLINK("https://klasma.github.io/Logging_0482/artfynd/A 7883-2022 artfynd.xlsx", "A 7883-2022")</f>
        <v/>
      </c>
      <c r="T356">
        <f>HYPERLINK("https://klasma.github.io/Logging_0482/kartor/A 7883-2022 karta.png", "A 7883-2022")</f>
        <v/>
      </c>
      <c r="V356">
        <f>HYPERLINK("https://klasma.github.io/Logging_0482/klagomål/A 7883-2022 FSC-klagomål.docx", "A 7883-2022")</f>
        <v/>
      </c>
      <c r="W356">
        <f>HYPERLINK("https://klasma.github.io/Logging_0482/klagomålsmail/A 7883-2022 FSC-klagomål mail.docx", "A 7883-2022")</f>
        <v/>
      </c>
      <c r="X356">
        <f>HYPERLINK("https://klasma.github.io/Logging_0482/tillsyn/A 7883-2022 tillsynsbegäran.docx", "A 7883-2022")</f>
        <v/>
      </c>
      <c r="Y356">
        <f>HYPERLINK("https://klasma.github.io/Logging_0482/tillsynsmail/A 7883-2022 tillsynsbegäran mail.docx", "A 7883-2022")</f>
        <v/>
      </c>
    </row>
    <row r="357" ht="15" customHeight="1">
      <c r="A357" t="inlineStr">
        <is>
          <t>A 9973-2022</t>
        </is>
      </c>
      <c r="B357" s="1" t="n">
        <v>44621</v>
      </c>
      <c r="C357" s="1" t="n">
        <v>45353</v>
      </c>
      <c r="D357" t="inlineStr">
        <is>
          <t>SÖDERMANLANDS LÄN</t>
        </is>
      </c>
      <c r="E357" t="inlineStr">
        <is>
          <t>NYKÖPING</t>
        </is>
      </c>
      <c r="G357" t="n">
        <v>18.3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 sköldmossa</t>
        </is>
      </c>
      <c r="S357">
        <f>HYPERLINK("https://klasma.github.io/Logging_0480/artfynd/A 9973-2022 artfynd.xlsx", "A 9973-2022")</f>
        <v/>
      </c>
      <c r="T357">
        <f>HYPERLINK("https://klasma.github.io/Logging_0480/kartor/A 9973-2022 karta.png", "A 9973-2022")</f>
        <v/>
      </c>
      <c r="V357">
        <f>HYPERLINK("https://klasma.github.io/Logging_0480/klagomål/A 9973-2022 FSC-klagomål.docx", "A 9973-2022")</f>
        <v/>
      </c>
      <c r="W357">
        <f>HYPERLINK("https://klasma.github.io/Logging_0480/klagomålsmail/A 9973-2022 FSC-klagomål mail.docx", "A 9973-2022")</f>
        <v/>
      </c>
      <c r="X357">
        <f>HYPERLINK("https://klasma.github.io/Logging_0480/tillsyn/A 9973-2022 tillsynsbegäran.docx", "A 9973-2022")</f>
        <v/>
      </c>
      <c r="Y357">
        <f>HYPERLINK("https://klasma.github.io/Logging_0480/tillsynsmail/A 9973-2022 tillsynsbegäran mail.docx", "A 9973-2022")</f>
        <v/>
      </c>
    </row>
    <row r="358" ht="15" customHeight="1">
      <c r="A358" t="inlineStr">
        <is>
          <t>A 10789-2022</t>
        </is>
      </c>
      <c r="B358" s="1" t="n">
        <v>44624</v>
      </c>
      <c r="C358" s="1" t="n">
        <v>45353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Bombmurkla</t>
        </is>
      </c>
      <c r="S358">
        <f>HYPERLINK("https://klasma.github.io/Logging_0482/artfynd/A 10789-2022 artfynd.xlsx", "A 10789-2022")</f>
        <v/>
      </c>
      <c r="T358">
        <f>HYPERLINK("https://klasma.github.io/Logging_0482/kartor/A 10789-2022 karta.png", "A 10789-2022")</f>
        <v/>
      </c>
      <c r="V358">
        <f>HYPERLINK("https://klasma.github.io/Logging_0482/klagomål/A 10789-2022 FSC-klagomål.docx", "A 10789-2022")</f>
        <v/>
      </c>
      <c r="W358">
        <f>HYPERLINK("https://klasma.github.io/Logging_0482/klagomålsmail/A 10789-2022 FSC-klagomål mail.docx", "A 10789-2022")</f>
        <v/>
      </c>
      <c r="X358">
        <f>HYPERLINK("https://klasma.github.io/Logging_0482/tillsyn/A 10789-2022 tillsynsbegäran.docx", "A 10789-2022")</f>
        <v/>
      </c>
      <c r="Y358">
        <f>HYPERLINK("https://klasma.github.io/Logging_0482/tillsynsmail/A 10789-2022 tillsynsbegäran mail.docx", "A 10789-2022")</f>
        <v/>
      </c>
    </row>
    <row r="359" ht="15" customHeight="1">
      <c r="A359" t="inlineStr">
        <is>
          <t>A 10770-2022</t>
        </is>
      </c>
      <c r="B359" s="1" t="n">
        <v>44624</v>
      </c>
      <c r="C359" s="1" t="n">
        <v>45353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HYPERLINK("https://klasma.github.io/Logging_0482/artfynd/A 10770-2022 artfynd.xlsx", "A 10770-2022")</f>
        <v/>
      </c>
      <c r="T359">
        <f>HYPERLINK("https://klasma.github.io/Logging_0482/kartor/A 10770-2022 karta.png", "A 10770-2022")</f>
        <v/>
      </c>
      <c r="V359">
        <f>HYPERLINK("https://klasma.github.io/Logging_0482/klagomål/A 10770-2022 FSC-klagomål.docx", "A 10770-2022")</f>
        <v/>
      </c>
      <c r="W359">
        <f>HYPERLINK("https://klasma.github.io/Logging_0482/klagomålsmail/A 10770-2022 FSC-klagomål mail.docx", "A 10770-2022")</f>
        <v/>
      </c>
      <c r="X359">
        <f>HYPERLINK("https://klasma.github.io/Logging_0482/tillsyn/A 10770-2022 tillsynsbegäran.docx", "A 10770-2022")</f>
        <v/>
      </c>
      <c r="Y359">
        <f>HYPERLINK("https://klasma.github.io/Logging_0482/tillsynsmail/A 10770-2022 tillsynsbegäran mail.docx", "A 10770-2022")</f>
        <v/>
      </c>
    </row>
    <row r="360" ht="15" customHeight="1">
      <c r="A360" t="inlineStr">
        <is>
          <t>A 11751-2022</t>
        </is>
      </c>
      <c r="B360" s="1" t="n">
        <v>44634</v>
      </c>
      <c r="C360" s="1" t="n">
        <v>45353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Ljungögontröst</t>
        </is>
      </c>
      <c r="S360">
        <f>HYPERLINK("https://klasma.github.io/Logging_0480/artfynd/A 11751-2022 artfynd.xlsx", "A 11751-2022")</f>
        <v/>
      </c>
      <c r="T360">
        <f>HYPERLINK("https://klasma.github.io/Logging_0480/kartor/A 11751-2022 karta.png", "A 11751-2022")</f>
        <v/>
      </c>
      <c r="V360">
        <f>HYPERLINK("https://klasma.github.io/Logging_0480/klagomål/A 11751-2022 FSC-klagomål.docx", "A 11751-2022")</f>
        <v/>
      </c>
      <c r="W360">
        <f>HYPERLINK("https://klasma.github.io/Logging_0480/klagomålsmail/A 11751-2022 FSC-klagomål mail.docx", "A 11751-2022")</f>
        <v/>
      </c>
      <c r="X360">
        <f>HYPERLINK("https://klasma.github.io/Logging_0480/tillsyn/A 11751-2022 tillsynsbegäran.docx", "A 11751-2022")</f>
        <v/>
      </c>
      <c r="Y360">
        <f>HYPERLINK("https://klasma.github.io/Logging_0480/tillsynsmail/A 11751-2022 tillsynsbegäran mail.docx", "A 11751-2022")</f>
        <v/>
      </c>
    </row>
    <row r="361" ht="15" customHeight="1">
      <c r="A361" t="inlineStr">
        <is>
          <t>A 12371-2022</t>
        </is>
      </c>
      <c r="B361" s="1" t="n">
        <v>44637</v>
      </c>
      <c r="C361" s="1" t="n">
        <v>45353</v>
      </c>
      <c r="D361" t="inlineStr">
        <is>
          <t>SÖDERMANLANDS LÄN</t>
        </is>
      </c>
      <c r="E361" t="inlineStr">
        <is>
          <t>FLEN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HYPERLINK("https://klasma.github.io/Logging_0482/artfynd/A 12371-2022 artfynd.xlsx", "A 12371-2022")</f>
        <v/>
      </c>
      <c r="T361">
        <f>HYPERLINK("https://klasma.github.io/Logging_0482/kartor/A 12371-2022 karta.png", "A 12371-2022")</f>
        <v/>
      </c>
      <c r="V361">
        <f>HYPERLINK("https://klasma.github.io/Logging_0482/klagomål/A 12371-2022 FSC-klagomål.docx", "A 12371-2022")</f>
        <v/>
      </c>
      <c r="W361">
        <f>HYPERLINK("https://klasma.github.io/Logging_0482/klagomålsmail/A 12371-2022 FSC-klagomål mail.docx", "A 12371-2022")</f>
        <v/>
      </c>
      <c r="X361">
        <f>HYPERLINK("https://klasma.github.io/Logging_0482/tillsyn/A 12371-2022 tillsynsbegäran.docx", "A 12371-2022")</f>
        <v/>
      </c>
      <c r="Y361">
        <f>HYPERLINK("https://klasma.github.io/Logging_0482/tillsynsmail/A 12371-2022 tillsynsbegäran mail.docx", "A 12371-2022")</f>
        <v/>
      </c>
    </row>
    <row r="362" ht="15" customHeight="1">
      <c r="A362" t="inlineStr">
        <is>
          <t>A 13464-2022</t>
        </is>
      </c>
      <c r="B362" s="1" t="n">
        <v>44645</v>
      </c>
      <c r="C362" s="1" t="n">
        <v>45353</v>
      </c>
      <c r="D362" t="inlineStr">
        <is>
          <t>SÖDERMANLANDS LÄN</t>
        </is>
      </c>
      <c r="E362" t="inlineStr">
        <is>
          <t>NYKÖPING</t>
        </is>
      </c>
      <c r="G362" t="n">
        <v>12.6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HYPERLINK("https://klasma.github.io/Logging_0480/artfynd/A 13464-2022 artfynd.xlsx", "A 13464-2022")</f>
        <v/>
      </c>
      <c r="T362">
        <f>HYPERLINK("https://klasma.github.io/Logging_0480/kartor/A 13464-2022 karta.png", "A 13464-2022")</f>
        <v/>
      </c>
      <c r="V362">
        <f>HYPERLINK("https://klasma.github.io/Logging_0480/klagomål/A 13464-2022 FSC-klagomål.docx", "A 13464-2022")</f>
        <v/>
      </c>
      <c r="W362">
        <f>HYPERLINK("https://klasma.github.io/Logging_0480/klagomålsmail/A 13464-2022 FSC-klagomål mail.docx", "A 13464-2022")</f>
        <v/>
      </c>
      <c r="X362">
        <f>HYPERLINK("https://klasma.github.io/Logging_0480/tillsyn/A 13464-2022 tillsynsbegäran.docx", "A 13464-2022")</f>
        <v/>
      </c>
      <c r="Y362">
        <f>HYPERLINK("https://klasma.github.io/Logging_0480/tillsynsmail/A 13464-2022 tillsynsbegäran mail.docx", "A 13464-2022")</f>
        <v/>
      </c>
    </row>
    <row r="363" ht="15" customHeight="1">
      <c r="A363" t="inlineStr">
        <is>
          <t>A 15960-2022</t>
        </is>
      </c>
      <c r="B363" s="1" t="n">
        <v>44664</v>
      </c>
      <c r="C363" s="1" t="n">
        <v>45353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11.9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Scharlakansvårskål agg.</t>
        </is>
      </c>
      <c r="S363">
        <f>HYPERLINK("https://klasma.github.io/Logging_0484/artfynd/A 15960-2022 artfynd.xlsx", "A 15960-2022")</f>
        <v/>
      </c>
      <c r="T363">
        <f>HYPERLINK("https://klasma.github.io/Logging_0484/kartor/A 15960-2022 karta.png", "A 15960-2022")</f>
        <v/>
      </c>
      <c r="V363">
        <f>HYPERLINK("https://klasma.github.io/Logging_0484/klagomål/A 15960-2022 FSC-klagomål.docx", "A 15960-2022")</f>
        <v/>
      </c>
      <c r="W363">
        <f>HYPERLINK("https://klasma.github.io/Logging_0484/klagomålsmail/A 15960-2022 FSC-klagomål mail.docx", "A 15960-2022")</f>
        <v/>
      </c>
      <c r="X363">
        <f>HYPERLINK("https://klasma.github.io/Logging_0484/tillsyn/A 15960-2022 tillsynsbegäran.docx", "A 15960-2022")</f>
        <v/>
      </c>
      <c r="Y363">
        <f>HYPERLINK("https://klasma.github.io/Logging_0484/tillsynsmail/A 15960-2022 tillsynsbegäran mail.docx", "A 15960-2022")</f>
        <v/>
      </c>
    </row>
    <row r="364" ht="15" customHeight="1">
      <c r="A364" t="inlineStr">
        <is>
          <t>A 16458-2022</t>
        </is>
      </c>
      <c r="B364" s="1" t="n">
        <v>44671</v>
      </c>
      <c r="C364" s="1" t="n">
        <v>45353</v>
      </c>
      <c r="D364" t="inlineStr">
        <is>
          <t>SÖDERMANLANDS LÄN</t>
        </is>
      </c>
      <c r="E364" t="inlineStr">
        <is>
          <t>KATRINEHOLM</t>
        </is>
      </c>
      <c r="G364" t="n">
        <v>16.4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Duvhök</t>
        </is>
      </c>
      <c r="S364">
        <f>HYPERLINK("https://klasma.github.io/Logging_0483/artfynd/A 16458-2022 artfynd.xlsx", "A 16458-2022")</f>
        <v/>
      </c>
      <c r="T364">
        <f>HYPERLINK("https://klasma.github.io/Logging_0483/kartor/A 16458-2022 karta.png", "A 16458-2022")</f>
        <v/>
      </c>
      <c r="V364">
        <f>HYPERLINK("https://klasma.github.io/Logging_0483/klagomål/A 16458-2022 FSC-klagomål.docx", "A 16458-2022")</f>
        <v/>
      </c>
      <c r="W364">
        <f>HYPERLINK("https://klasma.github.io/Logging_0483/klagomålsmail/A 16458-2022 FSC-klagomål mail.docx", "A 16458-2022")</f>
        <v/>
      </c>
      <c r="X364">
        <f>HYPERLINK("https://klasma.github.io/Logging_0483/tillsyn/A 16458-2022 tillsynsbegäran.docx", "A 16458-2022")</f>
        <v/>
      </c>
      <c r="Y364">
        <f>HYPERLINK("https://klasma.github.io/Logging_0483/tillsynsmail/A 16458-2022 tillsynsbegäran mail.docx", "A 16458-2022")</f>
        <v/>
      </c>
    </row>
    <row r="365" ht="15" customHeight="1">
      <c r="A365" t="inlineStr">
        <is>
          <t>A 24454-2022</t>
        </is>
      </c>
      <c r="B365" s="1" t="n">
        <v>44726</v>
      </c>
      <c r="C365" s="1" t="n">
        <v>45353</v>
      </c>
      <c r="D365" t="inlineStr">
        <is>
          <t>SÖDERMANLANDS LÄN</t>
        </is>
      </c>
      <c r="E365" t="inlineStr">
        <is>
          <t>STRÄNGNÄS</t>
        </is>
      </c>
      <c r="G365" t="n">
        <v>12.5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Järpe</t>
        </is>
      </c>
      <c r="S365">
        <f>HYPERLINK("https://klasma.github.io/Logging_0486/artfynd/A 24454-2022 artfynd.xlsx", "A 24454-2022")</f>
        <v/>
      </c>
      <c r="T365">
        <f>HYPERLINK("https://klasma.github.io/Logging_0486/kartor/A 24454-2022 karta.png", "A 24454-2022")</f>
        <v/>
      </c>
      <c r="V365">
        <f>HYPERLINK("https://klasma.github.io/Logging_0486/klagomål/A 24454-2022 FSC-klagomål.docx", "A 24454-2022")</f>
        <v/>
      </c>
      <c r="W365">
        <f>HYPERLINK("https://klasma.github.io/Logging_0486/klagomålsmail/A 24454-2022 FSC-klagomål mail.docx", "A 24454-2022")</f>
        <v/>
      </c>
      <c r="X365">
        <f>HYPERLINK("https://klasma.github.io/Logging_0486/tillsyn/A 24454-2022 tillsynsbegäran.docx", "A 24454-2022")</f>
        <v/>
      </c>
      <c r="Y365">
        <f>HYPERLINK("https://klasma.github.io/Logging_0486/tillsynsmail/A 24454-2022 tillsynsbegäran mail.docx", "A 24454-2022")</f>
        <v/>
      </c>
      <c r="Z365">
        <f>HYPERLINK("https://klasma.github.io/Logging_0486/fåglar/A 24454-2022 prioriterade fågelarter.docx", "A 24454-2022")</f>
        <v/>
      </c>
    </row>
    <row r="366" ht="15" customHeight="1">
      <c r="A366" t="inlineStr">
        <is>
          <t>A 25724-2022</t>
        </is>
      </c>
      <c r="B366" s="1" t="n">
        <v>44733</v>
      </c>
      <c r="C366" s="1" t="n">
        <v>45353</v>
      </c>
      <c r="D366" t="inlineStr">
        <is>
          <t>SÖDERMANLANDS LÄN</t>
        </is>
      </c>
      <c r="E366" t="inlineStr">
        <is>
          <t>KATRINEHOLM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Kamjordstjärna</t>
        </is>
      </c>
      <c r="S366">
        <f>HYPERLINK("https://klasma.github.io/Logging_0483/artfynd/A 25724-2022 artfynd.xlsx", "A 25724-2022")</f>
        <v/>
      </c>
      <c r="T366">
        <f>HYPERLINK("https://klasma.github.io/Logging_0483/kartor/A 25724-2022 karta.png", "A 25724-2022")</f>
        <v/>
      </c>
      <c r="V366">
        <f>HYPERLINK("https://klasma.github.io/Logging_0483/klagomål/A 25724-2022 FSC-klagomål.docx", "A 25724-2022")</f>
        <v/>
      </c>
      <c r="W366">
        <f>HYPERLINK("https://klasma.github.io/Logging_0483/klagomålsmail/A 25724-2022 FSC-klagomål mail.docx", "A 25724-2022")</f>
        <v/>
      </c>
      <c r="X366">
        <f>HYPERLINK("https://klasma.github.io/Logging_0483/tillsyn/A 25724-2022 tillsynsbegäran.docx", "A 25724-2022")</f>
        <v/>
      </c>
      <c r="Y366">
        <f>HYPERLINK("https://klasma.github.io/Logging_0483/tillsynsmail/A 25724-2022 tillsynsbegäran mail.docx", "A 25724-2022")</f>
        <v/>
      </c>
    </row>
    <row r="367" ht="15" customHeight="1">
      <c r="A367" t="inlineStr">
        <is>
          <t>A 26245-2022</t>
        </is>
      </c>
      <c r="B367" s="1" t="n">
        <v>44735</v>
      </c>
      <c r="C367" s="1" t="n">
        <v>45353</v>
      </c>
      <c r="D367" t="inlineStr">
        <is>
          <t>SÖDERMANLANDS LÄN</t>
        </is>
      </c>
      <c r="E367" t="inlineStr">
        <is>
          <t>FLEN</t>
        </is>
      </c>
      <c r="G367" t="n">
        <v>2.9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Blanksvart trämyra</t>
        </is>
      </c>
      <c r="S367">
        <f>HYPERLINK("https://klasma.github.io/Logging_0482/artfynd/A 26245-2022 artfynd.xlsx", "A 26245-2022")</f>
        <v/>
      </c>
      <c r="T367">
        <f>HYPERLINK("https://klasma.github.io/Logging_0482/kartor/A 26245-2022 karta.png", "A 26245-2022")</f>
        <v/>
      </c>
      <c r="V367">
        <f>HYPERLINK("https://klasma.github.io/Logging_0482/klagomål/A 26245-2022 FSC-klagomål.docx", "A 26245-2022")</f>
        <v/>
      </c>
      <c r="W367">
        <f>HYPERLINK("https://klasma.github.io/Logging_0482/klagomålsmail/A 26245-2022 FSC-klagomål mail.docx", "A 26245-2022")</f>
        <v/>
      </c>
      <c r="X367">
        <f>HYPERLINK("https://klasma.github.io/Logging_0482/tillsyn/A 26245-2022 tillsynsbegäran.docx", "A 26245-2022")</f>
        <v/>
      </c>
      <c r="Y367">
        <f>HYPERLINK("https://klasma.github.io/Logging_0482/tillsynsmail/A 26245-2022 tillsynsbegäran mail.docx", "A 26245-2022")</f>
        <v/>
      </c>
    </row>
    <row r="368" ht="15" customHeight="1">
      <c r="A368" t="inlineStr">
        <is>
          <t>A 30727-2022</t>
        </is>
      </c>
      <c r="B368" s="1" t="n">
        <v>44763</v>
      </c>
      <c r="C368" s="1" t="n">
        <v>45353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Allmännings- och besparingsskogar</t>
        </is>
      </c>
      <c r="G368" t="n">
        <v>6.6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HYPERLINK("https://klasma.github.io/Logging_0483/artfynd/A 30727-2022 artfynd.xlsx", "A 30727-2022")</f>
        <v/>
      </c>
      <c r="T368">
        <f>HYPERLINK("https://klasma.github.io/Logging_0483/kartor/A 30727-2022 karta.png", "A 30727-2022")</f>
        <v/>
      </c>
      <c r="U368">
        <f>HYPERLINK("https://klasma.github.io/Logging_0483/knärot/A 30727-2022 karta knärot.png", "A 30727-2022")</f>
        <v/>
      </c>
      <c r="V368">
        <f>HYPERLINK("https://klasma.github.io/Logging_0483/klagomål/A 30727-2022 FSC-klagomål.docx", "A 30727-2022")</f>
        <v/>
      </c>
      <c r="W368">
        <f>HYPERLINK("https://klasma.github.io/Logging_0483/klagomålsmail/A 30727-2022 FSC-klagomål mail.docx", "A 30727-2022")</f>
        <v/>
      </c>
      <c r="X368">
        <f>HYPERLINK("https://klasma.github.io/Logging_0483/tillsyn/A 30727-2022 tillsynsbegäran.docx", "A 30727-2022")</f>
        <v/>
      </c>
      <c r="Y368">
        <f>HYPERLINK("https://klasma.github.io/Logging_0483/tillsynsmail/A 30727-2022 tillsynsbegäran mail.docx", "A 30727-2022")</f>
        <v/>
      </c>
    </row>
    <row r="369" ht="15" customHeight="1">
      <c r="A369" t="inlineStr">
        <is>
          <t>A 32252-2022</t>
        </is>
      </c>
      <c r="B369" s="1" t="n">
        <v>44781</v>
      </c>
      <c r="C369" s="1" t="n">
        <v>45353</v>
      </c>
      <c r="D369" t="inlineStr">
        <is>
          <t>SÖDERMANLANDS LÄN</t>
        </is>
      </c>
      <c r="E369" t="inlineStr">
        <is>
          <t>GNESTA</t>
        </is>
      </c>
      <c r="G369" t="n">
        <v>17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Svavelriska</t>
        </is>
      </c>
      <c r="S369">
        <f>HYPERLINK("https://klasma.github.io/Logging_0461/artfynd/A 32252-2022 artfynd.xlsx", "A 32252-2022")</f>
        <v/>
      </c>
      <c r="T369">
        <f>HYPERLINK("https://klasma.github.io/Logging_0461/kartor/A 32252-2022 karta.png", "A 32252-2022")</f>
        <v/>
      </c>
      <c r="V369">
        <f>HYPERLINK("https://klasma.github.io/Logging_0461/klagomål/A 32252-2022 FSC-klagomål.docx", "A 32252-2022")</f>
        <v/>
      </c>
      <c r="W369">
        <f>HYPERLINK("https://klasma.github.io/Logging_0461/klagomålsmail/A 32252-2022 FSC-klagomål mail.docx", "A 32252-2022")</f>
        <v/>
      </c>
      <c r="X369">
        <f>HYPERLINK("https://klasma.github.io/Logging_0461/tillsyn/A 32252-2022 tillsynsbegäran.docx", "A 32252-2022")</f>
        <v/>
      </c>
      <c r="Y369">
        <f>HYPERLINK("https://klasma.github.io/Logging_0461/tillsynsmail/A 32252-2022 tillsynsbegäran mail.docx", "A 32252-2022")</f>
        <v/>
      </c>
    </row>
    <row r="370" ht="15" customHeight="1">
      <c r="A370" t="inlineStr">
        <is>
          <t>A 33825-2022</t>
        </is>
      </c>
      <c r="B370" s="1" t="n">
        <v>44790</v>
      </c>
      <c r="C370" s="1" t="n">
        <v>45353</v>
      </c>
      <c r="D370" t="inlineStr">
        <is>
          <t>SÖDERMANLANDS LÄN</t>
        </is>
      </c>
      <c r="E370" t="inlineStr">
        <is>
          <t>GNESTA</t>
        </is>
      </c>
      <c r="G370" t="n">
        <v>5.7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HYPERLINK("https://klasma.github.io/Logging_0461/artfynd/A 33825-2022 artfynd.xlsx", "A 33825-2022")</f>
        <v/>
      </c>
      <c r="T370">
        <f>HYPERLINK("https://klasma.github.io/Logging_0461/kartor/A 33825-2022 karta.png", "A 33825-2022")</f>
        <v/>
      </c>
      <c r="V370">
        <f>HYPERLINK("https://klasma.github.io/Logging_0461/klagomål/A 33825-2022 FSC-klagomål.docx", "A 33825-2022")</f>
        <v/>
      </c>
      <c r="W370">
        <f>HYPERLINK("https://klasma.github.io/Logging_0461/klagomålsmail/A 33825-2022 FSC-klagomål mail.docx", "A 33825-2022")</f>
        <v/>
      </c>
      <c r="X370">
        <f>HYPERLINK("https://klasma.github.io/Logging_0461/tillsyn/A 33825-2022 tillsynsbegäran.docx", "A 33825-2022")</f>
        <v/>
      </c>
      <c r="Y370">
        <f>HYPERLINK("https://klasma.github.io/Logging_0461/tillsynsmail/A 33825-2022 tillsynsbegäran mail.docx", "A 33825-2022")</f>
        <v/>
      </c>
    </row>
    <row r="371" ht="15" customHeight="1">
      <c r="A371" t="inlineStr">
        <is>
          <t>A 34498-2022</t>
        </is>
      </c>
      <c r="B371" s="1" t="n">
        <v>44792</v>
      </c>
      <c r="C371" s="1" t="n">
        <v>45353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HYPERLINK("https://klasma.github.io/Logging_0482/artfynd/A 34498-2022 artfynd.xlsx", "A 34498-2022")</f>
        <v/>
      </c>
      <c r="T371">
        <f>HYPERLINK("https://klasma.github.io/Logging_0482/kartor/A 34498-2022 karta.png", "A 34498-2022")</f>
        <v/>
      </c>
      <c r="V371">
        <f>HYPERLINK("https://klasma.github.io/Logging_0482/klagomål/A 34498-2022 FSC-klagomål.docx", "A 34498-2022")</f>
        <v/>
      </c>
      <c r="W371">
        <f>HYPERLINK("https://klasma.github.io/Logging_0482/klagomålsmail/A 34498-2022 FSC-klagomål mail.docx", "A 34498-2022")</f>
        <v/>
      </c>
      <c r="X371">
        <f>HYPERLINK("https://klasma.github.io/Logging_0482/tillsyn/A 34498-2022 tillsynsbegäran.docx", "A 34498-2022")</f>
        <v/>
      </c>
      <c r="Y371">
        <f>HYPERLINK("https://klasma.github.io/Logging_0482/tillsynsmail/A 34498-2022 tillsynsbegäran mail.docx", "A 34498-2022")</f>
        <v/>
      </c>
    </row>
    <row r="372" ht="15" customHeight="1">
      <c r="A372" t="inlineStr">
        <is>
          <t>A 35278-2022</t>
        </is>
      </c>
      <c r="B372" s="1" t="n">
        <v>44798</v>
      </c>
      <c r="C372" s="1" t="n">
        <v>45353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HYPERLINK("https://klasma.github.io/Logging_0482/artfynd/A 35278-2022 artfynd.xlsx", "A 35278-2022")</f>
        <v/>
      </c>
      <c r="T372">
        <f>HYPERLINK("https://klasma.github.io/Logging_0482/kartor/A 35278-2022 karta.png", "A 35278-2022")</f>
        <v/>
      </c>
      <c r="V372">
        <f>HYPERLINK("https://klasma.github.io/Logging_0482/klagomål/A 35278-2022 FSC-klagomål.docx", "A 35278-2022")</f>
        <v/>
      </c>
      <c r="W372">
        <f>HYPERLINK("https://klasma.github.io/Logging_0482/klagomålsmail/A 35278-2022 FSC-klagomål mail.docx", "A 35278-2022")</f>
        <v/>
      </c>
      <c r="X372">
        <f>HYPERLINK("https://klasma.github.io/Logging_0482/tillsyn/A 35278-2022 tillsynsbegäran.docx", "A 35278-2022")</f>
        <v/>
      </c>
      <c r="Y372">
        <f>HYPERLINK("https://klasma.github.io/Logging_0482/tillsynsmail/A 35278-2022 tillsynsbegäran mail.docx", "A 35278-2022")</f>
        <v/>
      </c>
    </row>
    <row r="373" ht="15" customHeight="1">
      <c r="A373" t="inlineStr">
        <is>
          <t>A 36220-2022</t>
        </is>
      </c>
      <c r="B373" s="1" t="n">
        <v>44803</v>
      </c>
      <c r="C373" s="1" t="n">
        <v>45353</v>
      </c>
      <c r="D373" t="inlineStr">
        <is>
          <t>SÖDERMANLANDS LÄN</t>
        </is>
      </c>
      <c r="E373" t="inlineStr">
        <is>
          <t>KATRINEHOLM</t>
        </is>
      </c>
      <c r="G373" t="n">
        <v>3.1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Granbräken</t>
        </is>
      </c>
      <c r="S373">
        <f>HYPERLINK("https://klasma.github.io/Logging_0483/artfynd/A 36220-2022 artfynd.xlsx", "A 36220-2022")</f>
        <v/>
      </c>
      <c r="T373">
        <f>HYPERLINK("https://klasma.github.io/Logging_0483/kartor/A 36220-2022 karta.png", "A 36220-2022")</f>
        <v/>
      </c>
      <c r="V373">
        <f>HYPERLINK("https://klasma.github.io/Logging_0483/klagomål/A 36220-2022 FSC-klagomål.docx", "A 36220-2022")</f>
        <v/>
      </c>
      <c r="W373">
        <f>HYPERLINK("https://klasma.github.io/Logging_0483/klagomålsmail/A 36220-2022 FSC-klagomål mail.docx", "A 36220-2022")</f>
        <v/>
      </c>
      <c r="X373">
        <f>HYPERLINK("https://klasma.github.io/Logging_0483/tillsyn/A 36220-2022 tillsynsbegäran.docx", "A 36220-2022")</f>
        <v/>
      </c>
      <c r="Y373">
        <f>HYPERLINK("https://klasma.github.io/Logging_0483/tillsynsmail/A 36220-2022 tillsynsbegäran mail.docx", "A 36220-2022")</f>
        <v/>
      </c>
    </row>
    <row r="374" ht="15" customHeight="1">
      <c r="A374" t="inlineStr">
        <is>
          <t>A 36140-2022</t>
        </is>
      </c>
      <c r="B374" s="1" t="n">
        <v>44803</v>
      </c>
      <c r="C374" s="1" t="n">
        <v>45353</v>
      </c>
      <c r="D374" t="inlineStr">
        <is>
          <t>SÖDERMANLANDS LÄN</t>
        </is>
      </c>
      <c r="E374" t="inlineStr">
        <is>
          <t>ESKILSTUNA</t>
        </is>
      </c>
      <c r="G374" t="n">
        <v>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36140-2022 artfynd.xlsx", "A 36140-2022")</f>
        <v/>
      </c>
      <c r="T374">
        <f>HYPERLINK("https://klasma.github.io/Logging_0484/kartor/A 36140-2022 karta.png", "A 36140-2022")</f>
        <v/>
      </c>
      <c r="V374">
        <f>HYPERLINK("https://klasma.github.io/Logging_0484/klagomål/A 36140-2022 FSC-klagomål.docx", "A 36140-2022")</f>
        <v/>
      </c>
      <c r="W374">
        <f>HYPERLINK("https://klasma.github.io/Logging_0484/klagomålsmail/A 36140-2022 FSC-klagomål mail.docx", "A 36140-2022")</f>
        <v/>
      </c>
      <c r="X374">
        <f>HYPERLINK("https://klasma.github.io/Logging_0484/tillsyn/A 36140-2022 tillsynsbegäran.docx", "A 36140-2022")</f>
        <v/>
      </c>
      <c r="Y374">
        <f>HYPERLINK("https://klasma.github.io/Logging_0484/tillsynsmail/A 36140-2022 tillsynsbegäran mail.docx", "A 36140-2022")</f>
        <v/>
      </c>
    </row>
    <row r="375" ht="15" customHeight="1">
      <c r="A375" t="inlineStr">
        <is>
          <t>A 36155-2022</t>
        </is>
      </c>
      <c r="B375" s="1" t="n">
        <v>44803</v>
      </c>
      <c r="C375" s="1" t="n">
        <v>45353</v>
      </c>
      <c r="D375" t="inlineStr">
        <is>
          <t>SÖDERMANLANDS LÄN</t>
        </is>
      </c>
      <c r="E375" t="inlineStr">
        <is>
          <t>ESKILSTUNA</t>
        </is>
      </c>
      <c r="G375" t="n">
        <v>5.2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36155-2022 artfynd.xlsx", "A 36155-2022")</f>
        <v/>
      </c>
      <c r="T375">
        <f>HYPERLINK("https://klasma.github.io/Logging_0484/kartor/A 36155-2022 karta.png", "A 36155-2022")</f>
        <v/>
      </c>
      <c r="V375">
        <f>HYPERLINK("https://klasma.github.io/Logging_0484/klagomål/A 36155-2022 FSC-klagomål.docx", "A 36155-2022")</f>
        <v/>
      </c>
      <c r="W375">
        <f>HYPERLINK("https://klasma.github.io/Logging_0484/klagomålsmail/A 36155-2022 FSC-klagomål mail.docx", "A 36155-2022")</f>
        <v/>
      </c>
      <c r="X375">
        <f>HYPERLINK("https://klasma.github.io/Logging_0484/tillsyn/A 36155-2022 tillsynsbegäran.docx", "A 36155-2022")</f>
        <v/>
      </c>
      <c r="Y375">
        <f>HYPERLINK("https://klasma.github.io/Logging_0484/tillsynsmail/A 36155-2022 tillsynsbegäran mail.docx", "A 36155-2022")</f>
        <v/>
      </c>
    </row>
    <row r="376" ht="15" customHeight="1">
      <c r="A376" t="inlineStr">
        <is>
          <t>A 36996-2022</t>
        </is>
      </c>
      <c r="B376" s="1" t="n">
        <v>44806</v>
      </c>
      <c r="C376" s="1" t="n">
        <v>45353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Vågbandad barkbock</t>
        </is>
      </c>
      <c r="S376">
        <f>HYPERLINK("https://klasma.github.io/Logging_0480/artfynd/A 36996-2022 artfynd.xlsx", "A 36996-2022")</f>
        <v/>
      </c>
      <c r="T376">
        <f>HYPERLINK("https://klasma.github.io/Logging_0480/kartor/A 36996-2022 karta.png", "A 36996-2022")</f>
        <v/>
      </c>
      <c r="V376">
        <f>HYPERLINK("https://klasma.github.io/Logging_0480/klagomål/A 36996-2022 FSC-klagomål.docx", "A 36996-2022")</f>
        <v/>
      </c>
      <c r="W376">
        <f>HYPERLINK("https://klasma.github.io/Logging_0480/klagomålsmail/A 36996-2022 FSC-klagomål mail.docx", "A 36996-2022")</f>
        <v/>
      </c>
      <c r="X376">
        <f>HYPERLINK("https://klasma.github.io/Logging_0480/tillsyn/A 36996-2022 tillsynsbegäran.docx", "A 36996-2022")</f>
        <v/>
      </c>
      <c r="Y376">
        <f>HYPERLINK("https://klasma.github.io/Logging_0480/tillsynsmail/A 36996-2022 tillsynsbegäran mail.docx", "A 36996-2022")</f>
        <v/>
      </c>
    </row>
    <row r="377" ht="15" customHeight="1">
      <c r="A377" t="inlineStr">
        <is>
          <t>A 39740-2022</t>
        </is>
      </c>
      <c r="B377" s="1" t="n">
        <v>44817</v>
      </c>
      <c r="C377" s="1" t="n">
        <v>45353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3.4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HYPERLINK("https://klasma.github.io/Logging_0480/artfynd/A 39740-2022 artfynd.xlsx", "A 39740-2022")</f>
        <v/>
      </c>
      <c r="T377">
        <f>HYPERLINK("https://klasma.github.io/Logging_0480/kartor/A 39740-2022 karta.png", "A 39740-2022")</f>
        <v/>
      </c>
      <c r="V377">
        <f>HYPERLINK("https://klasma.github.io/Logging_0480/klagomål/A 39740-2022 FSC-klagomål.docx", "A 39740-2022")</f>
        <v/>
      </c>
      <c r="W377">
        <f>HYPERLINK("https://klasma.github.io/Logging_0480/klagomålsmail/A 39740-2022 FSC-klagomål mail.docx", "A 39740-2022")</f>
        <v/>
      </c>
      <c r="X377">
        <f>HYPERLINK("https://klasma.github.io/Logging_0480/tillsyn/A 39740-2022 tillsynsbegäran.docx", "A 39740-2022")</f>
        <v/>
      </c>
      <c r="Y377">
        <f>HYPERLINK("https://klasma.github.io/Logging_0480/tillsynsmail/A 39740-2022 tillsynsbegäran mail.docx", "A 39740-2022")</f>
        <v/>
      </c>
    </row>
    <row r="378" ht="15" customHeight="1">
      <c r="A378" t="inlineStr">
        <is>
          <t>A 41511-2022</t>
        </is>
      </c>
      <c r="B378" s="1" t="n">
        <v>44827</v>
      </c>
      <c r="C378" s="1" t="n">
        <v>45353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HYPERLINK("https://klasma.github.io/Logging_0486/artfynd/A 41511-2022 artfynd.xlsx", "A 41511-2022")</f>
        <v/>
      </c>
      <c r="T378">
        <f>HYPERLINK("https://klasma.github.io/Logging_0486/kartor/A 41511-2022 karta.png", "A 41511-2022")</f>
        <v/>
      </c>
      <c r="V378">
        <f>HYPERLINK("https://klasma.github.io/Logging_0486/klagomål/A 41511-2022 FSC-klagomål.docx", "A 41511-2022")</f>
        <v/>
      </c>
      <c r="W378">
        <f>HYPERLINK("https://klasma.github.io/Logging_0486/klagomålsmail/A 41511-2022 FSC-klagomål mail.docx", "A 41511-2022")</f>
        <v/>
      </c>
      <c r="X378">
        <f>HYPERLINK("https://klasma.github.io/Logging_0486/tillsyn/A 41511-2022 tillsynsbegäran.docx", "A 41511-2022")</f>
        <v/>
      </c>
      <c r="Y378">
        <f>HYPERLINK("https://klasma.github.io/Logging_0486/tillsynsmail/A 41511-2022 tillsynsbegäran mail.docx", "A 41511-2022")</f>
        <v/>
      </c>
    </row>
    <row r="379" ht="15" customHeight="1">
      <c r="A379" t="inlineStr">
        <is>
          <t>A 42227-2022</t>
        </is>
      </c>
      <c r="B379" s="1" t="n">
        <v>44830</v>
      </c>
      <c r="C379" s="1" t="n">
        <v>45353</v>
      </c>
      <c r="D379" t="inlineStr">
        <is>
          <t>SÖDERMANLANDS LÄN</t>
        </is>
      </c>
      <c r="E379" t="inlineStr">
        <is>
          <t>GNESTA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Sotlav</t>
        </is>
      </c>
      <c r="S379">
        <f>HYPERLINK("https://klasma.github.io/Logging_0461/artfynd/A 42227-2022 artfynd.xlsx", "A 42227-2022")</f>
        <v/>
      </c>
      <c r="T379">
        <f>HYPERLINK("https://klasma.github.io/Logging_0461/kartor/A 42227-2022 karta.png", "A 42227-2022")</f>
        <v/>
      </c>
      <c r="V379">
        <f>HYPERLINK("https://klasma.github.io/Logging_0461/klagomål/A 42227-2022 FSC-klagomål.docx", "A 42227-2022")</f>
        <v/>
      </c>
      <c r="W379">
        <f>HYPERLINK("https://klasma.github.io/Logging_0461/klagomålsmail/A 42227-2022 FSC-klagomål mail.docx", "A 42227-2022")</f>
        <v/>
      </c>
      <c r="X379">
        <f>HYPERLINK("https://klasma.github.io/Logging_0461/tillsyn/A 42227-2022 tillsynsbegäran.docx", "A 42227-2022")</f>
        <v/>
      </c>
      <c r="Y379">
        <f>HYPERLINK("https://klasma.github.io/Logging_0461/tillsynsmail/A 42227-2022 tillsynsbegäran mail.docx", "A 42227-2022")</f>
        <v/>
      </c>
    </row>
    <row r="380" ht="15" customHeight="1">
      <c r="A380" t="inlineStr">
        <is>
          <t>A 42745-2022</t>
        </is>
      </c>
      <c r="B380" s="1" t="n">
        <v>44831</v>
      </c>
      <c r="C380" s="1" t="n">
        <v>45353</v>
      </c>
      <c r="D380" t="inlineStr">
        <is>
          <t>SÖDERMANLANDS LÄN</t>
        </is>
      </c>
      <c r="E380" t="inlineStr">
        <is>
          <t>KATRINEHOLM</t>
        </is>
      </c>
      <c r="G380" t="n">
        <v>4.6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Svedjenäva</t>
        </is>
      </c>
      <c r="S380">
        <f>HYPERLINK("https://klasma.github.io/Logging_0483/artfynd/A 42745-2022 artfynd.xlsx", "A 42745-2022")</f>
        <v/>
      </c>
      <c r="T380">
        <f>HYPERLINK("https://klasma.github.io/Logging_0483/kartor/A 42745-2022 karta.png", "A 42745-2022")</f>
        <v/>
      </c>
      <c r="V380">
        <f>HYPERLINK("https://klasma.github.io/Logging_0483/klagomål/A 42745-2022 FSC-klagomål.docx", "A 42745-2022")</f>
        <v/>
      </c>
      <c r="W380">
        <f>HYPERLINK("https://klasma.github.io/Logging_0483/klagomålsmail/A 42745-2022 FSC-klagomål mail.docx", "A 42745-2022")</f>
        <v/>
      </c>
      <c r="X380">
        <f>HYPERLINK("https://klasma.github.io/Logging_0483/tillsyn/A 42745-2022 tillsynsbegäran.docx", "A 42745-2022")</f>
        <v/>
      </c>
      <c r="Y380">
        <f>HYPERLINK("https://klasma.github.io/Logging_0483/tillsynsmail/A 42745-2022 tillsynsbegäran mail.docx", "A 42745-2022")</f>
        <v/>
      </c>
    </row>
    <row r="381" ht="15" customHeight="1">
      <c r="A381" t="inlineStr">
        <is>
          <t>A 43547-2022</t>
        </is>
      </c>
      <c r="B381" s="1" t="n">
        <v>44834</v>
      </c>
      <c r="C381" s="1" t="n">
        <v>45353</v>
      </c>
      <c r="D381" t="inlineStr">
        <is>
          <t>SÖDERMANLANDS LÄN</t>
        </is>
      </c>
      <c r="E381" t="inlineStr">
        <is>
          <t>ESKILSTUNA</t>
        </is>
      </c>
      <c r="G381" t="n">
        <v>3.2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HYPERLINK("https://klasma.github.io/Logging_0484/artfynd/A 43547-2022 artfynd.xlsx", "A 43547-2022")</f>
        <v/>
      </c>
      <c r="T381">
        <f>HYPERLINK("https://klasma.github.io/Logging_0484/kartor/A 43547-2022 karta.png", "A 43547-2022")</f>
        <v/>
      </c>
      <c r="U381">
        <f>HYPERLINK("https://klasma.github.io/Logging_0484/knärot/A 43547-2022 karta knärot.png", "A 43547-2022")</f>
        <v/>
      </c>
      <c r="V381">
        <f>HYPERLINK("https://klasma.github.io/Logging_0484/klagomål/A 43547-2022 FSC-klagomål.docx", "A 43547-2022")</f>
        <v/>
      </c>
      <c r="W381">
        <f>HYPERLINK("https://klasma.github.io/Logging_0484/klagomålsmail/A 43547-2022 FSC-klagomål mail.docx", "A 43547-2022")</f>
        <v/>
      </c>
      <c r="X381">
        <f>HYPERLINK("https://klasma.github.io/Logging_0484/tillsyn/A 43547-2022 tillsynsbegäran.docx", "A 43547-2022")</f>
        <v/>
      </c>
      <c r="Y381">
        <f>HYPERLINK("https://klasma.github.io/Logging_0484/tillsynsmail/A 43547-2022 tillsynsbegäran mail.docx", "A 43547-2022")</f>
        <v/>
      </c>
    </row>
    <row r="382" ht="15" customHeight="1">
      <c r="A382" t="inlineStr">
        <is>
          <t>A 44262-2022</t>
        </is>
      </c>
      <c r="B382" s="1" t="n">
        <v>44839</v>
      </c>
      <c r="C382" s="1" t="n">
        <v>45353</v>
      </c>
      <c r="D382" t="inlineStr">
        <is>
          <t>SÖDERMANLANDS LÄN</t>
        </is>
      </c>
      <c r="E382" t="inlineStr">
        <is>
          <t>KATRINEHOLM</t>
        </is>
      </c>
      <c r="G382" t="n">
        <v>0.1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Bombmurkla</t>
        </is>
      </c>
      <c r="S382">
        <f>HYPERLINK("https://klasma.github.io/Logging_0483/artfynd/A 44262-2022 artfynd.xlsx", "A 44262-2022")</f>
        <v/>
      </c>
      <c r="T382">
        <f>HYPERLINK("https://klasma.github.io/Logging_0483/kartor/A 44262-2022 karta.png", "A 44262-2022")</f>
        <v/>
      </c>
      <c r="V382">
        <f>HYPERLINK("https://klasma.github.io/Logging_0483/klagomål/A 44262-2022 FSC-klagomål.docx", "A 44262-2022")</f>
        <v/>
      </c>
      <c r="W382">
        <f>HYPERLINK("https://klasma.github.io/Logging_0483/klagomålsmail/A 44262-2022 FSC-klagomål mail.docx", "A 44262-2022")</f>
        <v/>
      </c>
      <c r="X382">
        <f>HYPERLINK("https://klasma.github.io/Logging_0483/tillsyn/A 44262-2022 tillsynsbegäran.docx", "A 44262-2022")</f>
        <v/>
      </c>
      <c r="Y382">
        <f>HYPERLINK("https://klasma.github.io/Logging_0483/tillsynsmail/A 44262-2022 tillsynsbegäran mail.docx", "A 44262-2022")</f>
        <v/>
      </c>
    </row>
    <row r="383" ht="15" customHeight="1">
      <c r="A383" t="inlineStr">
        <is>
          <t>A 44782-2022</t>
        </is>
      </c>
      <c r="B383" s="1" t="n">
        <v>44839</v>
      </c>
      <c r="C383" s="1" t="n">
        <v>45353</v>
      </c>
      <c r="D383" t="inlineStr">
        <is>
          <t>SÖDERMANLANDS LÄN</t>
        </is>
      </c>
      <c r="E383" t="inlineStr">
        <is>
          <t>GNESTA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HYPERLINK("https://klasma.github.io/Logging_0461/artfynd/A 44782-2022 artfynd.xlsx", "A 44782-2022")</f>
        <v/>
      </c>
      <c r="T383">
        <f>HYPERLINK("https://klasma.github.io/Logging_0461/kartor/A 44782-2022 karta.png", "A 44782-2022")</f>
        <v/>
      </c>
      <c r="V383">
        <f>HYPERLINK("https://klasma.github.io/Logging_0461/klagomål/A 44782-2022 FSC-klagomål.docx", "A 44782-2022")</f>
        <v/>
      </c>
      <c r="W383">
        <f>HYPERLINK("https://klasma.github.io/Logging_0461/klagomålsmail/A 44782-2022 FSC-klagomål mail.docx", "A 44782-2022")</f>
        <v/>
      </c>
      <c r="X383">
        <f>HYPERLINK("https://klasma.github.io/Logging_0461/tillsyn/A 44782-2022 tillsynsbegäran.docx", "A 44782-2022")</f>
        <v/>
      </c>
      <c r="Y383">
        <f>HYPERLINK("https://klasma.github.io/Logging_0461/tillsynsmail/A 44782-2022 tillsynsbegäran mail.docx", "A 44782-2022")</f>
        <v/>
      </c>
    </row>
    <row r="384" ht="15" customHeight="1">
      <c r="A384" t="inlineStr">
        <is>
          <t>A 44664-2022</t>
        </is>
      </c>
      <c r="B384" s="1" t="n">
        <v>44840</v>
      </c>
      <c r="C384" s="1" t="n">
        <v>45353</v>
      </c>
      <c r="D384" t="inlineStr">
        <is>
          <t>SÖDERMANLANDS LÄN</t>
        </is>
      </c>
      <c r="E384" t="inlineStr">
        <is>
          <t>ESKILSTUNA</t>
        </is>
      </c>
      <c r="G384" t="n">
        <v>20.8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HYPERLINK("https://klasma.github.io/Logging_0484/artfynd/A 44664-2022 artfynd.xlsx", "A 44664-2022")</f>
        <v/>
      </c>
      <c r="T384">
        <f>HYPERLINK("https://klasma.github.io/Logging_0484/kartor/A 44664-2022 karta.png", "A 44664-2022")</f>
        <v/>
      </c>
      <c r="U384">
        <f>HYPERLINK("https://klasma.github.io/Logging_0484/knärot/A 44664-2022 karta knärot.png", "A 44664-2022")</f>
        <v/>
      </c>
      <c r="V384">
        <f>HYPERLINK("https://klasma.github.io/Logging_0484/klagomål/A 44664-2022 FSC-klagomål.docx", "A 44664-2022")</f>
        <v/>
      </c>
      <c r="W384">
        <f>HYPERLINK("https://klasma.github.io/Logging_0484/klagomålsmail/A 44664-2022 FSC-klagomål mail.docx", "A 44664-2022")</f>
        <v/>
      </c>
      <c r="X384">
        <f>HYPERLINK("https://klasma.github.io/Logging_0484/tillsyn/A 44664-2022 tillsynsbegäran.docx", "A 44664-2022")</f>
        <v/>
      </c>
      <c r="Y384">
        <f>HYPERLINK("https://klasma.github.io/Logging_0484/tillsynsmail/A 44664-2022 tillsynsbegäran mail.docx", "A 44664-2022")</f>
        <v/>
      </c>
    </row>
    <row r="385" ht="15" customHeight="1">
      <c r="A385" t="inlineStr">
        <is>
          <t>A 45656-2022</t>
        </is>
      </c>
      <c r="B385" s="1" t="n">
        <v>44841</v>
      </c>
      <c r="C385" s="1" t="n">
        <v>45353</v>
      </c>
      <c r="D385" t="inlineStr">
        <is>
          <t>SÖDERMANLANDS LÄN</t>
        </is>
      </c>
      <c r="E385" t="inlineStr">
        <is>
          <t>GNESTA</t>
        </is>
      </c>
      <c r="G385" t="n">
        <v>3.8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HYPERLINK("https://klasma.github.io/Logging_0461/artfynd/A 45656-2022 artfynd.xlsx", "A 45656-2022")</f>
        <v/>
      </c>
      <c r="T385">
        <f>HYPERLINK("https://klasma.github.io/Logging_0461/kartor/A 45656-2022 karta.png", "A 45656-2022")</f>
        <v/>
      </c>
      <c r="V385">
        <f>HYPERLINK("https://klasma.github.io/Logging_0461/klagomål/A 45656-2022 FSC-klagomål.docx", "A 45656-2022")</f>
        <v/>
      </c>
      <c r="W385">
        <f>HYPERLINK("https://klasma.github.io/Logging_0461/klagomålsmail/A 45656-2022 FSC-klagomål mail.docx", "A 45656-2022")</f>
        <v/>
      </c>
      <c r="X385">
        <f>HYPERLINK("https://klasma.github.io/Logging_0461/tillsyn/A 45656-2022 tillsynsbegäran.docx", "A 45656-2022")</f>
        <v/>
      </c>
      <c r="Y385">
        <f>HYPERLINK("https://klasma.github.io/Logging_0461/tillsynsmail/A 45656-2022 tillsynsbegäran mail.docx", "A 45656-2022")</f>
        <v/>
      </c>
    </row>
    <row r="386" ht="15" customHeight="1">
      <c r="A386" t="inlineStr">
        <is>
          <t>A 47648-2022</t>
        </is>
      </c>
      <c r="B386" s="1" t="n">
        <v>44854</v>
      </c>
      <c r="C386" s="1" t="n">
        <v>45353</v>
      </c>
      <c r="D386" t="inlineStr">
        <is>
          <t>SÖDERMANLANDS LÄN</t>
        </is>
      </c>
      <c r="E386" t="inlineStr">
        <is>
          <t>ESKILSTUNA</t>
        </is>
      </c>
      <c r="G386" t="n">
        <v>1.8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HYPERLINK("https://klasma.github.io/Logging_0484/artfynd/A 47648-2022 artfynd.xlsx", "A 47648-2022")</f>
        <v/>
      </c>
      <c r="T386">
        <f>HYPERLINK("https://klasma.github.io/Logging_0484/kartor/A 47648-2022 karta.png", "A 47648-2022")</f>
        <v/>
      </c>
      <c r="V386">
        <f>HYPERLINK("https://klasma.github.io/Logging_0484/klagomål/A 47648-2022 FSC-klagomål.docx", "A 47648-2022")</f>
        <v/>
      </c>
      <c r="W386">
        <f>HYPERLINK("https://klasma.github.io/Logging_0484/klagomålsmail/A 47648-2022 FSC-klagomål mail.docx", "A 47648-2022")</f>
        <v/>
      </c>
      <c r="X386">
        <f>HYPERLINK("https://klasma.github.io/Logging_0484/tillsyn/A 47648-2022 tillsynsbegäran.docx", "A 47648-2022")</f>
        <v/>
      </c>
      <c r="Y386">
        <f>HYPERLINK("https://klasma.github.io/Logging_0484/tillsynsmail/A 47648-2022 tillsynsbegäran mail.docx", "A 47648-2022")</f>
        <v/>
      </c>
    </row>
    <row r="387" ht="15" customHeight="1">
      <c r="A387" t="inlineStr">
        <is>
          <t>A 47756-2022</t>
        </is>
      </c>
      <c r="B387" s="1" t="n">
        <v>44854</v>
      </c>
      <c r="C387" s="1" t="n">
        <v>45353</v>
      </c>
      <c r="D387" t="inlineStr">
        <is>
          <t>SÖDERMANLANDS LÄN</t>
        </is>
      </c>
      <c r="E387" t="inlineStr">
        <is>
          <t>FLEN</t>
        </is>
      </c>
      <c r="G387" t="n">
        <v>2.4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HYPERLINK("https://klasma.github.io/Logging_0482/artfynd/A 47756-2022 artfynd.xlsx", "A 47756-2022")</f>
        <v/>
      </c>
      <c r="T387">
        <f>HYPERLINK("https://klasma.github.io/Logging_0482/kartor/A 47756-2022 karta.png", "A 47756-2022")</f>
        <v/>
      </c>
      <c r="V387">
        <f>HYPERLINK("https://klasma.github.io/Logging_0482/klagomål/A 47756-2022 FSC-klagomål.docx", "A 47756-2022")</f>
        <v/>
      </c>
      <c r="W387">
        <f>HYPERLINK("https://klasma.github.io/Logging_0482/klagomålsmail/A 47756-2022 FSC-klagomål mail.docx", "A 47756-2022")</f>
        <v/>
      </c>
      <c r="X387">
        <f>HYPERLINK("https://klasma.github.io/Logging_0482/tillsyn/A 47756-2022 tillsynsbegäran.docx", "A 47756-2022")</f>
        <v/>
      </c>
      <c r="Y387">
        <f>HYPERLINK("https://klasma.github.io/Logging_0482/tillsynsmail/A 47756-2022 tillsynsbegäran mail.docx", "A 47756-2022")</f>
        <v/>
      </c>
    </row>
    <row r="388" ht="15" customHeight="1">
      <c r="A388" t="inlineStr">
        <is>
          <t>A 48822-2022</t>
        </is>
      </c>
      <c r="B388" s="1" t="n">
        <v>44854</v>
      </c>
      <c r="C388" s="1" t="n">
        <v>45353</v>
      </c>
      <c r="D388" t="inlineStr">
        <is>
          <t>SÖDERMANLANDS LÄN</t>
        </is>
      </c>
      <c r="E388" t="inlineStr">
        <is>
          <t>KATRINEHOLM</t>
        </is>
      </c>
      <c r="G388" t="n">
        <v>8.6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Vågbandad barkbock</t>
        </is>
      </c>
      <c r="S388">
        <f>HYPERLINK("https://klasma.github.io/Logging_0483/artfynd/A 48822-2022 artfynd.xlsx", "A 48822-2022")</f>
        <v/>
      </c>
      <c r="T388">
        <f>HYPERLINK("https://klasma.github.io/Logging_0483/kartor/A 48822-2022 karta.png", "A 48822-2022")</f>
        <v/>
      </c>
      <c r="V388">
        <f>HYPERLINK("https://klasma.github.io/Logging_0483/klagomål/A 48822-2022 FSC-klagomål.docx", "A 48822-2022")</f>
        <v/>
      </c>
      <c r="W388">
        <f>HYPERLINK("https://klasma.github.io/Logging_0483/klagomålsmail/A 48822-2022 FSC-klagomål mail.docx", "A 48822-2022")</f>
        <v/>
      </c>
      <c r="X388">
        <f>HYPERLINK("https://klasma.github.io/Logging_0483/tillsyn/A 48822-2022 tillsynsbegäran.docx", "A 48822-2022")</f>
        <v/>
      </c>
      <c r="Y388">
        <f>HYPERLINK("https://klasma.github.io/Logging_0483/tillsynsmail/A 48822-2022 tillsynsbegäran mail.docx", "A 48822-2022")</f>
        <v/>
      </c>
    </row>
    <row r="389" ht="15" customHeight="1">
      <c r="A389" t="inlineStr">
        <is>
          <t>A 49460-2022</t>
        </is>
      </c>
      <c r="B389" s="1" t="n">
        <v>44861</v>
      </c>
      <c r="C389" s="1" t="n">
        <v>45353</v>
      </c>
      <c r="D389" t="inlineStr">
        <is>
          <t>SÖDERMANLANDS LÄN</t>
        </is>
      </c>
      <c r="E389" t="inlineStr">
        <is>
          <t>GNESTA</t>
        </is>
      </c>
      <c r="G389" t="n">
        <v>8.5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HYPERLINK("https://klasma.github.io/Logging_0461/artfynd/A 49460-2022 artfynd.xlsx", "A 49460-2022")</f>
        <v/>
      </c>
      <c r="T389">
        <f>HYPERLINK("https://klasma.github.io/Logging_0461/kartor/A 49460-2022 karta.png", "A 49460-2022")</f>
        <v/>
      </c>
      <c r="V389">
        <f>HYPERLINK("https://klasma.github.io/Logging_0461/klagomål/A 49460-2022 FSC-klagomål.docx", "A 49460-2022")</f>
        <v/>
      </c>
      <c r="W389">
        <f>HYPERLINK("https://klasma.github.io/Logging_0461/klagomålsmail/A 49460-2022 FSC-klagomål mail.docx", "A 49460-2022")</f>
        <v/>
      </c>
      <c r="X389">
        <f>HYPERLINK("https://klasma.github.io/Logging_0461/tillsyn/A 49460-2022 tillsynsbegäran.docx", "A 49460-2022")</f>
        <v/>
      </c>
      <c r="Y389">
        <f>HYPERLINK("https://klasma.github.io/Logging_0461/tillsynsmail/A 49460-2022 tillsynsbegäran mail.docx", "A 49460-2022")</f>
        <v/>
      </c>
    </row>
    <row r="390" ht="15" customHeight="1">
      <c r="A390" t="inlineStr">
        <is>
          <t>A 49442-2022</t>
        </is>
      </c>
      <c r="B390" s="1" t="n">
        <v>44861</v>
      </c>
      <c r="C390" s="1" t="n">
        <v>45353</v>
      </c>
      <c r="D390" t="inlineStr">
        <is>
          <t>SÖDERMANLANDS LÄN</t>
        </is>
      </c>
      <c r="E390" t="inlineStr">
        <is>
          <t>GNESTA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Streckvaxskivling</t>
        </is>
      </c>
      <c r="S390">
        <f>HYPERLINK("https://klasma.github.io/Logging_0461/artfynd/A 49442-2022 artfynd.xlsx", "A 49442-2022")</f>
        <v/>
      </c>
      <c r="T390">
        <f>HYPERLINK("https://klasma.github.io/Logging_0461/kartor/A 49442-2022 karta.png", "A 49442-2022")</f>
        <v/>
      </c>
      <c r="V390">
        <f>HYPERLINK("https://klasma.github.io/Logging_0461/klagomål/A 49442-2022 FSC-klagomål.docx", "A 49442-2022")</f>
        <v/>
      </c>
      <c r="W390">
        <f>HYPERLINK("https://klasma.github.io/Logging_0461/klagomålsmail/A 49442-2022 FSC-klagomål mail.docx", "A 49442-2022")</f>
        <v/>
      </c>
      <c r="X390">
        <f>HYPERLINK("https://klasma.github.io/Logging_0461/tillsyn/A 49442-2022 tillsynsbegäran.docx", "A 49442-2022")</f>
        <v/>
      </c>
      <c r="Y390">
        <f>HYPERLINK("https://klasma.github.io/Logging_0461/tillsynsmail/A 49442-2022 tillsynsbegäran mail.docx", "A 49442-2022")</f>
        <v/>
      </c>
    </row>
    <row r="391" ht="15" customHeight="1">
      <c r="A391" t="inlineStr">
        <is>
          <t>A 50202-2022</t>
        </is>
      </c>
      <c r="B391" s="1" t="n">
        <v>44865</v>
      </c>
      <c r="C391" s="1" t="n">
        <v>45353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5.8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Gullklöver</t>
        </is>
      </c>
      <c r="S391">
        <f>HYPERLINK("https://klasma.github.io/Logging_0482/artfynd/A 50202-2022 artfynd.xlsx", "A 50202-2022")</f>
        <v/>
      </c>
      <c r="T391">
        <f>HYPERLINK("https://klasma.github.io/Logging_0482/kartor/A 50202-2022 karta.png", "A 50202-2022")</f>
        <v/>
      </c>
      <c r="V391">
        <f>HYPERLINK("https://klasma.github.io/Logging_0482/klagomål/A 50202-2022 FSC-klagomål.docx", "A 50202-2022")</f>
        <v/>
      </c>
      <c r="W391">
        <f>HYPERLINK("https://klasma.github.io/Logging_0482/klagomålsmail/A 50202-2022 FSC-klagomål mail.docx", "A 50202-2022")</f>
        <v/>
      </c>
      <c r="X391">
        <f>HYPERLINK("https://klasma.github.io/Logging_0482/tillsyn/A 50202-2022 tillsynsbegäran.docx", "A 50202-2022")</f>
        <v/>
      </c>
      <c r="Y391">
        <f>HYPERLINK("https://klasma.github.io/Logging_0482/tillsynsmail/A 50202-2022 tillsynsbegäran mail.docx", "A 50202-2022")</f>
        <v/>
      </c>
    </row>
    <row r="392" ht="15" customHeight="1">
      <c r="A392" t="inlineStr">
        <is>
          <t>A 56074-2022</t>
        </is>
      </c>
      <c r="B392" s="1" t="n">
        <v>44889</v>
      </c>
      <c r="C392" s="1" t="n">
        <v>45353</v>
      </c>
      <c r="D392" t="inlineStr">
        <is>
          <t>SÖDERMANLANDS LÄN</t>
        </is>
      </c>
      <c r="E392" t="inlineStr">
        <is>
          <t>KATRINEHOLM</t>
        </is>
      </c>
      <c r="G392" t="n">
        <v>13.6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HYPERLINK("https://klasma.github.io/Logging_0483/artfynd/A 56074-2022 artfynd.xlsx", "A 56074-2022")</f>
        <v/>
      </c>
      <c r="T392">
        <f>HYPERLINK("https://klasma.github.io/Logging_0483/kartor/A 56074-2022 karta.png", "A 56074-2022")</f>
        <v/>
      </c>
      <c r="V392">
        <f>HYPERLINK("https://klasma.github.io/Logging_0483/klagomål/A 56074-2022 FSC-klagomål.docx", "A 56074-2022")</f>
        <v/>
      </c>
      <c r="W392">
        <f>HYPERLINK("https://klasma.github.io/Logging_0483/klagomålsmail/A 56074-2022 FSC-klagomål mail.docx", "A 56074-2022")</f>
        <v/>
      </c>
      <c r="X392">
        <f>HYPERLINK("https://klasma.github.io/Logging_0483/tillsyn/A 56074-2022 tillsynsbegäran.docx", "A 56074-2022")</f>
        <v/>
      </c>
      <c r="Y392">
        <f>HYPERLINK("https://klasma.github.io/Logging_0483/tillsynsmail/A 56074-2022 tillsynsbegäran mail.docx", "A 56074-2022")</f>
        <v/>
      </c>
    </row>
    <row r="393" ht="15" customHeight="1">
      <c r="A393" t="inlineStr">
        <is>
          <t>A 56791-2022</t>
        </is>
      </c>
      <c r="B393" s="1" t="n">
        <v>44894</v>
      </c>
      <c r="C393" s="1" t="n">
        <v>45353</v>
      </c>
      <c r="D393" t="inlineStr">
        <is>
          <t>SÖDERMANLANDS LÄN</t>
        </is>
      </c>
      <c r="E393" t="inlineStr">
        <is>
          <t>GNESTA</t>
        </is>
      </c>
      <c r="G393" t="n">
        <v>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HYPERLINK("https://klasma.github.io/Logging_0461/artfynd/A 56791-2022 artfynd.xlsx", "A 56791-2022")</f>
        <v/>
      </c>
      <c r="T393">
        <f>HYPERLINK("https://klasma.github.io/Logging_0461/kartor/A 56791-2022 karta.png", "A 56791-2022")</f>
        <v/>
      </c>
      <c r="V393">
        <f>HYPERLINK("https://klasma.github.io/Logging_0461/klagomål/A 56791-2022 FSC-klagomål.docx", "A 56791-2022")</f>
        <v/>
      </c>
      <c r="W393">
        <f>HYPERLINK("https://klasma.github.io/Logging_0461/klagomålsmail/A 56791-2022 FSC-klagomål mail.docx", "A 56791-2022")</f>
        <v/>
      </c>
      <c r="X393">
        <f>HYPERLINK("https://klasma.github.io/Logging_0461/tillsyn/A 56791-2022 tillsynsbegäran.docx", "A 56791-2022")</f>
        <v/>
      </c>
      <c r="Y393">
        <f>HYPERLINK("https://klasma.github.io/Logging_0461/tillsynsmail/A 56791-2022 tillsynsbegäran mail.docx", "A 56791-2022")</f>
        <v/>
      </c>
    </row>
    <row r="394" ht="15" customHeight="1">
      <c r="A394" t="inlineStr">
        <is>
          <t>A 60591-2022</t>
        </is>
      </c>
      <c r="B394" s="1" t="n">
        <v>44911</v>
      </c>
      <c r="C394" s="1" t="n">
        <v>45353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HYPERLINK("https://klasma.github.io/Logging_0482/artfynd/A 60591-2022 artfynd.xlsx", "A 60591-2022")</f>
        <v/>
      </c>
      <c r="T394">
        <f>HYPERLINK("https://klasma.github.io/Logging_0482/kartor/A 60591-2022 karta.png", "A 60591-2022")</f>
        <v/>
      </c>
      <c r="V394">
        <f>HYPERLINK("https://klasma.github.io/Logging_0482/klagomål/A 60591-2022 FSC-klagomål.docx", "A 60591-2022")</f>
        <v/>
      </c>
      <c r="W394">
        <f>HYPERLINK("https://klasma.github.io/Logging_0482/klagomålsmail/A 60591-2022 FSC-klagomål mail.docx", "A 60591-2022")</f>
        <v/>
      </c>
      <c r="X394">
        <f>HYPERLINK("https://klasma.github.io/Logging_0482/tillsyn/A 60591-2022 tillsynsbegäran.docx", "A 60591-2022")</f>
        <v/>
      </c>
      <c r="Y394">
        <f>HYPERLINK("https://klasma.github.io/Logging_0482/tillsynsmail/A 60591-2022 tillsynsbegäran mail.docx", "A 60591-2022")</f>
        <v/>
      </c>
    </row>
    <row r="395" ht="15" customHeight="1">
      <c r="A395" t="inlineStr">
        <is>
          <t>A 61987-2022</t>
        </is>
      </c>
      <c r="B395" s="1" t="n">
        <v>44918</v>
      </c>
      <c r="C395" s="1" t="n">
        <v>45353</v>
      </c>
      <c r="D395" t="inlineStr">
        <is>
          <t>SÖDERMANLANDS LÄN</t>
        </is>
      </c>
      <c r="E395" t="inlineStr">
        <is>
          <t>ESKILSTUNA</t>
        </is>
      </c>
      <c r="G395" t="n">
        <v>4.3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HYPERLINK("https://klasma.github.io/Logging_0484/artfynd/A 61987-2022 artfynd.xlsx", "A 61987-2022")</f>
        <v/>
      </c>
      <c r="T395">
        <f>HYPERLINK("https://klasma.github.io/Logging_0484/kartor/A 61987-2022 karta.png", "A 61987-2022")</f>
        <v/>
      </c>
      <c r="V395">
        <f>HYPERLINK("https://klasma.github.io/Logging_0484/klagomål/A 61987-2022 FSC-klagomål.docx", "A 61987-2022")</f>
        <v/>
      </c>
      <c r="W395">
        <f>HYPERLINK("https://klasma.github.io/Logging_0484/klagomålsmail/A 61987-2022 FSC-klagomål mail.docx", "A 61987-2022")</f>
        <v/>
      </c>
      <c r="X395">
        <f>HYPERLINK("https://klasma.github.io/Logging_0484/tillsyn/A 61987-2022 tillsynsbegäran.docx", "A 61987-2022")</f>
        <v/>
      </c>
      <c r="Y395">
        <f>HYPERLINK("https://klasma.github.io/Logging_0484/tillsynsmail/A 61987-2022 tillsynsbegäran mail.docx", "A 61987-2022")</f>
        <v/>
      </c>
    </row>
    <row r="396" ht="15" customHeight="1">
      <c r="A396" t="inlineStr">
        <is>
          <t>A 61986-2022</t>
        </is>
      </c>
      <c r="B396" s="1" t="n">
        <v>44918</v>
      </c>
      <c r="C396" s="1" t="n">
        <v>45353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HYPERLINK("https://klasma.github.io/Logging_0461/artfynd/A 61986-2022 artfynd.xlsx", "A 61986-2022")</f>
        <v/>
      </c>
      <c r="T396">
        <f>HYPERLINK("https://klasma.github.io/Logging_0461/kartor/A 61986-2022 karta.png", "A 61986-2022")</f>
        <v/>
      </c>
      <c r="V396">
        <f>HYPERLINK("https://klasma.github.io/Logging_0461/klagomål/A 61986-2022 FSC-klagomål.docx", "A 61986-2022")</f>
        <v/>
      </c>
      <c r="W396">
        <f>HYPERLINK("https://klasma.github.io/Logging_0461/klagomålsmail/A 61986-2022 FSC-klagomål mail.docx", "A 61986-2022")</f>
        <v/>
      </c>
      <c r="X396">
        <f>HYPERLINK("https://klasma.github.io/Logging_0461/tillsyn/A 61986-2022 tillsynsbegäran.docx", "A 61986-2022")</f>
        <v/>
      </c>
      <c r="Y396">
        <f>HYPERLINK("https://klasma.github.io/Logging_0461/tillsynsmail/A 61986-2022 tillsynsbegäran mail.docx", "A 61986-2022")</f>
        <v/>
      </c>
    </row>
    <row r="397" ht="15" customHeight="1">
      <c r="A397" t="inlineStr">
        <is>
          <t>A 62007-2022</t>
        </is>
      </c>
      <c r="B397" s="1" t="n">
        <v>44918</v>
      </c>
      <c r="C397" s="1" t="n">
        <v>45353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Orange taggsvamp</t>
        </is>
      </c>
      <c r="S397">
        <f>HYPERLINK("https://klasma.github.io/Logging_0461/artfynd/A 62007-2022 artfynd.xlsx", "A 62007-2022")</f>
        <v/>
      </c>
      <c r="T397">
        <f>HYPERLINK("https://klasma.github.io/Logging_0461/kartor/A 62007-2022 karta.png", "A 62007-2022")</f>
        <v/>
      </c>
      <c r="V397">
        <f>HYPERLINK("https://klasma.github.io/Logging_0461/klagomål/A 62007-2022 FSC-klagomål.docx", "A 62007-2022")</f>
        <v/>
      </c>
      <c r="W397">
        <f>HYPERLINK("https://klasma.github.io/Logging_0461/klagomålsmail/A 62007-2022 FSC-klagomål mail.docx", "A 62007-2022")</f>
        <v/>
      </c>
      <c r="X397">
        <f>HYPERLINK("https://klasma.github.io/Logging_0461/tillsyn/A 62007-2022 tillsynsbegäran.docx", "A 62007-2022")</f>
        <v/>
      </c>
      <c r="Y397">
        <f>HYPERLINK("https://klasma.github.io/Logging_0461/tillsynsmail/A 62007-2022 tillsynsbegäran mail.docx", "A 62007-2022")</f>
        <v/>
      </c>
    </row>
    <row r="398" ht="15" customHeight="1">
      <c r="A398" t="inlineStr">
        <is>
          <t>A 692-2023</t>
        </is>
      </c>
      <c r="B398" s="1" t="n">
        <v>44930</v>
      </c>
      <c r="C398" s="1" t="n">
        <v>45353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19.8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Åttafläckig praktbagge</t>
        </is>
      </c>
      <c r="S398">
        <f>HYPERLINK("https://klasma.github.io/Logging_0486/artfynd/A 692-2023 artfynd.xlsx", "A 692-2023")</f>
        <v/>
      </c>
      <c r="T398">
        <f>HYPERLINK("https://klasma.github.io/Logging_0486/kartor/A 692-2023 karta.png", "A 692-2023")</f>
        <v/>
      </c>
      <c r="V398">
        <f>HYPERLINK("https://klasma.github.io/Logging_0486/klagomål/A 692-2023 FSC-klagomål.docx", "A 692-2023")</f>
        <v/>
      </c>
      <c r="W398">
        <f>HYPERLINK("https://klasma.github.io/Logging_0486/klagomålsmail/A 692-2023 FSC-klagomål mail.docx", "A 692-2023")</f>
        <v/>
      </c>
      <c r="X398">
        <f>HYPERLINK("https://klasma.github.io/Logging_0486/tillsyn/A 692-2023 tillsynsbegäran.docx", "A 692-2023")</f>
        <v/>
      </c>
      <c r="Y398">
        <f>HYPERLINK("https://klasma.github.io/Logging_0486/tillsynsmail/A 692-2023 tillsynsbegäran mail.docx", "A 692-2023")</f>
        <v/>
      </c>
    </row>
    <row r="399" ht="15" customHeight="1">
      <c r="A399" t="inlineStr">
        <is>
          <t>A 882-2023</t>
        </is>
      </c>
      <c r="B399" s="1" t="n">
        <v>44931</v>
      </c>
      <c r="C399" s="1" t="n">
        <v>45353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Aspvedgnagare</t>
        </is>
      </c>
      <c r="S399">
        <f>HYPERLINK("https://klasma.github.io/Logging_0482/artfynd/A 882-2023 artfynd.xlsx", "A 882-2023")</f>
        <v/>
      </c>
      <c r="T399">
        <f>HYPERLINK("https://klasma.github.io/Logging_0482/kartor/A 882-2023 karta.png", "A 882-2023")</f>
        <v/>
      </c>
      <c r="V399">
        <f>HYPERLINK("https://klasma.github.io/Logging_0482/klagomål/A 882-2023 FSC-klagomål.docx", "A 882-2023")</f>
        <v/>
      </c>
      <c r="W399">
        <f>HYPERLINK("https://klasma.github.io/Logging_0482/klagomålsmail/A 882-2023 FSC-klagomål mail.docx", "A 882-2023")</f>
        <v/>
      </c>
      <c r="X399">
        <f>HYPERLINK("https://klasma.github.io/Logging_0482/tillsyn/A 882-2023 tillsynsbegäran.docx", "A 882-2023")</f>
        <v/>
      </c>
      <c r="Y399">
        <f>HYPERLINK("https://klasma.github.io/Logging_0482/tillsynsmail/A 882-2023 tillsynsbegäran mail.docx", "A 882-2023")</f>
        <v/>
      </c>
    </row>
    <row r="400" ht="15" customHeight="1">
      <c r="A400" t="inlineStr">
        <is>
          <t>A 2303-2023</t>
        </is>
      </c>
      <c r="B400" s="1" t="n">
        <v>44942</v>
      </c>
      <c r="C400" s="1" t="n">
        <v>45353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7.1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HYPERLINK("https://klasma.github.io/Logging_0486/artfynd/A 2303-2023 artfynd.xlsx", "A 2303-2023")</f>
        <v/>
      </c>
      <c r="T400">
        <f>HYPERLINK("https://klasma.github.io/Logging_0486/kartor/A 2303-2023 karta.png", "A 2303-2023")</f>
        <v/>
      </c>
      <c r="V400">
        <f>HYPERLINK("https://klasma.github.io/Logging_0486/klagomål/A 2303-2023 FSC-klagomål.docx", "A 2303-2023")</f>
        <v/>
      </c>
      <c r="W400">
        <f>HYPERLINK("https://klasma.github.io/Logging_0486/klagomålsmail/A 2303-2023 FSC-klagomål mail.docx", "A 2303-2023")</f>
        <v/>
      </c>
      <c r="X400">
        <f>HYPERLINK("https://klasma.github.io/Logging_0486/tillsyn/A 2303-2023 tillsynsbegäran.docx", "A 2303-2023")</f>
        <v/>
      </c>
      <c r="Y400">
        <f>HYPERLINK("https://klasma.github.io/Logging_0486/tillsynsmail/A 2303-2023 tillsynsbegäran mail.docx", "A 2303-2023")</f>
        <v/>
      </c>
    </row>
    <row r="401" ht="15" customHeight="1">
      <c r="A401" t="inlineStr">
        <is>
          <t>A 2842-2023</t>
        </is>
      </c>
      <c r="B401" s="1" t="n">
        <v>44945</v>
      </c>
      <c r="C401" s="1" t="n">
        <v>45353</v>
      </c>
      <c r="D401" t="inlineStr">
        <is>
          <t>SÖDERMANLANDS LÄN</t>
        </is>
      </c>
      <c r="E401" t="inlineStr">
        <is>
          <t>NYKÖPING</t>
        </is>
      </c>
      <c r="G401" t="n">
        <v>6.7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Svavelriska</t>
        </is>
      </c>
      <c r="S401">
        <f>HYPERLINK("https://klasma.github.io/Logging_0480/artfynd/A 2842-2023 artfynd.xlsx", "A 2842-2023")</f>
        <v/>
      </c>
      <c r="T401">
        <f>HYPERLINK("https://klasma.github.io/Logging_0480/kartor/A 2842-2023 karta.png", "A 2842-2023")</f>
        <v/>
      </c>
      <c r="V401">
        <f>HYPERLINK("https://klasma.github.io/Logging_0480/klagomål/A 2842-2023 FSC-klagomål.docx", "A 2842-2023")</f>
        <v/>
      </c>
      <c r="W401">
        <f>HYPERLINK("https://klasma.github.io/Logging_0480/klagomålsmail/A 2842-2023 FSC-klagomål mail.docx", "A 2842-2023")</f>
        <v/>
      </c>
      <c r="X401">
        <f>HYPERLINK("https://klasma.github.io/Logging_0480/tillsyn/A 2842-2023 tillsynsbegäran.docx", "A 2842-2023")</f>
        <v/>
      </c>
      <c r="Y401">
        <f>HYPERLINK("https://klasma.github.io/Logging_0480/tillsynsmail/A 2842-2023 tillsynsbegäran mail.docx", "A 2842-2023")</f>
        <v/>
      </c>
    </row>
    <row r="402" ht="15" customHeight="1">
      <c r="A402" t="inlineStr">
        <is>
          <t>A 4551-2023</t>
        </is>
      </c>
      <c r="B402" s="1" t="n">
        <v>44956</v>
      </c>
      <c r="C402" s="1" t="n">
        <v>45353</v>
      </c>
      <c r="D402" t="inlineStr">
        <is>
          <t>SÖDERMANLANDS LÄN</t>
        </is>
      </c>
      <c r="E402" t="inlineStr">
        <is>
          <t>FLEN</t>
        </is>
      </c>
      <c r="G402" t="n">
        <v>6.6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Krusfrö</t>
        </is>
      </c>
      <c r="S402">
        <f>HYPERLINK("https://klasma.github.io/Logging_0482/artfynd/A 4551-2023 artfynd.xlsx", "A 4551-2023")</f>
        <v/>
      </c>
      <c r="T402">
        <f>HYPERLINK("https://klasma.github.io/Logging_0482/kartor/A 4551-2023 karta.png", "A 4551-2023")</f>
        <v/>
      </c>
      <c r="V402">
        <f>HYPERLINK("https://klasma.github.io/Logging_0482/klagomål/A 4551-2023 FSC-klagomål.docx", "A 4551-2023")</f>
        <v/>
      </c>
      <c r="W402">
        <f>HYPERLINK("https://klasma.github.io/Logging_0482/klagomålsmail/A 4551-2023 FSC-klagomål mail.docx", "A 4551-2023")</f>
        <v/>
      </c>
      <c r="X402">
        <f>HYPERLINK("https://klasma.github.io/Logging_0482/tillsyn/A 4551-2023 tillsynsbegäran.docx", "A 4551-2023")</f>
        <v/>
      </c>
      <c r="Y402">
        <f>HYPERLINK("https://klasma.github.io/Logging_0482/tillsynsmail/A 4551-2023 tillsynsbegäran mail.docx", "A 4551-2023")</f>
        <v/>
      </c>
    </row>
    <row r="403" ht="15" customHeight="1">
      <c r="A403" t="inlineStr">
        <is>
          <t>A 4699-2023</t>
        </is>
      </c>
      <c r="B403" s="1" t="n">
        <v>44957</v>
      </c>
      <c r="C403" s="1" t="n">
        <v>45353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Gullviva</t>
        </is>
      </c>
      <c r="S403">
        <f>HYPERLINK("https://klasma.github.io/Logging_0482/artfynd/A 4699-2023 artfynd.xlsx", "A 4699-2023")</f>
        <v/>
      </c>
      <c r="T403">
        <f>HYPERLINK("https://klasma.github.io/Logging_0482/kartor/A 4699-2023 karta.png", "A 4699-2023")</f>
        <v/>
      </c>
      <c r="V403">
        <f>HYPERLINK("https://klasma.github.io/Logging_0482/klagomål/A 4699-2023 FSC-klagomål.docx", "A 4699-2023")</f>
        <v/>
      </c>
      <c r="W403">
        <f>HYPERLINK("https://klasma.github.io/Logging_0482/klagomålsmail/A 4699-2023 FSC-klagomål mail.docx", "A 4699-2023")</f>
        <v/>
      </c>
      <c r="X403">
        <f>HYPERLINK("https://klasma.github.io/Logging_0482/tillsyn/A 4699-2023 tillsynsbegäran.docx", "A 4699-2023")</f>
        <v/>
      </c>
      <c r="Y403">
        <f>HYPERLINK("https://klasma.github.io/Logging_0482/tillsynsmail/A 4699-2023 tillsynsbegäran mail.docx", "A 4699-2023")</f>
        <v/>
      </c>
    </row>
    <row r="404" ht="15" customHeight="1">
      <c r="A404" t="inlineStr">
        <is>
          <t>A 6395-2023</t>
        </is>
      </c>
      <c r="B404" s="1" t="n">
        <v>44965</v>
      </c>
      <c r="C404" s="1" t="n">
        <v>45353</v>
      </c>
      <c r="D404" t="inlineStr">
        <is>
          <t>SÖDERMANLANDS LÄN</t>
        </is>
      </c>
      <c r="E404" t="inlineStr">
        <is>
          <t>GNESTA</t>
        </is>
      </c>
      <c r="G404" t="n">
        <v>5.1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HYPERLINK("https://klasma.github.io/Logging_0461/artfynd/A 6395-2023 artfynd.xlsx", "A 6395-2023")</f>
        <v/>
      </c>
      <c r="T404">
        <f>HYPERLINK("https://klasma.github.io/Logging_0461/kartor/A 6395-2023 karta.png", "A 6395-2023")</f>
        <v/>
      </c>
      <c r="V404">
        <f>HYPERLINK("https://klasma.github.io/Logging_0461/klagomål/A 6395-2023 FSC-klagomål.docx", "A 6395-2023")</f>
        <v/>
      </c>
      <c r="W404">
        <f>HYPERLINK("https://klasma.github.io/Logging_0461/klagomålsmail/A 6395-2023 FSC-klagomål mail.docx", "A 6395-2023")</f>
        <v/>
      </c>
      <c r="X404">
        <f>HYPERLINK("https://klasma.github.io/Logging_0461/tillsyn/A 6395-2023 tillsynsbegäran.docx", "A 6395-2023")</f>
        <v/>
      </c>
      <c r="Y404">
        <f>HYPERLINK("https://klasma.github.io/Logging_0461/tillsynsmail/A 6395-2023 tillsynsbegäran mail.docx", "A 6395-2023")</f>
        <v/>
      </c>
    </row>
    <row r="405" ht="15" customHeight="1">
      <c r="A405" t="inlineStr">
        <is>
          <t>A 7506-2023</t>
        </is>
      </c>
      <c r="B405" s="1" t="n">
        <v>44971</v>
      </c>
      <c r="C405" s="1" t="n">
        <v>45353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HYPERLINK("https://klasma.github.io/Logging_0482/artfynd/A 7506-2023 artfynd.xlsx", "A 7506-2023")</f>
        <v/>
      </c>
      <c r="T405">
        <f>HYPERLINK("https://klasma.github.io/Logging_0482/kartor/A 7506-2023 karta.png", "A 7506-2023")</f>
        <v/>
      </c>
      <c r="V405">
        <f>HYPERLINK("https://klasma.github.io/Logging_0482/klagomål/A 7506-2023 FSC-klagomål.docx", "A 7506-2023")</f>
        <v/>
      </c>
      <c r="W405">
        <f>HYPERLINK("https://klasma.github.io/Logging_0482/klagomålsmail/A 7506-2023 FSC-klagomål mail.docx", "A 7506-2023")</f>
        <v/>
      </c>
      <c r="X405">
        <f>HYPERLINK("https://klasma.github.io/Logging_0482/tillsyn/A 7506-2023 tillsynsbegäran.docx", "A 7506-2023")</f>
        <v/>
      </c>
      <c r="Y405">
        <f>HYPERLINK("https://klasma.github.io/Logging_0482/tillsynsmail/A 7506-2023 tillsynsbegäran mail.docx", "A 7506-2023")</f>
        <v/>
      </c>
    </row>
    <row r="406" ht="15" customHeight="1">
      <c r="A406" t="inlineStr">
        <is>
          <t>A 7681-2023</t>
        </is>
      </c>
      <c r="B406" s="1" t="n">
        <v>44972</v>
      </c>
      <c r="C406" s="1" t="n">
        <v>45353</v>
      </c>
      <c r="D406" t="inlineStr">
        <is>
          <t>SÖDERMANLANDS LÄN</t>
        </is>
      </c>
      <c r="E406" t="inlineStr">
        <is>
          <t>GNESTA</t>
        </is>
      </c>
      <c r="G406" t="n">
        <v>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HYPERLINK("https://klasma.github.io/Logging_0461/artfynd/A 7681-2023 artfynd.xlsx", "A 7681-2023")</f>
        <v/>
      </c>
      <c r="T406">
        <f>HYPERLINK("https://klasma.github.io/Logging_0461/kartor/A 7681-2023 karta.png", "A 7681-2023")</f>
        <v/>
      </c>
      <c r="V406">
        <f>HYPERLINK("https://klasma.github.io/Logging_0461/klagomål/A 7681-2023 FSC-klagomål.docx", "A 7681-2023")</f>
        <v/>
      </c>
      <c r="W406">
        <f>HYPERLINK("https://klasma.github.io/Logging_0461/klagomålsmail/A 7681-2023 FSC-klagomål mail.docx", "A 7681-2023")</f>
        <v/>
      </c>
      <c r="X406">
        <f>HYPERLINK("https://klasma.github.io/Logging_0461/tillsyn/A 7681-2023 tillsynsbegäran.docx", "A 7681-2023")</f>
        <v/>
      </c>
      <c r="Y406">
        <f>HYPERLINK("https://klasma.github.io/Logging_0461/tillsynsmail/A 7681-2023 tillsynsbegäran mail.docx", "A 7681-2023")</f>
        <v/>
      </c>
    </row>
    <row r="407" ht="15" customHeight="1">
      <c r="A407" t="inlineStr">
        <is>
          <t>A 7661-2023</t>
        </is>
      </c>
      <c r="B407" s="1" t="n">
        <v>44972</v>
      </c>
      <c r="C407" s="1" t="n">
        <v>45353</v>
      </c>
      <c r="D407" t="inlineStr">
        <is>
          <t>SÖDERMANLANDS LÄN</t>
        </is>
      </c>
      <c r="E407" t="inlineStr">
        <is>
          <t>GNESTA</t>
        </is>
      </c>
      <c r="G407" t="n">
        <v>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7661-2023 artfynd.xlsx", "A 7661-2023")</f>
        <v/>
      </c>
      <c r="T407">
        <f>HYPERLINK("https://klasma.github.io/Logging_0461/kartor/A 7661-2023 karta.png", "A 7661-2023")</f>
        <v/>
      </c>
      <c r="V407">
        <f>HYPERLINK("https://klasma.github.io/Logging_0461/klagomål/A 7661-2023 FSC-klagomål.docx", "A 7661-2023")</f>
        <v/>
      </c>
      <c r="W407">
        <f>HYPERLINK("https://klasma.github.io/Logging_0461/klagomålsmail/A 7661-2023 FSC-klagomål mail.docx", "A 7661-2023")</f>
        <v/>
      </c>
      <c r="X407">
        <f>HYPERLINK("https://klasma.github.io/Logging_0461/tillsyn/A 7661-2023 tillsynsbegäran.docx", "A 7661-2023")</f>
        <v/>
      </c>
      <c r="Y407">
        <f>HYPERLINK("https://klasma.github.io/Logging_0461/tillsynsmail/A 7661-2023 tillsynsbegäran mail.docx", "A 7661-2023")</f>
        <v/>
      </c>
    </row>
    <row r="408" ht="15" customHeight="1">
      <c r="A408" t="inlineStr">
        <is>
          <t>A 7741-2023</t>
        </is>
      </c>
      <c r="B408" s="1" t="n">
        <v>44973</v>
      </c>
      <c r="C408" s="1" t="n">
        <v>45353</v>
      </c>
      <c r="D408" t="inlineStr">
        <is>
          <t>SÖDERMANLANDS LÄN</t>
        </is>
      </c>
      <c r="E408" t="inlineStr">
        <is>
          <t>GNESTA</t>
        </is>
      </c>
      <c r="G408" t="n">
        <v>3.4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7741-2023 artfynd.xlsx", "A 7741-2023")</f>
        <v/>
      </c>
      <c r="T408">
        <f>HYPERLINK("https://klasma.github.io/Logging_0461/kartor/A 7741-2023 karta.png", "A 7741-2023")</f>
        <v/>
      </c>
      <c r="V408">
        <f>HYPERLINK("https://klasma.github.io/Logging_0461/klagomål/A 7741-2023 FSC-klagomål.docx", "A 7741-2023")</f>
        <v/>
      </c>
      <c r="W408">
        <f>HYPERLINK("https://klasma.github.io/Logging_0461/klagomålsmail/A 7741-2023 FSC-klagomål mail.docx", "A 7741-2023")</f>
        <v/>
      </c>
      <c r="X408">
        <f>HYPERLINK("https://klasma.github.io/Logging_0461/tillsyn/A 7741-2023 tillsynsbegäran.docx", "A 7741-2023")</f>
        <v/>
      </c>
      <c r="Y408">
        <f>HYPERLINK("https://klasma.github.io/Logging_0461/tillsynsmail/A 7741-2023 tillsynsbegäran mail.docx", "A 7741-2023")</f>
        <v/>
      </c>
    </row>
    <row r="409" ht="15" customHeight="1">
      <c r="A409" t="inlineStr">
        <is>
          <t>A 8019-2023</t>
        </is>
      </c>
      <c r="B409" s="1" t="n">
        <v>44973</v>
      </c>
      <c r="C409" s="1" t="n">
        <v>45353</v>
      </c>
      <c r="D409" t="inlineStr">
        <is>
          <t>SÖDERMANLANDS LÄN</t>
        </is>
      </c>
      <c r="E409" t="inlineStr">
        <is>
          <t>GNESTA</t>
        </is>
      </c>
      <c r="G409" t="n">
        <v>3.9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Klasefibbla</t>
        </is>
      </c>
      <c r="S409">
        <f>HYPERLINK("https://klasma.github.io/Logging_0461/artfynd/A 8019-2023 artfynd.xlsx", "A 8019-2023")</f>
        <v/>
      </c>
      <c r="T409">
        <f>HYPERLINK("https://klasma.github.io/Logging_0461/kartor/A 8019-2023 karta.png", "A 8019-2023")</f>
        <v/>
      </c>
      <c r="V409">
        <f>HYPERLINK("https://klasma.github.io/Logging_0461/klagomål/A 8019-2023 FSC-klagomål.docx", "A 8019-2023")</f>
        <v/>
      </c>
      <c r="W409">
        <f>HYPERLINK("https://klasma.github.io/Logging_0461/klagomålsmail/A 8019-2023 FSC-klagomål mail.docx", "A 8019-2023")</f>
        <v/>
      </c>
      <c r="X409">
        <f>HYPERLINK("https://klasma.github.io/Logging_0461/tillsyn/A 8019-2023 tillsynsbegäran.docx", "A 8019-2023")</f>
        <v/>
      </c>
      <c r="Y409">
        <f>HYPERLINK("https://klasma.github.io/Logging_0461/tillsynsmail/A 8019-2023 tillsynsbegäran mail.docx", "A 8019-2023")</f>
        <v/>
      </c>
    </row>
    <row r="410" ht="15" customHeight="1">
      <c r="A410" t="inlineStr">
        <is>
          <t>A 9303-2023</t>
        </is>
      </c>
      <c r="B410" s="1" t="n">
        <v>44980</v>
      </c>
      <c r="C410" s="1" t="n">
        <v>45353</v>
      </c>
      <c r="D410" t="inlineStr">
        <is>
          <t>SÖDERMANLANDS LÄN</t>
        </is>
      </c>
      <c r="E410" t="inlineStr">
        <is>
          <t>GNESTA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Zontaggsvamp</t>
        </is>
      </c>
      <c r="S410">
        <f>HYPERLINK("https://klasma.github.io/Logging_0461/artfynd/A 9303-2023 artfynd.xlsx", "A 9303-2023")</f>
        <v/>
      </c>
      <c r="T410">
        <f>HYPERLINK("https://klasma.github.io/Logging_0461/kartor/A 9303-2023 karta.png", "A 9303-2023")</f>
        <v/>
      </c>
      <c r="V410">
        <f>HYPERLINK("https://klasma.github.io/Logging_0461/klagomål/A 9303-2023 FSC-klagomål.docx", "A 9303-2023")</f>
        <v/>
      </c>
      <c r="W410">
        <f>HYPERLINK("https://klasma.github.io/Logging_0461/klagomålsmail/A 9303-2023 FSC-klagomål mail.docx", "A 9303-2023")</f>
        <v/>
      </c>
      <c r="X410">
        <f>HYPERLINK("https://klasma.github.io/Logging_0461/tillsyn/A 9303-2023 tillsynsbegäran.docx", "A 9303-2023")</f>
        <v/>
      </c>
      <c r="Y410">
        <f>HYPERLINK("https://klasma.github.io/Logging_0461/tillsynsmail/A 9303-2023 tillsynsbegäran mail.docx", "A 9303-2023")</f>
        <v/>
      </c>
    </row>
    <row r="411" ht="15" customHeight="1">
      <c r="A411" t="inlineStr">
        <is>
          <t>A 9645-2023</t>
        </is>
      </c>
      <c r="B411" s="1" t="n">
        <v>44984</v>
      </c>
      <c r="C411" s="1" t="n">
        <v>45353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Skogsduva</t>
        </is>
      </c>
      <c r="S411">
        <f>HYPERLINK("https://klasma.github.io/Logging_0484/artfynd/A 9645-2023 artfynd.xlsx", "A 9645-2023")</f>
        <v/>
      </c>
      <c r="T411">
        <f>HYPERLINK("https://klasma.github.io/Logging_0484/kartor/A 9645-2023 karta.png", "A 9645-2023")</f>
        <v/>
      </c>
      <c r="V411">
        <f>HYPERLINK("https://klasma.github.io/Logging_0484/klagomål/A 9645-2023 FSC-klagomål.docx", "A 9645-2023")</f>
        <v/>
      </c>
      <c r="W411">
        <f>HYPERLINK("https://klasma.github.io/Logging_0484/klagomålsmail/A 9645-2023 FSC-klagomål mail.docx", "A 9645-2023")</f>
        <v/>
      </c>
      <c r="X411">
        <f>HYPERLINK("https://klasma.github.io/Logging_0484/tillsyn/A 9645-2023 tillsynsbegäran.docx", "A 9645-2023")</f>
        <v/>
      </c>
      <c r="Y411">
        <f>HYPERLINK("https://klasma.github.io/Logging_0484/tillsynsmail/A 9645-2023 tillsynsbegäran mail.docx", "A 9645-2023")</f>
        <v/>
      </c>
      <c r="Z411">
        <f>HYPERLINK("https://klasma.github.io/Logging_0484/fåglar/A 9645-2023 prioriterade fågelarter.docx", "A 9645-2023")</f>
        <v/>
      </c>
    </row>
    <row r="412" ht="15" customHeight="1">
      <c r="A412" t="inlineStr">
        <is>
          <t>A 10107-2023</t>
        </is>
      </c>
      <c r="B412" s="1" t="n">
        <v>44986</v>
      </c>
      <c r="C412" s="1" t="n">
        <v>45353</v>
      </c>
      <c r="D412" t="inlineStr">
        <is>
          <t>SÖDERMANLANDS LÄN</t>
        </is>
      </c>
      <c r="E412" t="inlineStr">
        <is>
          <t>FLEN</t>
        </is>
      </c>
      <c r="G412" t="n">
        <v>21.1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Bombmurkla</t>
        </is>
      </c>
      <c r="S412">
        <f>HYPERLINK("https://klasma.github.io/Logging_0482/artfynd/A 10107-2023 artfynd.xlsx", "A 10107-2023")</f>
        <v/>
      </c>
      <c r="T412">
        <f>HYPERLINK("https://klasma.github.io/Logging_0482/kartor/A 10107-2023 karta.png", "A 10107-2023")</f>
        <v/>
      </c>
      <c r="V412">
        <f>HYPERLINK("https://klasma.github.io/Logging_0482/klagomål/A 10107-2023 FSC-klagomål.docx", "A 10107-2023")</f>
        <v/>
      </c>
      <c r="W412">
        <f>HYPERLINK("https://klasma.github.io/Logging_0482/klagomålsmail/A 10107-2023 FSC-klagomål mail.docx", "A 10107-2023")</f>
        <v/>
      </c>
      <c r="X412">
        <f>HYPERLINK("https://klasma.github.io/Logging_0482/tillsyn/A 10107-2023 tillsynsbegäran.docx", "A 10107-2023")</f>
        <v/>
      </c>
      <c r="Y412">
        <f>HYPERLINK("https://klasma.github.io/Logging_0482/tillsynsmail/A 10107-2023 tillsynsbegäran mail.docx", "A 10107-2023")</f>
        <v/>
      </c>
    </row>
    <row r="413" ht="15" customHeight="1">
      <c r="A413" t="inlineStr">
        <is>
          <t>A 12238-2023</t>
        </is>
      </c>
      <c r="B413" s="1" t="n">
        <v>44995</v>
      </c>
      <c r="C413" s="1" t="n">
        <v>45353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Övriga Aktiebolag</t>
        </is>
      </c>
      <c r="G413" t="n">
        <v>58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HYPERLINK("https://klasma.github.io/Logging_0483/artfynd/A 12238-2023 artfynd.xlsx", "A 12238-2023")</f>
        <v/>
      </c>
      <c r="T413">
        <f>HYPERLINK("https://klasma.github.io/Logging_0483/kartor/A 12238-2023 karta.png", "A 12238-2023")</f>
        <v/>
      </c>
      <c r="V413">
        <f>HYPERLINK("https://klasma.github.io/Logging_0483/klagomål/A 12238-2023 FSC-klagomål.docx", "A 12238-2023")</f>
        <v/>
      </c>
      <c r="W413">
        <f>HYPERLINK("https://klasma.github.io/Logging_0483/klagomålsmail/A 12238-2023 FSC-klagomål mail.docx", "A 12238-2023")</f>
        <v/>
      </c>
      <c r="X413">
        <f>HYPERLINK("https://klasma.github.io/Logging_0483/tillsyn/A 12238-2023 tillsynsbegäran.docx", "A 12238-2023")</f>
        <v/>
      </c>
      <c r="Y413">
        <f>HYPERLINK("https://klasma.github.io/Logging_0483/tillsynsmail/A 12238-2023 tillsynsbegäran mail.docx", "A 12238-2023")</f>
        <v/>
      </c>
    </row>
    <row r="414" ht="15" customHeight="1">
      <c r="A414" t="inlineStr">
        <is>
          <t>A 12174-2023</t>
        </is>
      </c>
      <c r="B414" s="1" t="n">
        <v>44995</v>
      </c>
      <c r="C414" s="1" t="n">
        <v>45353</v>
      </c>
      <c r="D414" t="inlineStr">
        <is>
          <t>SÖDERMANLANDS LÄN</t>
        </is>
      </c>
      <c r="E414" t="inlineStr">
        <is>
          <t>GNESTA</t>
        </is>
      </c>
      <c r="G414" t="n">
        <v>11.2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Klasefibbla</t>
        </is>
      </c>
      <c r="S414">
        <f>HYPERLINK("https://klasma.github.io/Logging_0461/artfynd/A 12174-2023 artfynd.xlsx", "A 12174-2023")</f>
        <v/>
      </c>
      <c r="T414">
        <f>HYPERLINK("https://klasma.github.io/Logging_0461/kartor/A 12174-2023 karta.png", "A 12174-2023")</f>
        <v/>
      </c>
      <c r="V414">
        <f>HYPERLINK("https://klasma.github.io/Logging_0461/klagomål/A 12174-2023 FSC-klagomål.docx", "A 12174-2023")</f>
        <v/>
      </c>
      <c r="W414">
        <f>HYPERLINK("https://klasma.github.io/Logging_0461/klagomålsmail/A 12174-2023 FSC-klagomål mail.docx", "A 12174-2023")</f>
        <v/>
      </c>
      <c r="X414">
        <f>HYPERLINK("https://klasma.github.io/Logging_0461/tillsyn/A 12174-2023 tillsynsbegäran.docx", "A 12174-2023")</f>
        <v/>
      </c>
      <c r="Y414">
        <f>HYPERLINK("https://klasma.github.io/Logging_0461/tillsynsmail/A 12174-2023 tillsynsbegäran mail.docx", "A 12174-2023")</f>
        <v/>
      </c>
    </row>
    <row r="415" ht="15" customHeight="1">
      <c r="A415" t="inlineStr">
        <is>
          <t>A 11890-2023</t>
        </is>
      </c>
      <c r="B415" s="1" t="n">
        <v>44995</v>
      </c>
      <c r="C415" s="1" t="n">
        <v>45353</v>
      </c>
      <c r="D415" t="inlineStr">
        <is>
          <t>SÖDERMANLANDS LÄN</t>
        </is>
      </c>
      <c r="E415" t="inlineStr">
        <is>
          <t>KATRINEHOLM</t>
        </is>
      </c>
      <c r="F415" t="inlineStr">
        <is>
          <t>Kommuner</t>
        </is>
      </c>
      <c r="G415" t="n">
        <v>6.7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Skogsknipprot</t>
        </is>
      </c>
      <c r="S415">
        <f>HYPERLINK("https://klasma.github.io/Logging_0483/artfynd/A 11890-2023 artfynd.xlsx", "A 11890-2023")</f>
        <v/>
      </c>
      <c r="T415">
        <f>HYPERLINK("https://klasma.github.io/Logging_0483/kartor/A 11890-2023 karta.png", "A 11890-2023")</f>
        <v/>
      </c>
      <c r="V415">
        <f>HYPERLINK("https://klasma.github.io/Logging_0483/klagomål/A 11890-2023 FSC-klagomål.docx", "A 11890-2023")</f>
        <v/>
      </c>
      <c r="W415">
        <f>HYPERLINK("https://klasma.github.io/Logging_0483/klagomålsmail/A 11890-2023 FSC-klagomål mail.docx", "A 11890-2023")</f>
        <v/>
      </c>
      <c r="X415">
        <f>HYPERLINK("https://klasma.github.io/Logging_0483/tillsyn/A 11890-2023 tillsynsbegäran.docx", "A 11890-2023")</f>
        <v/>
      </c>
      <c r="Y415">
        <f>HYPERLINK("https://klasma.github.io/Logging_0483/tillsynsmail/A 11890-2023 tillsynsbegäran mail.docx", "A 11890-2023")</f>
        <v/>
      </c>
    </row>
    <row r="416" ht="15" customHeight="1">
      <c r="A416" t="inlineStr">
        <is>
          <t>A 12891-2023</t>
        </is>
      </c>
      <c r="B416" s="1" t="n">
        <v>45001</v>
      </c>
      <c r="C416" s="1" t="n">
        <v>45353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6.9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HYPERLINK("https://klasma.github.io/Logging_0480/artfynd/A 12891-2023 artfynd.xlsx", "A 12891-2023")</f>
        <v/>
      </c>
      <c r="T416">
        <f>HYPERLINK("https://klasma.github.io/Logging_0480/kartor/A 12891-2023 karta.png", "A 12891-2023")</f>
        <v/>
      </c>
      <c r="V416">
        <f>HYPERLINK("https://klasma.github.io/Logging_0480/klagomål/A 12891-2023 FSC-klagomål.docx", "A 12891-2023")</f>
        <v/>
      </c>
      <c r="W416">
        <f>HYPERLINK("https://klasma.github.io/Logging_0480/klagomålsmail/A 12891-2023 FSC-klagomål mail.docx", "A 12891-2023")</f>
        <v/>
      </c>
      <c r="X416">
        <f>HYPERLINK("https://klasma.github.io/Logging_0480/tillsyn/A 12891-2023 tillsynsbegäran.docx", "A 12891-2023")</f>
        <v/>
      </c>
      <c r="Y416">
        <f>HYPERLINK("https://klasma.github.io/Logging_0480/tillsynsmail/A 12891-2023 tillsynsbegäran mail.docx", "A 12891-2023")</f>
        <v/>
      </c>
    </row>
    <row r="417" ht="15" customHeight="1">
      <c r="A417" t="inlineStr">
        <is>
          <t>A 14013-2023</t>
        </is>
      </c>
      <c r="B417" s="1" t="n">
        <v>45007</v>
      </c>
      <c r="C417" s="1" t="n">
        <v>45353</v>
      </c>
      <c r="D417" t="inlineStr">
        <is>
          <t>SÖDERMANLANDS LÄN</t>
        </is>
      </c>
      <c r="E417" t="inlineStr">
        <is>
          <t>KATRINEHOLM</t>
        </is>
      </c>
      <c r="G417" t="n">
        <v>10.8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Grönsångare</t>
        </is>
      </c>
      <c r="S417">
        <f>HYPERLINK("https://klasma.github.io/Logging_0483/artfynd/A 14013-2023 artfynd.xlsx", "A 14013-2023")</f>
        <v/>
      </c>
      <c r="T417">
        <f>HYPERLINK("https://klasma.github.io/Logging_0483/kartor/A 14013-2023 karta.png", "A 14013-2023")</f>
        <v/>
      </c>
      <c r="V417">
        <f>HYPERLINK("https://klasma.github.io/Logging_0483/klagomål/A 14013-2023 FSC-klagomål.docx", "A 14013-2023")</f>
        <v/>
      </c>
      <c r="W417">
        <f>HYPERLINK("https://klasma.github.io/Logging_0483/klagomålsmail/A 14013-2023 FSC-klagomål mail.docx", "A 14013-2023")</f>
        <v/>
      </c>
      <c r="X417">
        <f>HYPERLINK("https://klasma.github.io/Logging_0483/tillsyn/A 14013-2023 tillsynsbegäran.docx", "A 14013-2023")</f>
        <v/>
      </c>
      <c r="Y417">
        <f>HYPERLINK("https://klasma.github.io/Logging_0483/tillsynsmail/A 14013-2023 tillsynsbegäran mail.docx", "A 14013-2023")</f>
        <v/>
      </c>
    </row>
    <row r="418" ht="15" customHeight="1">
      <c r="A418" t="inlineStr">
        <is>
          <t>A 14327-2023</t>
        </is>
      </c>
      <c r="B418" s="1" t="n">
        <v>45012</v>
      </c>
      <c r="C418" s="1" t="n">
        <v>45353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2.6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HYPERLINK("https://klasma.github.io/Logging_0484/artfynd/A 14327-2023 artfynd.xlsx", "A 14327-2023")</f>
        <v/>
      </c>
      <c r="T418">
        <f>HYPERLINK("https://klasma.github.io/Logging_0484/kartor/A 14327-2023 karta.png", "A 14327-2023")</f>
        <v/>
      </c>
      <c r="V418">
        <f>HYPERLINK("https://klasma.github.io/Logging_0484/klagomål/A 14327-2023 FSC-klagomål.docx", "A 14327-2023")</f>
        <v/>
      </c>
      <c r="W418">
        <f>HYPERLINK("https://klasma.github.io/Logging_0484/klagomålsmail/A 14327-2023 FSC-klagomål mail.docx", "A 14327-2023")</f>
        <v/>
      </c>
      <c r="X418">
        <f>HYPERLINK("https://klasma.github.io/Logging_0484/tillsyn/A 14327-2023 tillsynsbegäran.docx", "A 14327-2023")</f>
        <v/>
      </c>
      <c r="Y418">
        <f>HYPERLINK("https://klasma.github.io/Logging_0484/tillsynsmail/A 14327-2023 tillsynsbegäran mail.docx", "A 14327-2023")</f>
        <v/>
      </c>
    </row>
    <row r="419" ht="15" customHeight="1">
      <c r="A419" t="inlineStr">
        <is>
          <t>A 19627-2023</t>
        </is>
      </c>
      <c r="B419" s="1" t="n">
        <v>45050</v>
      </c>
      <c r="C419" s="1" t="n">
        <v>45353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HYPERLINK("https://klasma.github.io/Logging_0484/artfynd/A 19627-2023 artfynd.xlsx", "A 19627-2023")</f>
        <v/>
      </c>
      <c r="T419">
        <f>HYPERLINK("https://klasma.github.io/Logging_0484/kartor/A 19627-2023 karta.png", "A 19627-2023")</f>
        <v/>
      </c>
      <c r="V419">
        <f>HYPERLINK("https://klasma.github.io/Logging_0484/klagomål/A 19627-2023 FSC-klagomål.docx", "A 19627-2023")</f>
        <v/>
      </c>
      <c r="W419">
        <f>HYPERLINK("https://klasma.github.io/Logging_0484/klagomålsmail/A 19627-2023 FSC-klagomål mail.docx", "A 19627-2023")</f>
        <v/>
      </c>
      <c r="X419">
        <f>HYPERLINK("https://klasma.github.io/Logging_0484/tillsyn/A 19627-2023 tillsynsbegäran.docx", "A 19627-2023")</f>
        <v/>
      </c>
      <c r="Y419">
        <f>HYPERLINK("https://klasma.github.io/Logging_0484/tillsynsmail/A 19627-2023 tillsynsbegäran mail.docx", "A 19627-2023")</f>
        <v/>
      </c>
    </row>
    <row r="420" ht="15" customHeight="1">
      <c r="A420" t="inlineStr">
        <is>
          <t>A 20325-2023</t>
        </is>
      </c>
      <c r="B420" s="1" t="n">
        <v>45056</v>
      </c>
      <c r="C420" s="1" t="n">
        <v>45353</v>
      </c>
      <c r="D420" t="inlineStr">
        <is>
          <t>SÖDERMANLANDS LÄN</t>
        </is>
      </c>
      <c r="E420" t="inlineStr">
        <is>
          <t>NYKÖPING</t>
        </is>
      </c>
      <c r="G420" t="n">
        <v>0.2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Kamjordstjärna</t>
        </is>
      </c>
      <c r="S420">
        <f>HYPERLINK("https://klasma.github.io/Logging_0480/artfynd/A 20325-2023 artfynd.xlsx", "A 20325-2023")</f>
        <v/>
      </c>
      <c r="T420">
        <f>HYPERLINK("https://klasma.github.io/Logging_0480/kartor/A 20325-2023 karta.png", "A 20325-2023")</f>
        <v/>
      </c>
      <c r="V420">
        <f>HYPERLINK("https://klasma.github.io/Logging_0480/klagomål/A 20325-2023 FSC-klagomål.docx", "A 20325-2023")</f>
        <v/>
      </c>
      <c r="W420">
        <f>HYPERLINK("https://klasma.github.io/Logging_0480/klagomålsmail/A 20325-2023 FSC-klagomål mail.docx", "A 20325-2023")</f>
        <v/>
      </c>
      <c r="X420">
        <f>HYPERLINK("https://klasma.github.io/Logging_0480/tillsyn/A 20325-2023 tillsynsbegäran.docx", "A 20325-2023")</f>
        <v/>
      </c>
      <c r="Y420">
        <f>HYPERLINK("https://klasma.github.io/Logging_0480/tillsynsmail/A 20325-2023 tillsynsbegäran mail.docx", "A 20325-2023")</f>
        <v/>
      </c>
    </row>
    <row r="421" ht="15" customHeight="1">
      <c r="A421" t="inlineStr">
        <is>
          <t>A 23637-2023</t>
        </is>
      </c>
      <c r="B421" s="1" t="n">
        <v>45077</v>
      </c>
      <c r="C421" s="1" t="n">
        <v>45353</v>
      </c>
      <c r="D421" t="inlineStr">
        <is>
          <t>SÖDERMANLANDS LÄN</t>
        </is>
      </c>
      <c r="E421" t="inlineStr">
        <is>
          <t>ESKILSTUNA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Violett fingersvamp</t>
        </is>
      </c>
      <c r="S421">
        <f>HYPERLINK("https://klasma.github.io/Logging_0484/artfynd/A 23637-2023 artfynd.xlsx", "A 23637-2023")</f>
        <v/>
      </c>
      <c r="T421">
        <f>HYPERLINK("https://klasma.github.io/Logging_0484/kartor/A 23637-2023 karta.png", "A 23637-2023")</f>
        <v/>
      </c>
      <c r="V421">
        <f>HYPERLINK("https://klasma.github.io/Logging_0484/klagomål/A 23637-2023 FSC-klagomål.docx", "A 23637-2023")</f>
        <v/>
      </c>
      <c r="W421">
        <f>HYPERLINK("https://klasma.github.io/Logging_0484/klagomålsmail/A 23637-2023 FSC-klagomål mail.docx", "A 23637-2023")</f>
        <v/>
      </c>
      <c r="X421">
        <f>HYPERLINK("https://klasma.github.io/Logging_0484/tillsyn/A 23637-2023 tillsynsbegäran.docx", "A 23637-2023")</f>
        <v/>
      </c>
      <c r="Y421">
        <f>HYPERLINK("https://klasma.github.io/Logging_0484/tillsynsmail/A 23637-2023 tillsynsbegäran mail.docx", "A 23637-2023")</f>
        <v/>
      </c>
    </row>
    <row r="422" ht="15" customHeight="1">
      <c r="A422" t="inlineStr">
        <is>
          <t>A 23568-2023</t>
        </is>
      </c>
      <c r="B422" s="1" t="n">
        <v>45077</v>
      </c>
      <c r="C422" s="1" t="n">
        <v>45353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Fyrflikig jordstjärna</t>
        </is>
      </c>
      <c r="S422">
        <f>HYPERLINK("https://klasma.github.io/Logging_0483/artfynd/A 23568-2023 artfynd.xlsx", "A 23568-2023")</f>
        <v/>
      </c>
      <c r="T422">
        <f>HYPERLINK("https://klasma.github.io/Logging_0483/kartor/A 23568-2023 karta.png", "A 23568-2023")</f>
        <v/>
      </c>
      <c r="V422">
        <f>HYPERLINK("https://klasma.github.io/Logging_0483/klagomål/A 23568-2023 FSC-klagomål.docx", "A 23568-2023")</f>
        <v/>
      </c>
      <c r="W422">
        <f>HYPERLINK("https://klasma.github.io/Logging_0483/klagomålsmail/A 23568-2023 FSC-klagomål mail.docx", "A 23568-2023")</f>
        <v/>
      </c>
      <c r="X422">
        <f>HYPERLINK("https://klasma.github.io/Logging_0483/tillsyn/A 23568-2023 tillsynsbegäran.docx", "A 23568-2023")</f>
        <v/>
      </c>
      <c r="Y422">
        <f>HYPERLINK("https://klasma.github.io/Logging_0483/tillsynsmail/A 23568-2023 tillsynsbegäran mail.docx", "A 23568-2023")</f>
        <v/>
      </c>
    </row>
    <row r="423" ht="15" customHeight="1">
      <c r="A423" t="inlineStr">
        <is>
          <t>A 26114-2023</t>
        </is>
      </c>
      <c r="B423" s="1" t="n">
        <v>45091</v>
      </c>
      <c r="C423" s="1" t="n">
        <v>45353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26114-2023 artfynd.xlsx", "A 26114-2023")</f>
        <v/>
      </c>
      <c r="T423">
        <f>HYPERLINK("https://klasma.github.io/Logging_0484/kartor/A 26114-2023 karta.png", "A 26114-2023")</f>
        <v/>
      </c>
      <c r="V423">
        <f>HYPERLINK("https://klasma.github.io/Logging_0484/klagomål/A 26114-2023 FSC-klagomål.docx", "A 26114-2023")</f>
        <v/>
      </c>
      <c r="W423">
        <f>HYPERLINK("https://klasma.github.io/Logging_0484/klagomålsmail/A 26114-2023 FSC-klagomål mail.docx", "A 26114-2023")</f>
        <v/>
      </c>
      <c r="X423">
        <f>HYPERLINK("https://klasma.github.io/Logging_0484/tillsyn/A 26114-2023 tillsynsbegäran.docx", "A 26114-2023")</f>
        <v/>
      </c>
      <c r="Y423">
        <f>HYPERLINK("https://klasma.github.io/Logging_0484/tillsynsmail/A 26114-2023 tillsynsbegäran mail.docx", "A 26114-2023")</f>
        <v/>
      </c>
    </row>
    <row r="424" ht="15" customHeight="1">
      <c r="A424" t="inlineStr">
        <is>
          <t>A 26133-2023</t>
        </is>
      </c>
      <c r="B424" s="1" t="n">
        <v>45091</v>
      </c>
      <c r="C424" s="1" t="n">
        <v>45353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26133-2023 artfynd.xlsx", "A 26133-2023")</f>
        <v/>
      </c>
      <c r="T424">
        <f>HYPERLINK("https://klasma.github.io/Logging_0484/kartor/A 26133-2023 karta.png", "A 26133-2023")</f>
        <v/>
      </c>
      <c r="V424">
        <f>HYPERLINK("https://klasma.github.io/Logging_0484/klagomål/A 26133-2023 FSC-klagomål.docx", "A 26133-2023")</f>
        <v/>
      </c>
      <c r="W424">
        <f>HYPERLINK("https://klasma.github.io/Logging_0484/klagomålsmail/A 26133-2023 FSC-klagomål mail.docx", "A 26133-2023")</f>
        <v/>
      </c>
      <c r="X424">
        <f>HYPERLINK("https://klasma.github.io/Logging_0484/tillsyn/A 26133-2023 tillsynsbegäran.docx", "A 26133-2023")</f>
        <v/>
      </c>
      <c r="Y424">
        <f>HYPERLINK("https://klasma.github.io/Logging_0484/tillsynsmail/A 26133-2023 tillsynsbegäran mail.docx", "A 26133-2023")</f>
        <v/>
      </c>
    </row>
    <row r="425" ht="15" customHeight="1">
      <c r="A425" t="inlineStr">
        <is>
          <t>A 26099-2023</t>
        </is>
      </c>
      <c r="B425" s="1" t="n">
        <v>45091</v>
      </c>
      <c r="C425" s="1" t="n">
        <v>45353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Tornseglare</t>
        </is>
      </c>
      <c r="S425">
        <f>HYPERLINK("https://klasma.github.io/Logging_0484/artfynd/A 26099-2023 artfynd.xlsx", "A 26099-2023")</f>
        <v/>
      </c>
      <c r="T425">
        <f>HYPERLINK("https://klasma.github.io/Logging_0484/kartor/A 26099-2023 karta.png", "A 26099-2023")</f>
        <v/>
      </c>
      <c r="V425">
        <f>HYPERLINK("https://klasma.github.io/Logging_0484/klagomål/A 26099-2023 FSC-klagomål.docx", "A 26099-2023")</f>
        <v/>
      </c>
      <c r="W425">
        <f>HYPERLINK("https://klasma.github.io/Logging_0484/klagomålsmail/A 26099-2023 FSC-klagomål mail.docx", "A 26099-2023")</f>
        <v/>
      </c>
      <c r="X425">
        <f>HYPERLINK("https://klasma.github.io/Logging_0484/tillsyn/A 26099-2023 tillsynsbegäran.docx", "A 26099-2023")</f>
        <v/>
      </c>
      <c r="Y425">
        <f>HYPERLINK("https://klasma.github.io/Logging_0484/tillsynsmail/A 26099-2023 tillsynsbegäran mail.docx", "A 26099-2023")</f>
        <v/>
      </c>
      <c r="Z425">
        <f>HYPERLINK("https://klasma.github.io/Logging_0484/fåglar/A 26099-2023 prioriterade fågelarter.docx", "A 26099-2023")</f>
        <v/>
      </c>
    </row>
    <row r="426" ht="15" customHeight="1">
      <c r="A426" t="inlineStr">
        <is>
          <t>A 26950-2023</t>
        </is>
      </c>
      <c r="B426" s="1" t="n">
        <v>45091</v>
      </c>
      <c r="C426" s="1" t="n">
        <v>45353</v>
      </c>
      <c r="D426" t="inlineStr">
        <is>
          <t>SÖDERMANLANDS LÄN</t>
        </is>
      </c>
      <c r="E426" t="inlineStr">
        <is>
          <t>KATRINEHOLM</t>
        </is>
      </c>
      <c r="G426" t="n">
        <v>13.5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HYPERLINK("https://klasma.github.io/Logging_0483/artfynd/A 26950-2023 artfynd.xlsx", "A 26950-2023")</f>
        <v/>
      </c>
      <c r="T426">
        <f>HYPERLINK("https://klasma.github.io/Logging_0483/kartor/A 26950-2023 karta.png", "A 26950-2023")</f>
        <v/>
      </c>
      <c r="V426">
        <f>HYPERLINK("https://klasma.github.io/Logging_0483/klagomål/A 26950-2023 FSC-klagomål.docx", "A 26950-2023")</f>
        <v/>
      </c>
      <c r="W426">
        <f>HYPERLINK("https://klasma.github.io/Logging_0483/klagomålsmail/A 26950-2023 FSC-klagomål mail.docx", "A 26950-2023")</f>
        <v/>
      </c>
      <c r="X426">
        <f>HYPERLINK("https://klasma.github.io/Logging_0483/tillsyn/A 26950-2023 tillsynsbegäran.docx", "A 26950-2023")</f>
        <v/>
      </c>
      <c r="Y426">
        <f>HYPERLINK("https://klasma.github.io/Logging_0483/tillsynsmail/A 26950-2023 tillsynsbegäran mail.docx", "A 26950-2023")</f>
        <v/>
      </c>
      <c r="Z426">
        <f>HYPERLINK("https://klasma.github.io/Logging_0483/fåglar/A 26950-2023 prioriterade fågelarter.docx", "A 26950-2023")</f>
        <v/>
      </c>
    </row>
    <row r="427" ht="15" customHeight="1">
      <c r="A427" t="inlineStr">
        <is>
          <t>A 27580-2023</t>
        </is>
      </c>
      <c r="B427" s="1" t="n">
        <v>45097</v>
      </c>
      <c r="C427" s="1" t="n">
        <v>45353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HYPERLINK("https://klasma.github.io/Logging_0484/artfynd/A 27580-2023 artfynd.xlsx", "A 27580-2023")</f>
        <v/>
      </c>
      <c r="T427">
        <f>HYPERLINK("https://klasma.github.io/Logging_0484/kartor/A 27580-2023 karta.png", "A 27580-2023")</f>
        <v/>
      </c>
      <c r="V427">
        <f>HYPERLINK("https://klasma.github.io/Logging_0484/klagomål/A 27580-2023 FSC-klagomål.docx", "A 27580-2023")</f>
        <v/>
      </c>
      <c r="W427">
        <f>HYPERLINK("https://klasma.github.io/Logging_0484/klagomålsmail/A 27580-2023 FSC-klagomål mail.docx", "A 27580-2023")</f>
        <v/>
      </c>
      <c r="X427">
        <f>HYPERLINK("https://klasma.github.io/Logging_0484/tillsyn/A 27580-2023 tillsynsbegäran.docx", "A 27580-2023")</f>
        <v/>
      </c>
      <c r="Y427">
        <f>HYPERLINK("https://klasma.github.io/Logging_0484/tillsynsmail/A 27580-2023 tillsynsbegäran mail.docx", "A 27580-2023")</f>
        <v/>
      </c>
    </row>
    <row r="428" ht="15" customHeight="1">
      <c r="A428" t="inlineStr">
        <is>
          <t>A 30229-2023</t>
        </is>
      </c>
      <c r="B428" s="1" t="n">
        <v>45099</v>
      </c>
      <c r="C428" s="1" t="n">
        <v>45353</v>
      </c>
      <c r="D428" t="inlineStr">
        <is>
          <t>SÖDERMANLANDS LÄN</t>
        </is>
      </c>
      <c r="E428" t="inlineStr">
        <is>
          <t>KATRINEHOLM</t>
        </is>
      </c>
      <c r="G428" t="n">
        <v>11.8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Silversmygare</t>
        </is>
      </c>
      <c r="S428">
        <f>HYPERLINK("https://klasma.github.io/Logging_0483/artfynd/A 30229-2023 artfynd.xlsx", "A 30229-2023")</f>
        <v/>
      </c>
      <c r="T428">
        <f>HYPERLINK("https://klasma.github.io/Logging_0483/kartor/A 30229-2023 karta.png", "A 30229-2023")</f>
        <v/>
      </c>
      <c r="V428">
        <f>HYPERLINK("https://klasma.github.io/Logging_0483/klagomål/A 30229-2023 FSC-klagomål.docx", "A 30229-2023")</f>
        <v/>
      </c>
      <c r="W428">
        <f>HYPERLINK("https://klasma.github.io/Logging_0483/klagomålsmail/A 30229-2023 FSC-klagomål mail.docx", "A 30229-2023")</f>
        <v/>
      </c>
      <c r="X428">
        <f>HYPERLINK("https://klasma.github.io/Logging_0483/tillsyn/A 30229-2023 tillsynsbegäran.docx", "A 30229-2023")</f>
        <v/>
      </c>
      <c r="Y428">
        <f>HYPERLINK("https://klasma.github.io/Logging_0483/tillsynsmail/A 30229-2023 tillsynsbegäran mail.docx", "A 30229-2023")</f>
        <v/>
      </c>
    </row>
    <row r="429" ht="15" customHeight="1">
      <c r="A429" t="inlineStr">
        <is>
          <t>A 28542-2023</t>
        </is>
      </c>
      <c r="B429" s="1" t="n">
        <v>45103</v>
      </c>
      <c r="C429" s="1" t="n">
        <v>45353</v>
      </c>
      <c r="D429" t="inlineStr">
        <is>
          <t>SÖDERMANLANDS LÄN</t>
        </is>
      </c>
      <c r="E429" t="inlineStr">
        <is>
          <t>NYKÖPING</t>
        </is>
      </c>
      <c r="G429" t="n">
        <v>2.8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HYPERLINK("https://klasma.github.io/Logging_0480/artfynd/A 28542-2023 artfynd.xlsx", "A 28542-2023")</f>
        <v/>
      </c>
      <c r="T429">
        <f>HYPERLINK("https://klasma.github.io/Logging_0480/kartor/A 28542-2023 karta.png", "A 28542-2023")</f>
        <v/>
      </c>
      <c r="U429">
        <f>HYPERLINK("https://klasma.github.io/Logging_0480/knärot/A 28542-2023 karta knärot.png", "A 28542-2023")</f>
        <v/>
      </c>
      <c r="V429">
        <f>HYPERLINK("https://klasma.github.io/Logging_0480/klagomål/A 28542-2023 FSC-klagomål.docx", "A 28542-2023")</f>
        <v/>
      </c>
      <c r="W429">
        <f>HYPERLINK("https://klasma.github.io/Logging_0480/klagomålsmail/A 28542-2023 FSC-klagomål mail.docx", "A 28542-2023")</f>
        <v/>
      </c>
      <c r="X429">
        <f>HYPERLINK("https://klasma.github.io/Logging_0480/tillsyn/A 28542-2023 tillsynsbegäran.docx", "A 28542-2023")</f>
        <v/>
      </c>
      <c r="Y429">
        <f>HYPERLINK("https://klasma.github.io/Logging_0480/tillsynsmail/A 28542-2023 tillsynsbegäran mail.docx", "A 28542-2023")</f>
        <v/>
      </c>
    </row>
    <row r="430" ht="15" customHeight="1">
      <c r="A430" t="inlineStr">
        <is>
          <t>A 32279-2023</t>
        </is>
      </c>
      <c r="B430" s="1" t="n">
        <v>45109</v>
      </c>
      <c r="C430" s="1" t="n">
        <v>45353</v>
      </c>
      <c r="D430" t="inlineStr">
        <is>
          <t>SÖDERMANLANDS LÄN</t>
        </is>
      </c>
      <c r="E430" t="inlineStr">
        <is>
          <t>VINGÅKER</t>
        </is>
      </c>
      <c r="G430" t="n">
        <v>11.8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Barkticka</t>
        </is>
      </c>
      <c r="S430">
        <f>HYPERLINK("https://klasma.github.io/Logging_0428/artfynd/A 32279-2023 artfynd.xlsx", "A 32279-2023")</f>
        <v/>
      </c>
      <c r="T430">
        <f>HYPERLINK("https://klasma.github.io/Logging_0428/kartor/A 32279-2023 karta.png", "A 32279-2023")</f>
        <v/>
      </c>
      <c r="V430">
        <f>HYPERLINK("https://klasma.github.io/Logging_0428/klagomål/A 32279-2023 FSC-klagomål.docx", "A 32279-2023")</f>
        <v/>
      </c>
      <c r="W430">
        <f>HYPERLINK("https://klasma.github.io/Logging_0428/klagomålsmail/A 32279-2023 FSC-klagomål mail.docx", "A 32279-2023")</f>
        <v/>
      </c>
      <c r="X430">
        <f>HYPERLINK("https://klasma.github.io/Logging_0428/tillsyn/A 32279-2023 tillsynsbegäran.docx", "A 32279-2023")</f>
        <v/>
      </c>
      <c r="Y430">
        <f>HYPERLINK("https://klasma.github.io/Logging_0428/tillsynsmail/A 32279-2023 tillsynsbegäran mail.docx", "A 32279-2023")</f>
        <v/>
      </c>
    </row>
    <row r="431" ht="15" customHeight="1">
      <c r="A431" t="inlineStr">
        <is>
          <t>A 30045-2023</t>
        </is>
      </c>
      <c r="B431" s="1" t="n">
        <v>45110</v>
      </c>
      <c r="C431" s="1" t="n">
        <v>45353</v>
      </c>
      <c r="D431" t="inlineStr">
        <is>
          <t>SÖDERMANLANDS LÄN</t>
        </is>
      </c>
      <c r="E431" t="inlineStr">
        <is>
          <t>KATRINEHOLM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HYPERLINK("https://klasma.github.io/Logging_0483/artfynd/A 30045-2023 artfynd.xlsx", "A 30045-2023")</f>
        <v/>
      </c>
      <c r="T431">
        <f>HYPERLINK("https://klasma.github.io/Logging_0483/kartor/A 30045-2023 karta.png", "A 30045-2023")</f>
        <v/>
      </c>
      <c r="V431">
        <f>HYPERLINK("https://klasma.github.io/Logging_0483/klagomål/A 30045-2023 FSC-klagomål.docx", "A 30045-2023")</f>
        <v/>
      </c>
      <c r="W431">
        <f>HYPERLINK("https://klasma.github.io/Logging_0483/klagomålsmail/A 30045-2023 FSC-klagomål mail.docx", "A 30045-2023")</f>
        <v/>
      </c>
      <c r="X431">
        <f>HYPERLINK("https://klasma.github.io/Logging_0483/tillsyn/A 30045-2023 tillsynsbegäran.docx", "A 30045-2023")</f>
        <v/>
      </c>
      <c r="Y431">
        <f>HYPERLINK("https://klasma.github.io/Logging_0483/tillsynsmail/A 30045-2023 tillsynsbegäran mail.docx", "A 30045-2023")</f>
        <v/>
      </c>
    </row>
    <row r="432" ht="15" customHeight="1">
      <c r="A432" t="inlineStr">
        <is>
          <t>A 30124-2023</t>
        </is>
      </c>
      <c r="B432" s="1" t="n">
        <v>45110</v>
      </c>
      <c r="C432" s="1" t="n">
        <v>45353</v>
      </c>
      <c r="D432" t="inlineStr">
        <is>
          <t>SÖDERMANLANDS LÄN</t>
        </is>
      </c>
      <c r="E432" t="inlineStr">
        <is>
          <t>KATRINEHOLM</t>
        </is>
      </c>
      <c r="G432" t="n">
        <v>1.8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Bombmurkla</t>
        </is>
      </c>
      <c r="S432">
        <f>HYPERLINK("https://klasma.github.io/Logging_0483/artfynd/A 30124-2023 artfynd.xlsx", "A 30124-2023")</f>
        <v/>
      </c>
      <c r="T432">
        <f>HYPERLINK("https://klasma.github.io/Logging_0483/kartor/A 30124-2023 karta.png", "A 30124-2023")</f>
        <v/>
      </c>
      <c r="V432">
        <f>HYPERLINK("https://klasma.github.io/Logging_0483/klagomål/A 30124-2023 FSC-klagomål.docx", "A 30124-2023")</f>
        <v/>
      </c>
      <c r="W432">
        <f>HYPERLINK("https://klasma.github.io/Logging_0483/klagomålsmail/A 30124-2023 FSC-klagomål mail.docx", "A 30124-2023")</f>
        <v/>
      </c>
      <c r="X432">
        <f>HYPERLINK("https://klasma.github.io/Logging_0483/tillsyn/A 30124-2023 tillsynsbegäran.docx", "A 30124-2023")</f>
        <v/>
      </c>
      <c r="Y432">
        <f>HYPERLINK("https://klasma.github.io/Logging_0483/tillsynsmail/A 30124-2023 tillsynsbegäran mail.docx", "A 30124-2023")</f>
        <v/>
      </c>
    </row>
    <row r="433" ht="15" customHeight="1">
      <c r="A433" t="inlineStr">
        <is>
          <t>A 31987-2023</t>
        </is>
      </c>
      <c r="B433" s="1" t="n">
        <v>45119</v>
      </c>
      <c r="C433" s="1" t="n">
        <v>45353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Bredbrämad bastardsvärmare</t>
        </is>
      </c>
      <c r="S433">
        <f>HYPERLINK("https://klasma.github.io/Logging_0484/artfynd/A 31987-2023 artfynd.xlsx", "A 31987-2023")</f>
        <v/>
      </c>
      <c r="T433">
        <f>HYPERLINK("https://klasma.github.io/Logging_0484/kartor/A 31987-2023 karta.png", "A 31987-2023")</f>
        <v/>
      </c>
      <c r="V433">
        <f>HYPERLINK("https://klasma.github.io/Logging_0484/klagomål/A 31987-2023 FSC-klagomål.docx", "A 31987-2023")</f>
        <v/>
      </c>
      <c r="W433">
        <f>HYPERLINK("https://klasma.github.io/Logging_0484/klagomålsmail/A 31987-2023 FSC-klagomål mail.docx", "A 31987-2023")</f>
        <v/>
      </c>
      <c r="X433">
        <f>HYPERLINK("https://klasma.github.io/Logging_0484/tillsyn/A 31987-2023 tillsynsbegäran.docx", "A 31987-2023")</f>
        <v/>
      </c>
      <c r="Y433">
        <f>HYPERLINK("https://klasma.github.io/Logging_0484/tillsynsmail/A 31987-2023 tillsynsbegäran mail.docx", "A 31987-2023")</f>
        <v/>
      </c>
    </row>
    <row r="434" ht="15" customHeight="1">
      <c r="A434" t="inlineStr">
        <is>
          <t>A 33639-2023</t>
        </is>
      </c>
      <c r="B434" s="1" t="n">
        <v>45119</v>
      </c>
      <c r="C434" s="1" t="n">
        <v>45353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Springkorn</t>
        </is>
      </c>
      <c r="S434">
        <f>HYPERLINK("https://klasma.github.io/Logging_0461/artfynd/A 33639-2023 artfynd.xlsx", "A 33639-2023")</f>
        <v/>
      </c>
      <c r="T434">
        <f>HYPERLINK("https://klasma.github.io/Logging_0461/kartor/A 33639-2023 karta.png", "A 33639-2023")</f>
        <v/>
      </c>
      <c r="V434">
        <f>HYPERLINK("https://klasma.github.io/Logging_0461/klagomål/A 33639-2023 FSC-klagomål.docx", "A 33639-2023")</f>
        <v/>
      </c>
      <c r="W434">
        <f>HYPERLINK("https://klasma.github.io/Logging_0461/klagomålsmail/A 33639-2023 FSC-klagomål mail.docx", "A 33639-2023")</f>
        <v/>
      </c>
      <c r="X434">
        <f>HYPERLINK("https://klasma.github.io/Logging_0461/tillsyn/A 33639-2023 tillsynsbegäran.docx", "A 33639-2023")</f>
        <v/>
      </c>
      <c r="Y434">
        <f>HYPERLINK("https://klasma.github.io/Logging_0461/tillsynsmail/A 33639-2023 tillsynsbegäran mail.docx", "A 33639-2023")</f>
        <v/>
      </c>
    </row>
    <row r="435" ht="15" customHeight="1">
      <c r="A435" t="inlineStr">
        <is>
          <t>A 33801-2023</t>
        </is>
      </c>
      <c r="B435" s="1" t="n">
        <v>45133</v>
      </c>
      <c r="C435" s="1" t="n">
        <v>45353</v>
      </c>
      <c r="D435" t="inlineStr">
        <is>
          <t>SÖDERMANLANDS LÄN</t>
        </is>
      </c>
      <c r="E435" t="inlineStr">
        <is>
          <t>KATRINEHOLM</t>
        </is>
      </c>
      <c r="G435" t="n">
        <v>2.1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HYPERLINK("https://klasma.github.io/Logging_0483/artfynd/A 33801-2023 artfynd.xlsx", "A 33801-2023")</f>
        <v/>
      </c>
      <c r="T435">
        <f>HYPERLINK("https://klasma.github.io/Logging_0483/kartor/A 33801-2023 karta.png", "A 33801-2023")</f>
        <v/>
      </c>
      <c r="V435">
        <f>HYPERLINK("https://klasma.github.io/Logging_0483/klagomål/A 33801-2023 FSC-klagomål.docx", "A 33801-2023")</f>
        <v/>
      </c>
      <c r="W435">
        <f>HYPERLINK("https://klasma.github.io/Logging_0483/klagomålsmail/A 33801-2023 FSC-klagomål mail.docx", "A 33801-2023")</f>
        <v/>
      </c>
      <c r="X435">
        <f>HYPERLINK("https://klasma.github.io/Logging_0483/tillsyn/A 33801-2023 tillsynsbegäran.docx", "A 33801-2023")</f>
        <v/>
      </c>
      <c r="Y435">
        <f>HYPERLINK("https://klasma.github.io/Logging_0483/tillsynsmail/A 33801-2023 tillsynsbegäran mail.docx", "A 33801-2023")</f>
        <v/>
      </c>
    </row>
    <row r="436" ht="15" customHeight="1">
      <c r="A436" t="inlineStr">
        <is>
          <t>A 34717-2023</t>
        </is>
      </c>
      <c r="B436" s="1" t="n">
        <v>45141</v>
      </c>
      <c r="C436" s="1" t="n">
        <v>45353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1.5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Triplax rufipes</t>
        </is>
      </c>
      <c r="S436">
        <f>HYPERLINK("https://klasma.github.io/Logging_0484/artfynd/A 34717-2023 artfynd.xlsx", "A 34717-2023")</f>
        <v/>
      </c>
      <c r="T436">
        <f>HYPERLINK("https://klasma.github.io/Logging_0484/kartor/A 34717-2023 karta.png", "A 34717-2023")</f>
        <v/>
      </c>
      <c r="V436">
        <f>HYPERLINK("https://klasma.github.io/Logging_0484/klagomål/A 34717-2023 FSC-klagomål.docx", "A 34717-2023")</f>
        <v/>
      </c>
      <c r="W436">
        <f>HYPERLINK("https://klasma.github.io/Logging_0484/klagomålsmail/A 34717-2023 FSC-klagomål mail.docx", "A 34717-2023")</f>
        <v/>
      </c>
      <c r="X436">
        <f>HYPERLINK("https://klasma.github.io/Logging_0484/tillsyn/A 34717-2023 tillsynsbegäran.docx", "A 34717-2023")</f>
        <v/>
      </c>
      <c r="Y436">
        <f>HYPERLINK("https://klasma.github.io/Logging_0484/tillsynsmail/A 34717-2023 tillsynsbegäran mail.docx", "A 34717-2023")</f>
        <v/>
      </c>
    </row>
    <row r="437" ht="15" customHeight="1">
      <c r="A437" t="inlineStr">
        <is>
          <t>A 35122-2023</t>
        </is>
      </c>
      <c r="B437" s="1" t="n">
        <v>45145</v>
      </c>
      <c r="C437" s="1" t="n">
        <v>45353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HYPERLINK("https://klasma.github.io/Logging_0480/artfynd/A 35122-2023 artfynd.xlsx", "A 35122-2023")</f>
        <v/>
      </c>
      <c r="T437">
        <f>HYPERLINK("https://klasma.github.io/Logging_0480/kartor/A 35122-2023 karta.png", "A 35122-2023")</f>
        <v/>
      </c>
      <c r="V437">
        <f>HYPERLINK("https://klasma.github.io/Logging_0480/klagomål/A 35122-2023 FSC-klagomål.docx", "A 35122-2023")</f>
        <v/>
      </c>
      <c r="W437">
        <f>HYPERLINK("https://klasma.github.io/Logging_0480/klagomålsmail/A 35122-2023 FSC-klagomål mail.docx", "A 35122-2023")</f>
        <v/>
      </c>
      <c r="X437">
        <f>HYPERLINK("https://klasma.github.io/Logging_0480/tillsyn/A 35122-2023 tillsynsbegäran.docx", "A 35122-2023")</f>
        <v/>
      </c>
      <c r="Y437">
        <f>HYPERLINK("https://klasma.github.io/Logging_0480/tillsynsmail/A 35122-2023 tillsynsbegäran mail.docx", "A 35122-2023")</f>
        <v/>
      </c>
    </row>
    <row r="438" ht="15" customHeight="1">
      <c r="A438" t="inlineStr">
        <is>
          <t>A 37317-2023</t>
        </is>
      </c>
      <c r="B438" s="1" t="n">
        <v>45156</v>
      </c>
      <c r="C438" s="1" t="n">
        <v>45353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Svavelriska</t>
        </is>
      </c>
      <c r="S438">
        <f>HYPERLINK("https://klasma.github.io/Logging_0482/artfynd/A 37317-2023 artfynd.xlsx", "A 37317-2023")</f>
        <v/>
      </c>
      <c r="T438">
        <f>HYPERLINK("https://klasma.github.io/Logging_0482/kartor/A 37317-2023 karta.png", "A 37317-2023")</f>
        <v/>
      </c>
      <c r="V438">
        <f>HYPERLINK("https://klasma.github.io/Logging_0482/klagomål/A 37317-2023 FSC-klagomål.docx", "A 37317-2023")</f>
        <v/>
      </c>
      <c r="W438">
        <f>HYPERLINK("https://klasma.github.io/Logging_0482/klagomålsmail/A 37317-2023 FSC-klagomål mail.docx", "A 37317-2023")</f>
        <v/>
      </c>
      <c r="X438">
        <f>HYPERLINK("https://klasma.github.io/Logging_0482/tillsyn/A 37317-2023 tillsynsbegäran.docx", "A 37317-2023")</f>
        <v/>
      </c>
      <c r="Y438">
        <f>HYPERLINK("https://klasma.github.io/Logging_0482/tillsynsmail/A 37317-2023 tillsynsbegäran mail.docx", "A 37317-2023")</f>
        <v/>
      </c>
    </row>
    <row r="439" ht="15" customHeight="1">
      <c r="A439" t="inlineStr">
        <is>
          <t>A 39019-2023</t>
        </is>
      </c>
      <c r="B439" s="1" t="n">
        <v>45163</v>
      </c>
      <c r="C439" s="1" t="n">
        <v>45353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12.3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Mindre hackspett</t>
        </is>
      </c>
      <c r="S439">
        <f>HYPERLINK("https://klasma.github.io/Logging_0480/artfynd/A 39019-2023 artfynd.xlsx", "A 39019-2023")</f>
        <v/>
      </c>
      <c r="T439">
        <f>HYPERLINK("https://klasma.github.io/Logging_0480/kartor/A 39019-2023 karta.png", "A 39019-2023")</f>
        <v/>
      </c>
      <c r="V439">
        <f>HYPERLINK("https://klasma.github.io/Logging_0480/klagomål/A 39019-2023 FSC-klagomål.docx", "A 39019-2023")</f>
        <v/>
      </c>
      <c r="W439">
        <f>HYPERLINK("https://klasma.github.io/Logging_0480/klagomålsmail/A 39019-2023 FSC-klagomål mail.docx", "A 39019-2023")</f>
        <v/>
      </c>
      <c r="X439">
        <f>HYPERLINK("https://klasma.github.io/Logging_0480/tillsyn/A 39019-2023 tillsynsbegäran.docx", "A 39019-2023")</f>
        <v/>
      </c>
      <c r="Y439">
        <f>HYPERLINK("https://klasma.github.io/Logging_0480/tillsynsmail/A 39019-2023 tillsynsbegäran mail.docx", "A 39019-2023")</f>
        <v/>
      </c>
      <c r="Z439">
        <f>HYPERLINK("https://klasma.github.io/Logging_0480/fåglar/A 39019-2023 prioriterade fågelarter.docx", "A 39019-2023")</f>
        <v/>
      </c>
    </row>
    <row r="440" ht="15" customHeight="1">
      <c r="A440" t="inlineStr">
        <is>
          <t>A 39240-2023</t>
        </is>
      </c>
      <c r="B440" s="1" t="n">
        <v>45166</v>
      </c>
      <c r="C440" s="1" t="n">
        <v>45353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4.6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Blodticka</t>
        </is>
      </c>
      <c r="S440">
        <f>HYPERLINK("https://klasma.github.io/Logging_0482/artfynd/A 39240-2023 artfynd.xlsx", "A 39240-2023")</f>
        <v/>
      </c>
      <c r="T440">
        <f>HYPERLINK("https://klasma.github.io/Logging_0482/kartor/A 39240-2023 karta.png", "A 39240-2023")</f>
        <v/>
      </c>
      <c r="V440">
        <f>HYPERLINK("https://klasma.github.io/Logging_0482/klagomål/A 39240-2023 FSC-klagomål.docx", "A 39240-2023")</f>
        <v/>
      </c>
      <c r="W440">
        <f>HYPERLINK("https://klasma.github.io/Logging_0482/klagomålsmail/A 39240-2023 FSC-klagomål mail.docx", "A 39240-2023")</f>
        <v/>
      </c>
      <c r="X440">
        <f>HYPERLINK("https://klasma.github.io/Logging_0482/tillsyn/A 39240-2023 tillsynsbegäran.docx", "A 39240-2023")</f>
        <v/>
      </c>
      <c r="Y440">
        <f>HYPERLINK("https://klasma.github.io/Logging_0482/tillsynsmail/A 39240-2023 tillsynsbegäran mail.docx", "A 39240-2023")</f>
        <v/>
      </c>
    </row>
    <row r="441" ht="15" customHeight="1">
      <c r="A441" t="inlineStr">
        <is>
          <t>A 40267-2023</t>
        </is>
      </c>
      <c r="B441" s="1" t="n">
        <v>45169</v>
      </c>
      <c r="C441" s="1" t="n">
        <v>45353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40267-2023 artfynd.xlsx", "A 40267-2023")</f>
        <v/>
      </c>
      <c r="T441">
        <f>HYPERLINK("https://klasma.github.io/Logging_0461/kartor/A 40267-2023 karta.png", "A 40267-2023")</f>
        <v/>
      </c>
      <c r="V441">
        <f>HYPERLINK("https://klasma.github.io/Logging_0461/klagomål/A 40267-2023 FSC-klagomål.docx", "A 40267-2023")</f>
        <v/>
      </c>
      <c r="W441">
        <f>HYPERLINK("https://klasma.github.io/Logging_0461/klagomålsmail/A 40267-2023 FSC-klagomål mail.docx", "A 40267-2023")</f>
        <v/>
      </c>
      <c r="X441">
        <f>HYPERLINK("https://klasma.github.io/Logging_0461/tillsyn/A 40267-2023 tillsynsbegäran.docx", "A 40267-2023")</f>
        <v/>
      </c>
      <c r="Y441">
        <f>HYPERLINK("https://klasma.github.io/Logging_0461/tillsynsmail/A 40267-2023 tillsynsbegäran mail.docx", "A 40267-2023")</f>
        <v/>
      </c>
    </row>
    <row r="442" ht="15" customHeight="1">
      <c r="A442" t="inlineStr">
        <is>
          <t>A 42552-2023</t>
        </is>
      </c>
      <c r="B442" s="1" t="n">
        <v>45181</v>
      </c>
      <c r="C442" s="1" t="n">
        <v>45353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3.6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42552-2023 artfynd.xlsx", "A 42552-2023")</f>
        <v/>
      </c>
      <c r="T442">
        <f>HYPERLINK("https://klasma.github.io/Logging_0461/kartor/A 42552-2023 karta.png", "A 42552-2023")</f>
        <v/>
      </c>
      <c r="V442">
        <f>HYPERLINK("https://klasma.github.io/Logging_0461/klagomål/A 42552-2023 FSC-klagomål.docx", "A 42552-2023")</f>
        <v/>
      </c>
      <c r="W442">
        <f>HYPERLINK("https://klasma.github.io/Logging_0461/klagomålsmail/A 42552-2023 FSC-klagomål mail.docx", "A 42552-2023")</f>
        <v/>
      </c>
      <c r="X442">
        <f>HYPERLINK("https://klasma.github.io/Logging_0461/tillsyn/A 42552-2023 tillsynsbegäran.docx", "A 42552-2023")</f>
        <v/>
      </c>
      <c r="Y442">
        <f>HYPERLINK("https://klasma.github.io/Logging_0461/tillsynsmail/A 42552-2023 tillsynsbegäran mail.docx", "A 42552-2023")</f>
        <v/>
      </c>
    </row>
    <row r="443" ht="15" customHeight="1">
      <c r="A443" t="inlineStr">
        <is>
          <t>A 42936-2023</t>
        </is>
      </c>
      <c r="B443" s="1" t="n">
        <v>45182</v>
      </c>
      <c r="C443" s="1" t="n">
        <v>45353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36.8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HYPERLINK("https://klasma.github.io/Logging_0483/artfynd/A 42936-2023 artfynd.xlsx", "A 42936-2023")</f>
        <v/>
      </c>
      <c r="T443">
        <f>HYPERLINK("https://klasma.github.io/Logging_0483/kartor/A 42936-2023 karta.png", "A 42936-2023")</f>
        <v/>
      </c>
      <c r="U443">
        <f>HYPERLINK("https://klasma.github.io/Logging_0483/knärot/A 42936-2023 karta knärot.png", "A 42936-2023")</f>
        <v/>
      </c>
      <c r="V443">
        <f>HYPERLINK("https://klasma.github.io/Logging_0483/klagomål/A 42936-2023 FSC-klagomål.docx", "A 42936-2023")</f>
        <v/>
      </c>
      <c r="W443">
        <f>HYPERLINK("https://klasma.github.io/Logging_0483/klagomålsmail/A 42936-2023 FSC-klagomål mail.docx", "A 42936-2023")</f>
        <v/>
      </c>
      <c r="X443">
        <f>HYPERLINK("https://klasma.github.io/Logging_0483/tillsyn/A 42936-2023 tillsynsbegäran.docx", "A 42936-2023")</f>
        <v/>
      </c>
      <c r="Y443">
        <f>HYPERLINK("https://klasma.github.io/Logging_0483/tillsynsmail/A 42936-2023 tillsynsbegäran mail.docx", "A 42936-2023")</f>
        <v/>
      </c>
    </row>
    <row r="444" ht="15" customHeight="1">
      <c r="A444" t="inlineStr">
        <is>
          <t>A 42942-2023</t>
        </is>
      </c>
      <c r="B444" s="1" t="n">
        <v>45182</v>
      </c>
      <c r="C444" s="1" t="n">
        <v>45353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17.4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Rödlånke</t>
        </is>
      </c>
      <c r="S444">
        <f>HYPERLINK("https://klasma.github.io/Logging_0483/artfynd/A 42942-2023 artfynd.xlsx", "A 42942-2023")</f>
        <v/>
      </c>
      <c r="T444">
        <f>HYPERLINK("https://klasma.github.io/Logging_0483/kartor/A 42942-2023 karta.png", "A 42942-2023")</f>
        <v/>
      </c>
      <c r="V444">
        <f>HYPERLINK("https://klasma.github.io/Logging_0483/klagomål/A 42942-2023 FSC-klagomål.docx", "A 42942-2023")</f>
        <v/>
      </c>
      <c r="W444">
        <f>HYPERLINK("https://klasma.github.io/Logging_0483/klagomålsmail/A 42942-2023 FSC-klagomål mail.docx", "A 42942-2023")</f>
        <v/>
      </c>
      <c r="X444">
        <f>HYPERLINK("https://klasma.github.io/Logging_0483/tillsyn/A 42942-2023 tillsynsbegäran.docx", "A 42942-2023")</f>
        <v/>
      </c>
      <c r="Y444">
        <f>HYPERLINK("https://klasma.github.io/Logging_0483/tillsynsmail/A 42942-2023 tillsynsbegäran mail.docx", "A 42942-2023")</f>
        <v/>
      </c>
    </row>
    <row r="445" ht="15" customHeight="1">
      <c r="A445" t="inlineStr">
        <is>
          <t>A 44632-2023</t>
        </is>
      </c>
      <c r="B445" s="1" t="n">
        <v>45184</v>
      </c>
      <c r="C445" s="1" t="n">
        <v>45353</v>
      </c>
      <c r="D445" t="inlineStr">
        <is>
          <t>SÖDERMANLANDS LÄN</t>
        </is>
      </c>
      <c r="E445" t="inlineStr">
        <is>
          <t>KATRINEHOLM</t>
        </is>
      </c>
      <c r="G445" t="n">
        <v>6.2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HYPERLINK("https://klasma.github.io/Logging_0483/artfynd/A 44632-2023 artfynd.xlsx", "A 44632-2023")</f>
        <v/>
      </c>
      <c r="T445">
        <f>HYPERLINK("https://klasma.github.io/Logging_0483/kartor/A 44632-2023 karta.png", "A 44632-2023")</f>
        <v/>
      </c>
      <c r="V445">
        <f>HYPERLINK("https://klasma.github.io/Logging_0483/klagomål/A 44632-2023 FSC-klagomål.docx", "A 44632-2023")</f>
        <v/>
      </c>
      <c r="W445">
        <f>HYPERLINK("https://klasma.github.io/Logging_0483/klagomålsmail/A 44632-2023 FSC-klagomål mail.docx", "A 44632-2023")</f>
        <v/>
      </c>
      <c r="X445">
        <f>HYPERLINK("https://klasma.github.io/Logging_0483/tillsyn/A 44632-2023 tillsynsbegäran.docx", "A 44632-2023")</f>
        <v/>
      </c>
      <c r="Y445">
        <f>HYPERLINK("https://klasma.github.io/Logging_0483/tillsynsmail/A 44632-2023 tillsynsbegäran mail.docx", "A 44632-2023")</f>
        <v/>
      </c>
    </row>
    <row r="446" ht="15" customHeight="1">
      <c r="A446" t="inlineStr">
        <is>
          <t>A 46596-2023</t>
        </is>
      </c>
      <c r="B446" s="1" t="n">
        <v>45198</v>
      </c>
      <c r="C446" s="1" t="n">
        <v>45353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2.4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Revlummer</t>
        </is>
      </c>
      <c r="S446">
        <f>HYPERLINK("https://klasma.github.io/Logging_0484/artfynd/A 46596-2023 artfynd.xlsx", "A 46596-2023")</f>
        <v/>
      </c>
      <c r="T446">
        <f>HYPERLINK("https://klasma.github.io/Logging_0484/kartor/A 46596-2023 karta.png", "A 46596-2023")</f>
        <v/>
      </c>
      <c r="V446">
        <f>HYPERLINK("https://klasma.github.io/Logging_0484/klagomål/A 46596-2023 FSC-klagomål.docx", "A 46596-2023")</f>
        <v/>
      </c>
      <c r="W446">
        <f>HYPERLINK("https://klasma.github.io/Logging_0484/klagomålsmail/A 46596-2023 FSC-klagomål mail.docx", "A 46596-2023")</f>
        <v/>
      </c>
      <c r="X446">
        <f>HYPERLINK("https://klasma.github.io/Logging_0484/tillsyn/A 46596-2023 tillsynsbegäran.docx", "A 46596-2023")</f>
        <v/>
      </c>
      <c r="Y446">
        <f>HYPERLINK("https://klasma.github.io/Logging_0484/tillsynsmail/A 46596-2023 tillsynsbegäran mail.docx", "A 46596-2023")</f>
        <v/>
      </c>
    </row>
    <row r="447" ht="15" customHeight="1">
      <c r="A447" t="inlineStr">
        <is>
          <t>A 48896-2023</t>
        </is>
      </c>
      <c r="B447" s="1" t="n">
        <v>45209</v>
      </c>
      <c r="C447" s="1" t="n">
        <v>45353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6.6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48896-2023 artfynd.xlsx", "A 48896-2023")</f>
        <v/>
      </c>
      <c r="T447">
        <f>HYPERLINK("https://klasma.github.io/Logging_0482/kartor/A 48896-2023 karta.png", "A 48896-2023")</f>
        <v/>
      </c>
      <c r="V447">
        <f>HYPERLINK("https://klasma.github.io/Logging_0482/klagomål/A 48896-2023 FSC-klagomål.docx", "A 48896-2023")</f>
        <v/>
      </c>
      <c r="W447">
        <f>HYPERLINK("https://klasma.github.io/Logging_0482/klagomålsmail/A 48896-2023 FSC-klagomål mail.docx", "A 48896-2023")</f>
        <v/>
      </c>
      <c r="X447">
        <f>HYPERLINK("https://klasma.github.io/Logging_0482/tillsyn/A 48896-2023 tillsynsbegäran.docx", "A 48896-2023")</f>
        <v/>
      </c>
      <c r="Y447">
        <f>HYPERLINK("https://klasma.github.io/Logging_0482/tillsynsmail/A 48896-2023 tillsynsbegäran mail.docx", "A 48896-2023")</f>
        <v/>
      </c>
    </row>
    <row r="448" ht="15" customHeight="1">
      <c r="A448" t="inlineStr">
        <is>
          <t>A 49808-2023</t>
        </is>
      </c>
      <c r="B448" s="1" t="n">
        <v>45212</v>
      </c>
      <c r="C448" s="1" t="n">
        <v>45353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12.3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49808-2023 artfynd.xlsx", "A 49808-2023")</f>
        <v/>
      </c>
      <c r="T448">
        <f>HYPERLINK("https://klasma.github.io/Logging_0482/kartor/A 49808-2023 karta.png", "A 49808-2023")</f>
        <v/>
      </c>
      <c r="V448">
        <f>HYPERLINK("https://klasma.github.io/Logging_0482/klagomål/A 49808-2023 FSC-klagomål.docx", "A 49808-2023")</f>
        <v/>
      </c>
      <c r="W448">
        <f>HYPERLINK("https://klasma.github.io/Logging_0482/klagomålsmail/A 49808-2023 FSC-klagomål mail.docx", "A 49808-2023")</f>
        <v/>
      </c>
      <c r="X448">
        <f>HYPERLINK("https://klasma.github.io/Logging_0482/tillsyn/A 49808-2023 tillsynsbegäran.docx", "A 49808-2023")</f>
        <v/>
      </c>
      <c r="Y448">
        <f>HYPERLINK("https://klasma.github.io/Logging_0482/tillsynsmail/A 49808-2023 tillsynsbegäran mail.docx", "A 49808-2023")</f>
        <v/>
      </c>
    </row>
    <row r="449" ht="15" customHeight="1">
      <c r="A449" t="inlineStr">
        <is>
          <t>A 50010-2023</t>
        </is>
      </c>
      <c r="B449" s="1" t="n">
        <v>45215</v>
      </c>
      <c r="C449" s="1" t="n">
        <v>45353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Sveaskog</t>
        </is>
      </c>
      <c r="G449" t="n">
        <v>5.6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HYPERLINK("https://klasma.github.io/Logging_0486/artfynd/A 50010-2023 artfynd.xlsx", "A 50010-2023")</f>
        <v/>
      </c>
      <c r="T449">
        <f>HYPERLINK("https://klasma.github.io/Logging_0486/kartor/A 50010-2023 karta.png", "A 50010-2023")</f>
        <v/>
      </c>
      <c r="V449">
        <f>HYPERLINK("https://klasma.github.io/Logging_0486/klagomål/A 50010-2023 FSC-klagomål.docx", "A 50010-2023")</f>
        <v/>
      </c>
      <c r="W449">
        <f>HYPERLINK("https://klasma.github.io/Logging_0486/klagomålsmail/A 50010-2023 FSC-klagomål mail.docx", "A 50010-2023")</f>
        <v/>
      </c>
      <c r="X449">
        <f>HYPERLINK("https://klasma.github.io/Logging_0486/tillsyn/A 50010-2023 tillsynsbegäran.docx", "A 50010-2023")</f>
        <v/>
      </c>
      <c r="Y449">
        <f>HYPERLINK("https://klasma.github.io/Logging_0486/tillsynsmail/A 50010-2023 tillsynsbegäran mail.docx", "A 50010-2023")</f>
        <v/>
      </c>
    </row>
    <row r="450" ht="15" customHeight="1">
      <c r="A450" t="inlineStr">
        <is>
          <t>A 52858-2023</t>
        </is>
      </c>
      <c r="B450" s="1" t="n">
        <v>45219</v>
      </c>
      <c r="C450" s="1" t="n">
        <v>45353</v>
      </c>
      <c r="D450" t="inlineStr">
        <is>
          <t>SÖDERMANLANDS LÄN</t>
        </is>
      </c>
      <c r="E450" t="inlineStr">
        <is>
          <t>FLEN</t>
        </is>
      </c>
      <c r="G450" t="n">
        <v>3.6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HYPERLINK("https://klasma.github.io/Logging_0482/artfynd/A 52858-2023 artfynd.xlsx", "A 52858-2023")</f>
        <v/>
      </c>
      <c r="T450">
        <f>HYPERLINK("https://klasma.github.io/Logging_0482/kartor/A 52858-2023 karta.png", "A 52858-2023")</f>
        <v/>
      </c>
      <c r="V450">
        <f>HYPERLINK("https://klasma.github.io/Logging_0482/klagomål/A 52858-2023 FSC-klagomål.docx", "A 52858-2023")</f>
        <v/>
      </c>
      <c r="W450">
        <f>HYPERLINK("https://klasma.github.io/Logging_0482/klagomålsmail/A 52858-2023 FSC-klagomål mail.docx", "A 52858-2023")</f>
        <v/>
      </c>
      <c r="X450">
        <f>HYPERLINK("https://klasma.github.io/Logging_0482/tillsyn/A 52858-2023 tillsynsbegäran.docx", "A 52858-2023")</f>
        <v/>
      </c>
      <c r="Y450">
        <f>HYPERLINK("https://klasma.github.io/Logging_0482/tillsynsmail/A 52858-2023 tillsynsbegäran mail.docx", "A 52858-2023")</f>
        <v/>
      </c>
    </row>
    <row r="451" ht="15" customHeight="1">
      <c r="A451" t="inlineStr">
        <is>
          <t>A 52643-2023</t>
        </is>
      </c>
      <c r="B451" s="1" t="n">
        <v>45219</v>
      </c>
      <c r="C451" s="1" t="n">
        <v>45353</v>
      </c>
      <c r="D451" t="inlineStr">
        <is>
          <t>SÖDERMANLANDS LÄN</t>
        </is>
      </c>
      <c r="E451" t="inlineStr">
        <is>
          <t>STRÄNGNÄS</t>
        </is>
      </c>
      <c r="G451" t="n">
        <v>4.1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Vanlig backsmörblomma</t>
        </is>
      </c>
      <c r="S451">
        <f>HYPERLINK("https://klasma.github.io/Logging_0486/artfynd/A 52643-2023 artfynd.xlsx", "A 52643-2023")</f>
        <v/>
      </c>
      <c r="T451">
        <f>HYPERLINK("https://klasma.github.io/Logging_0486/kartor/A 52643-2023 karta.png", "A 52643-2023")</f>
        <v/>
      </c>
      <c r="V451">
        <f>HYPERLINK("https://klasma.github.io/Logging_0486/klagomål/A 52643-2023 FSC-klagomål.docx", "A 52643-2023")</f>
        <v/>
      </c>
      <c r="W451">
        <f>HYPERLINK("https://klasma.github.io/Logging_0486/klagomålsmail/A 52643-2023 FSC-klagomål mail.docx", "A 52643-2023")</f>
        <v/>
      </c>
      <c r="X451">
        <f>HYPERLINK("https://klasma.github.io/Logging_0486/tillsyn/A 52643-2023 tillsynsbegäran.docx", "A 52643-2023")</f>
        <v/>
      </c>
      <c r="Y451">
        <f>HYPERLINK("https://klasma.github.io/Logging_0486/tillsynsmail/A 52643-2023 tillsynsbegäran mail.docx", "A 52643-2023")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45353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45353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45353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45353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45353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45353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56157-2023</t>
        </is>
      </c>
      <c r="B458" s="1" t="n">
        <v>45240</v>
      </c>
      <c r="C458" s="1" t="n">
        <v>45353</v>
      </c>
      <c r="D458" t="inlineStr">
        <is>
          <t>SÖDERMANLANDS LÄN</t>
        </is>
      </c>
      <c r="E458" t="inlineStr">
        <is>
          <t>STRÄNGNÄS</t>
        </is>
      </c>
      <c r="G458" t="n">
        <v>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Nattskärra</t>
        </is>
      </c>
      <c r="S458">
        <f>HYPERLINK("https://klasma.github.io/Logging_0486/artfynd/A 56157-2023 artfynd.xlsx", "A 56157-2023")</f>
        <v/>
      </c>
      <c r="T458">
        <f>HYPERLINK("https://klasma.github.io/Logging_0486/kartor/A 56157-2023 karta.png", "A 56157-2023")</f>
        <v/>
      </c>
      <c r="V458">
        <f>HYPERLINK("https://klasma.github.io/Logging_0486/klagomål/A 56157-2023 FSC-klagomål.docx", "A 56157-2023")</f>
        <v/>
      </c>
      <c r="W458">
        <f>HYPERLINK("https://klasma.github.io/Logging_0486/klagomålsmail/A 56157-2023 FSC-klagomål mail.docx", "A 56157-2023")</f>
        <v/>
      </c>
      <c r="X458">
        <f>HYPERLINK("https://klasma.github.io/Logging_0486/tillsyn/A 56157-2023 tillsynsbegäran.docx", "A 56157-2023")</f>
        <v/>
      </c>
      <c r="Y458">
        <f>HYPERLINK("https://klasma.github.io/Logging_0486/tillsynsmail/A 56157-2023 tillsynsbegäran mail.docx", "A 56157-2023")</f>
        <v/>
      </c>
      <c r="Z458">
        <f>HYPERLINK("https://klasma.github.io/Logging_0486/fåglar/A 56157-2023 prioriterade fågelarter.docx", "A 56157-2023")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45353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45353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45353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45353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45353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45353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6097-2024</t>
        </is>
      </c>
      <c r="B465" s="1" t="n">
        <v>45337</v>
      </c>
      <c r="C465" s="1" t="n">
        <v>45353</v>
      </c>
      <c r="D465" t="inlineStr">
        <is>
          <t>SÖDERMANLANDS LÄN</t>
        </is>
      </c>
      <c r="E465" t="inlineStr">
        <is>
          <t>FLEN</t>
        </is>
      </c>
      <c r="G465" t="n">
        <v>28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Garnlav</t>
        </is>
      </c>
      <c r="S465">
        <f>HYPERLINK("https://klasma.github.io/Logging_0482/artfynd/A 6097-2024 artfynd.xlsx", "A 6097-2024")</f>
        <v/>
      </c>
      <c r="T465">
        <f>HYPERLINK("https://klasma.github.io/Logging_0482/kartor/A 6097-2024 karta.png", "A 6097-2024")</f>
        <v/>
      </c>
      <c r="V465">
        <f>HYPERLINK("https://klasma.github.io/Logging_0482/klagomål/A 6097-2024 FSC-klagomål.docx", "A 6097-2024")</f>
        <v/>
      </c>
      <c r="W465">
        <f>HYPERLINK("https://klasma.github.io/Logging_0482/klagomålsmail/A 6097-2024 FSC-klagomål mail.docx", "A 6097-2024")</f>
        <v/>
      </c>
      <c r="X465">
        <f>HYPERLINK("https://klasma.github.io/Logging_0482/tillsyn/A 6097-2024 tillsynsbegäran.docx", "A 6097-2024")</f>
        <v/>
      </c>
      <c r="Y465">
        <f>HYPERLINK("https://klasma.github.io/Logging_0482/tillsynsmail/A 6097-2024 tillsynsbegäran mail.docx", "A 6097-2024")</f>
        <v/>
      </c>
    </row>
    <row r="466" ht="15" customHeight="1">
      <c r="A466" t="inlineStr">
        <is>
          <t>A 6539-2024</t>
        </is>
      </c>
      <c r="B466" s="1" t="n">
        <v>45341</v>
      </c>
      <c r="C466" s="1" t="n">
        <v>45353</v>
      </c>
      <c r="D466" t="inlineStr">
        <is>
          <t>SÖDERMANLANDS LÄN</t>
        </is>
      </c>
      <c r="E466" t="inlineStr">
        <is>
          <t>GNESTA</t>
        </is>
      </c>
      <c r="G466" t="n">
        <v>3.5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Revlummer</t>
        </is>
      </c>
      <c r="S466">
        <f>HYPERLINK("https://klasma.github.io/Logging_0461/artfynd/A 6539-2024 artfynd.xlsx", "A 6539-2024")</f>
        <v/>
      </c>
      <c r="T466">
        <f>HYPERLINK("https://klasma.github.io/Logging_0461/kartor/A 6539-2024 karta.png", "A 6539-2024")</f>
        <v/>
      </c>
      <c r="V466">
        <f>HYPERLINK("https://klasma.github.io/Logging_0461/klagomål/A 6539-2024 FSC-klagomål.docx", "A 6539-2024")</f>
        <v/>
      </c>
      <c r="W466">
        <f>HYPERLINK("https://klasma.github.io/Logging_0461/klagomålsmail/A 6539-2024 FSC-klagomål mail.docx", "A 6539-2024")</f>
        <v/>
      </c>
      <c r="X466">
        <f>HYPERLINK("https://klasma.github.io/Logging_0461/tillsyn/A 6539-2024 tillsynsbegäran.docx", "A 6539-2024")</f>
        <v/>
      </c>
      <c r="Y466">
        <f>HYPERLINK("https://klasma.github.io/Logging_0461/tillsynsmail/A 6539-2024 tillsynsbegäran mail.docx", "A 6539-2024")</f>
        <v/>
      </c>
    </row>
    <row r="467" ht="15" customHeight="1">
      <c r="A467" t="inlineStr">
        <is>
          <t>A 7973-2024</t>
        </is>
      </c>
      <c r="B467" s="1" t="n">
        <v>45350</v>
      </c>
      <c r="C467" s="1" t="n">
        <v>45353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Vippärt</t>
        </is>
      </c>
      <c r="S467">
        <f>HYPERLINK("https://klasma.github.io/Logging_0482/artfynd/A 7973-2024 artfynd.xlsx", "A 7973-2024")</f>
        <v/>
      </c>
      <c r="T467">
        <f>HYPERLINK("https://klasma.github.io/Logging_0482/kartor/A 7973-2024 karta.png", "A 7973-2024")</f>
        <v/>
      </c>
      <c r="V467">
        <f>HYPERLINK("https://klasma.github.io/Logging_0482/klagomål/A 7973-2024 FSC-klagomål.docx", "A 7973-2024")</f>
        <v/>
      </c>
      <c r="W467">
        <f>HYPERLINK("https://klasma.github.io/Logging_0482/klagomålsmail/A 7973-2024 FSC-klagomål mail.docx", "A 7973-2024")</f>
        <v/>
      </c>
      <c r="X467">
        <f>HYPERLINK("https://klasma.github.io/Logging_0482/tillsyn/A 7973-2024 tillsynsbegäran.docx", "A 7973-2024")</f>
        <v/>
      </c>
      <c r="Y467">
        <f>HYPERLINK("https://klasma.github.io/Logging_0482/tillsynsmail/A 7973-2024 tillsynsbegäran mail.docx", "A 7973-2024")</f>
        <v/>
      </c>
    </row>
    <row r="468" ht="15" customHeight="1">
      <c r="A468" t="inlineStr">
        <is>
          <t>A 35316-2018</t>
        </is>
      </c>
      <c r="B468" s="1" t="n">
        <v>43324</v>
      </c>
      <c r="C468" s="1" t="n">
        <v>45353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37594-2018</t>
        </is>
      </c>
      <c r="B469" s="1" t="n">
        <v>43334</v>
      </c>
      <c r="C469" s="1" t="n">
        <v>45353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37519-2018</t>
        </is>
      </c>
      <c r="B470" s="1" t="n">
        <v>43334</v>
      </c>
      <c r="C470" s="1" t="n">
        <v>45353</v>
      </c>
      <c r="D470" t="inlineStr">
        <is>
          <t>SÖDERMANLANDS LÄN</t>
        </is>
      </c>
      <c r="E470" t="inlineStr">
        <is>
          <t>KATRINEHOLM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38713-2018</t>
        </is>
      </c>
      <c r="B471" s="1" t="n">
        <v>43335</v>
      </c>
      <c r="C471" s="1" t="n">
        <v>45353</v>
      </c>
      <c r="D471" t="inlineStr">
        <is>
          <t>SÖDERMANLANDS LÄN</t>
        </is>
      </c>
      <c r="E471" t="inlineStr">
        <is>
          <t>VINGÅKER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38578-2018</t>
        </is>
      </c>
      <c r="B472" s="1" t="n">
        <v>43335</v>
      </c>
      <c r="C472" s="1" t="n">
        <v>45353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38704-2018</t>
        </is>
      </c>
      <c r="B473" s="1" t="n">
        <v>43335</v>
      </c>
      <c r="C473" s="1" t="n">
        <v>45353</v>
      </c>
      <c r="D473" t="inlineStr">
        <is>
          <t>SÖDERMANLANDS LÄN</t>
        </is>
      </c>
      <c r="E473" t="inlineStr">
        <is>
          <t>VINGÅKER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38711-2018</t>
        </is>
      </c>
      <c r="B474" s="1" t="n">
        <v>43335</v>
      </c>
      <c r="C474" s="1" t="n">
        <v>45353</v>
      </c>
      <c r="D474" t="inlineStr">
        <is>
          <t>SÖDERMANLANDS LÄN</t>
        </is>
      </c>
      <c r="E474" t="inlineStr">
        <is>
          <t>VINGÅKER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38068-2018</t>
        </is>
      </c>
      <c r="B475" s="1" t="n">
        <v>43336</v>
      </c>
      <c r="C475" s="1" t="n">
        <v>45353</v>
      </c>
      <c r="D475" t="inlineStr">
        <is>
          <t>SÖDERMANLANDS LÄN</t>
        </is>
      </c>
      <c r="E475" t="inlineStr">
        <is>
          <t>GNESTA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38718-2018</t>
        </is>
      </c>
      <c r="B476" s="1" t="n">
        <v>43336</v>
      </c>
      <c r="C476" s="1" t="n">
        <v>45353</v>
      </c>
      <c r="D476" t="inlineStr">
        <is>
          <t>SÖDERMANLANDS LÄN</t>
        </is>
      </c>
      <c r="E476" t="inlineStr">
        <is>
          <t>VINGÅKER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39355-2018</t>
        </is>
      </c>
      <c r="B477" s="1" t="n">
        <v>43339</v>
      </c>
      <c r="C477" s="1" t="n">
        <v>45353</v>
      </c>
      <c r="D477" t="inlineStr">
        <is>
          <t>SÖDERMANLANDS LÄN</t>
        </is>
      </c>
      <c r="E477" t="inlineStr">
        <is>
          <t>KATRINEHOLM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39550-2018</t>
        </is>
      </c>
      <c r="B478" s="1" t="n">
        <v>43340</v>
      </c>
      <c r="C478" s="1" t="n">
        <v>45353</v>
      </c>
      <c r="D478" t="inlineStr">
        <is>
          <t>SÖDERMANLANDS LÄN</t>
        </is>
      </c>
      <c r="E478" t="inlineStr">
        <is>
          <t>VINGÅKER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38799-2018</t>
        </is>
      </c>
      <c r="B479" s="1" t="n">
        <v>43340</v>
      </c>
      <c r="C479" s="1" t="n">
        <v>45353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40625-2018</t>
        </is>
      </c>
      <c r="B480" s="1" t="n">
        <v>43343</v>
      </c>
      <c r="C480" s="1" t="n">
        <v>45353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40116-2018</t>
        </is>
      </c>
      <c r="B481" s="1" t="n">
        <v>43343</v>
      </c>
      <c r="C481" s="1" t="n">
        <v>45353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41385-2018</t>
        </is>
      </c>
      <c r="B482" s="1" t="n">
        <v>43347</v>
      </c>
      <c r="C482" s="1" t="n">
        <v>45353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40940-2018</t>
        </is>
      </c>
      <c r="B483" s="1" t="n">
        <v>43347</v>
      </c>
      <c r="C483" s="1" t="n">
        <v>45353</v>
      </c>
      <c r="D483" t="inlineStr">
        <is>
          <t>SÖDERMANLANDS LÄN</t>
        </is>
      </c>
      <c r="E483" t="inlineStr">
        <is>
          <t>STRÄNGNÄS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41479-2018</t>
        </is>
      </c>
      <c r="B484" s="1" t="n">
        <v>43347</v>
      </c>
      <c r="C484" s="1" t="n">
        <v>45353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41549-2018</t>
        </is>
      </c>
      <c r="B485" s="1" t="n">
        <v>43347</v>
      </c>
      <c r="C485" s="1" t="n">
        <v>45353</v>
      </c>
      <c r="D485" t="inlineStr">
        <is>
          <t>SÖDERMANLANDS LÄN</t>
        </is>
      </c>
      <c r="E485" t="inlineStr">
        <is>
          <t>FLEN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40788-2018</t>
        </is>
      </c>
      <c r="B486" s="1" t="n">
        <v>43347</v>
      </c>
      <c r="C486" s="1" t="n">
        <v>45353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41412-2018</t>
        </is>
      </c>
      <c r="B487" s="1" t="n">
        <v>43347</v>
      </c>
      <c r="C487" s="1" t="n">
        <v>45353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41400-2018</t>
        </is>
      </c>
      <c r="B488" s="1" t="n">
        <v>43347</v>
      </c>
      <c r="C488" s="1" t="n">
        <v>45353</v>
      </c>
      <c r="D488" t="inlineStr">
        <is>
          <t>SÖDERMANLANDS LÄN</t>
        </is>
      </c>
      <c r="E488" t="inlineStr">
        <is>
          <t>FLEN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41857-2018</t>
        </is>
      </c>
      <c r="B489" s="1" t="n">
        <v>43348</v>
      </c>
      <c r="C489" s="1" t="n">
        <v>45353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43212-2018</t>
        </is>
      </c>
      <c r="B490" s="1" t="n">
        <v>43353</v>
      </c>
      <c r="C490" s="1" t="n">
        <v>45353</v>
      </c>
      <c r="D490" t="inlineStr">
        <is>
          <t>SÖDERMANLANDS LÄN</t>
        </is>
      </c>
      <c r="E490" t="inlineStr">
        <is>
          <t>VINGÅKER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42470-2018</t>
        </is>
      </c>
      <c r="B491" s="1" t="n">
        <v>43353</v>
      </c>
      <c r="C491" s="1" t="n">
        <v>45353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43476-2018</t>
        </is>
      </c>
      <c r="B492" s="1" t="n">
        <v>43353</v>
      </c>
      <c r="C492" s="1" t="n">
        <v>45353</v>
      </c>
      <c r="D492" t="inlineStr">
        <is>
          <t>SÖDERMANLANDS LÄN</t>
        </is>
      </c>
      <c r="E492" t="inlineStr">
        <is>
          <t>NYKÖPING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42985-2018</t>
        </is>
      </c>
      <c r="B493" s="1" t="n">
        <v>43355</v>
      </c>
      <c r="C493" s="1" t="n">
        <v>45353</v>
      </c>
      <c r="D493" t="inlineStr">
        <is>
          <t>SÖDERMANLANDS LÄN</t>
        </is>
      </c>
      <c r="E493" t="inlineStr">
        <is>
          <t>VINGÅKER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44489-2018</t>
        </is>
      </c>
      <c r="B494" s="1" t="n">
        <v>43356</v>
      </c>
      <c r="C494" s="1" t="n">
        <v>45353</v>
      </c>
      <c r="D494" t="inlineStr">
        <is>
          <t>SÖDERMANLANDS LÄN</t>
        </is>
      </c>
      <c r="E494" t="inlineStr">
        <is>
          <t>KATRINEHOLM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44474-2018</t>
        </is>
      </c>
      <c r="B495" s="1" t="n">
        <v>43356</v>
      </c>
      <c r="C495" s="1" t="n">
        <v>45353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44499-2018</t>
        </is>
      </c>
      <c r="B496" s="1" t="n">
        <v>43356</v>
      </c>
      <c r="C496" s="1" t="n">
        <v>45353</v>
      </c>
      <c r="D496" t="inlineStr">
        <is>
          <t>SÖDERMANLANDS LÄN</t>
        </is>
      </c>
      <c r="E496" t="inlineStr">
        <is>
          <t>KATRINEHOLM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44484-2018</t>
        </is>
      </c>
      <c r="B497" s="1" t="n">
        <v>43356</v>
      </c>
      <c r="C497" s="1" t="n">
        <v>45353</v>
      </c>
      <c r="D497" t="inlineStr">
        <is>
          <t>SÖDERMANLANDS LÄN</t>
        </is>
      </c>
      <c r="E497" t="inlineStr">
        <is>
          <t>KATRINEHOLM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44784-2018</t>
        </is>
      </c>
      <c r="B498" s="1" t="n">
        <v>43357</v>
      </c>
      <c r="C498" s="1" t="n">
        <v>45353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44794-2018</t>
        </is>
      </c>
      <c r="B499" s="1" t="n">
        <v>43357</v>
      </c>
      <c r="C499" s="1" t="n">
        <v>45353</v>
      </c>
      <c r="D499" t="inlineStr">
        <is>
          <t>SÖDERMANLANDS LÄN</t>
        </is>
      </c>
      <c r="E499" t="inlineStr">
        <is>
          <t>KATRINEHOLM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44911-2018</t>
        </is>
      </c>
      <c r="B500" s="1" t="n">
        <v>43360</v>
      </c>
      <c r="C500" s="1" t="n">
        <v>45353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44900-2018</t>
        </is>
      </c>
      <c r="B501" s="1" t="n">
        <v>43360</v>
      </c>
      <c r="C501" s="1" t="n">
        <v>45353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46046-2018</t>
        </is>
      </c>
      <c r="B502" s="1" t="n">
        <v>43365</v>
      </c>
      <c r="C502" s="1" t="n">
        <v>45353</v>
      </c>
      <c r="D502" t="inlineStr">
        <is>
          <t>SÖDERMANLANDS LÄN</t>
        </is>
      </c>
      <c r="E502" t="inlineStr">
        <is>
          <t>GNESTA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47304-2018</t>
        </is>
      </c>
      <c r="B503" s="1" t="n">
        <v>43368</v>
      </c>
      <c r="C503" s="1" t="n">
        <v>45353</v>
      </c>
      <c r="D503" t="inlineStr">
        <is>
          <t>SÖDERMANLANDS LÄN</t>
        </is>
      </c>
      <c r="E503" t="inlineStr">
        <is>
          <t>FLEN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47950-2018</t>
        </is>
      </c>
      <c r="B504" s="1" t="n">
        <v>43368</v>
      </c>
      <c r="C504" s="1" t="n">
        <v>45353</v>
      </c>
      <c r="D504" t="inlineStr">
        <is>
          <t>SÖDERMANLANDS LÄN</t>
        </is>
      </c>
      <c r="E504" t="inlineStr">
        <is>
          <t>NYKÖPING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47611-2018</t>
        </is>
      </c>
      <c r="B505" s="1" t="n">
        <v>43368</v>
      </c>
      <c r="C505" s="1" t="n">
        <v>45353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47997-2018</t>
        </is>
      </c>
      <c r="B506" s="1" t="n">
        <v>43369</v>
      </c>
      <c r="C506" s="1" t="n">
        <v>45353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48003-2018</t>
        </is>
      </c>
      <c r="B507" s="1" t="n">
        <v>43369</v>
      </c>
      <c r="C507" s="1" t="n">
        <v>45353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47756-2018</t>
        </is>
      </c>
      <c r="B508" s="1" t="n">
        <v>43370</v>
      </c>
      <c r="C508" s="1" t="n">
        <v>45353</v>
      </c>
      <c r="D508" t="inlineStr">
        <is>
          <t>SÖDERMANLANDS LÄN</t>
        </is>
      </c>
      <c r="E508" t="inlineStr">
        <is>
          <t>STRÄNGNÄS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48634-2018</t>
        </is>
      </c>
      <c r="B509" s="1" t="n">
        <v>43370</v>
      </c>
      <c r="C509" s="1" t="n">
        <v>45353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48232-2018</t>
        </is>
      </c>
      <c r="B510" s="1" t="n">
        <v>43371</v>
      </c>
      <c r="C510" s="1" t="n">
        <v>45353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47989-2018</t>
        </is>
      </c>
      <c r="B511" s="1" t="n">
        <v>43371</v>
      </c>
      <c r="C511" s="1" t="n">
        <v>45353</v>
      </c>
      <c r="D511" t="inlineStr">
        <is>
          <t>SÖDERMANLANDS LÄN</t>
        </is>
      </c>
      <c r="E511" t="inlineStr">
        <is>
          <t>VINGÅKER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49041-2018</t>
        </is>
      </c>
      <c r="B512" s="1" t="n">
        <v>43371</v>
      </c>
      <c r="C512" s="1" t="n">
        <v>45353</v>
      </c>
      <c r="D512" t="inlineStr">
        <is>
          <t>SÖDERMANLANDS LÄN</t>
        </is>
      </c>
      <c r="E512" t="inlineStr">
        <is>
          <t>FLEN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51686-2018</t>
        </is>
      </c>
      <c r="B513" s="1" t="n">
        <v>43374</v>
      </c>
      <c r="C513" s="1" t="n">
        <v>45353</v>
      </c>
      <c r="D513" t="inlineStr">
        <is>
          <t>SÖDERMANLANDS LÄN</t>
        </is>
      </c>
      <c r="E513" t="inlineStr">
        <is>
          <t>KATRINEHOLM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49513-2018</t>
        </is>
      </c>
      <c r="B514" s="1" t="n">
        <v>43374</v>
      </c>
      <c r="C514" s="1" t="n">
        <v>45353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49172-2018</t>
        </is>
      </c>
      <c r="B515" s="1" t="n">
        <v>43375</v>
      </c>
      <c r="C515" s="1" t="n">
        <v>45353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49850-2018</t>
        </is>
      </c>
      <c r="B516" s="1" t="n">
        <v>43375</v>
      </c>
      <c r="C516" s="1" t="n">
        <v>45353</v>
      </c>
      <c r="D516" t="inlineStr">
        <is>
          <t>SÖDERMANLANDS LÄN</t>
        </is>
      </c>
      <c r="E516" t="inlineStr">
        <is>
          <t>KATRINEHOLM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52370-2018</t>
        </is>
      </c>
      <c r="B517" s="1" t="n">
        <v>43383</v>
      </c>
      <c r="C517" s="1" t="n">
        <v>45353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Allmännings- och besparingsskogar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52444-2018</t>
        </is>
      </c>
      <c r="B518" s="1" t="n">
        <v>43383</v>
      </c>
      <c r="C518" s="1" t="n">
        <v>45353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Allmännings- och besparingsskogar</t>
        </is>
      </c>
      <c r="G518" t="n">
        <v>20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61741-2018</t>
        </is>
      </c>
      <c r="B519" s="1" t="n">
        <v>43383</v>
      </c>
      <c r="C519" s="1" t="n">
        <v>45353</v>
      </c>
      <c r="D519" t="inlineStr">
        <is>
          <t>SÖDERMANLANDS LÄN</t>
        </is>
      </c>
      <c r="E519" t="inlineStr">
        <is>
          <t>KATRINEHOLM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52356-2018</t>
        </is>
      </c>
      <c r="B520" s="1" t="n">
        <v>43383</v>
      </c>
      <c r="C520" s="1" t="n">
        <v>45353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52941-2018</t>
        </is>
      </c>
      <c r="B521" s="1" t="n">
        <v>43384</v>
      </c>
      <c r="C521" s="1" t="n">
        <v>45353</v>
      </c>
      <c r="D521" t="inlineStr">
        <is>
          <t>SÖDERMANLANDS LÄN</t>
        </is>
      </c>
      <c r="E521" t="inlineStr">
        <is>
          <t>KATRINEHOLM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52082-2018</t>
        </is>
      </c>
      <c r="B522" s="1" t="n">
        <v>43385</v>
      </c>
      <c r="C522" s="1" t="n">
        <v>45353</v>
      </c>
      <c r="D522" t="inlineStr">
        <is>
          <t>SÖDERMANLANDS LÄN</t>
        </is>
      </c>
      <c r="E522" t="inlineStr">
        <is>
          <t>GNESTA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52098-2018</t>
        </is>
      </c>
      <c r="B523" s="1" t="n">
        <v>43385</v>
      </c>
      <c r="C523" s="1" t="n">
        <v>45353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53488-2018</t>
        </is>
      </c>
      <c r="B524" s="1" t="n">
        <v>43385</v>
      </c>
      <c r="C524" s="1" t="n">
        <v>45353</v>
      </c>
      <c r="D524" t="inlineStr">
        <is>
          <t>SÖDERMANLANDS LÄN</t>
        </is>
      </c>
      <c r="E524" t="inlineStr">
        <is>
          <t>VINGÅKER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53493-2018</t>
        </is>
      </c>
      <c r="B525" s="1" t="n">
        <v>43385</v>
      </c>
      <c r="C525" s="1" t="n">
        <v>45353</v>
      </c>
      <c r="D525" t="inlineStr">
        <is>
          <t>SÖDERMANLANDS LÄN</t>
        </is>
      </c>
      <c r="E525" t="inlineStr">
        <is>
          <t>VINGÅKER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52300-2018</t>
        </is>
      </c>
      <c r="B526" s="1" t="n">
        <v>43388</v>
      </c>
      <c r="C526" s="1" t="n">
        <v>45353</v>
      </c>
      <c r="D526" t="inlineStr">
        <is>
          <t>SÖDERMANLANDS LÄN</t>
        </is>
      </c>
      <c r="E526" t="inlineStr">
        <is>
          <t>FLEN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53568-2018</t>
        </is>
      </c>
      <c r="B527" s="1" t="n">
        <v>43388</v>
      </c>
      <c r="C527" s="1" t="n">
        <v>45353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52349-2018</t>
        </is>
      </c>
      <c r="B528" s="1" t="n">
        <v>43388</v>
      </c>
      <c r="C528" s="1" t="n">
        <v>45353</v>
      </c>
      <c r="D528" t="inlineStr">
        <is>
          <t>SÖDERMANLANDS LÄN</t>
        </is>
      </c>
      <c r="E528" t="inlineStr">
        <is>
          <t>ESKILSTUNA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53614-2018</t>
        </is>
      </c>
      <c r="B529" s="1" t="n">
        <v>43388</v>
      </c>
      <c r="C529" s="1" t="n">
        <v>45353</v>
      </c>
      <c r="D529" t="inlineStr">
        <is>
          <t>SÖDERMANLANDS LÄN</t>
        </is>
      </c>
      <c r="E529" t="inlineStr">
        <is>
          <t>VINGÅKER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55812-2018</t>
        </is>
      </c>
      <c r="B530" s="1" t="n">
        <v>43392</v>
      </c>
      <c r="C530" s="1" t="n">
        <v>45353</v>
      </c>
      <c r="D530" t="inlineStr">
        <is>
          <t>SÖDERMANLANDS LÄN</t>
        </is>
      </c>
      <c r="E530" t="inlineStr">
        <is>
          <t>ESKILSTUNA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56602-2018</t>
        </is>
      </c>
      <c r="B531" s="1" t="n">
        <v>43395</v>
      </c>
      <c r="C531" s="1" t="n">
        <v>45353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54727-2018</t>
        </is>
      </c>
      <c r="B532" s="1" t="n">
        <v>43395</v>
      </c>
      <c r="C532" s="1" t="n">
        <v>45353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54814-2018</t>
        </is>
      </c>
      <c r="B533" s="1" t="n">
        <v>43395</v>
      </c>
      <c r="C533" s="1" t="n">
        <v>45353</v>
      </c>
      <c r="D533" t="inlineStr">
        <is>
          <t>SÖDERMANLANDS LÄN</t>
        </is>
      </c>
      <c r="E533" t="inlineStr">
        <is>
          <t>NYKÖPING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54815-2018</t>
        </is>
      </c>
      <c r="B534" s="1" t="n">
        <v>43395</v>
      </c>
      <c r="C534" s="1" t="n">
        <v>45353</v>
      </c>
      <c r="D534" t="inlineStr">
        <is>
          <t>SÖDERMANLANDS LÄN</t>
        </is>
      </c>
      <c r="E534" t="inlineStr">
        <is>
          <t>NYKÖPING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56581-2018</t>
        </is>
      </c>
      <c r="B535" s="1" t="n">
        <v>43395</v>
      </c>
      <c r="C535" s="1" t="n">
        <v>45353</v>
      </c>
      <c r="D535" t="inlineStr">
        <is>
          <t>SÖDERMANLANDS LÄN</t>
        </is>
      </c>
      <c r="E535" t="inlineStr">
        <is>
          <t>TROSA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54955-2018</t>
        </is>
      </c>
      <c r="B536" s="1" t="n">
        <v>43396</v>
      </c>
      <c r="C536" s="1" t="n">
        <v>45353</v>
      </c>
      <c r="D536" t="inlineStr">
        <is>
          <t>SÖDERMANLANDS LÄN</t>
        </is>
      </c>
      <c r="E536" t="inlineStr">
        <is>
          <t>ESKILSTUNA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57853-2018</t>
        </is>
      </c>
      <c r="B537" s="1" t="n">
        <v>43397</v>
      </c>
      <c r="C537" s="1" t="n">
        <v>45353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57760-2018</t>
        </is>
      </c>
      <c r="B538" s="1" t="n">
        <v>43397</v>
      </c>
      <c r="C538" s="1" t="n">
        <v>45353</v>
      </c>
      <c r="D538" t="inlineStr">
        <is>
          <t>SÖDERMANLANDS LÄN</t>
        </is>
      </c>
      <c r="E538" t="inlineStr">
        <is>
          <t>FLEN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59016-2018</t>
        </is>
      </c>
      <c r="B539" s="1" t="n">
        <v>43402</v>
      </c>
      <c r="C539" s="1" t="n">
        <v>45353</v>
      </c>
      <c r="D539" t="inlineStr">
        <is>
          <t>SÖDERMANLANDS LÄN</t>
        </is>
      </c>
      <c r="E539" t="inlineStr">
        <is>
          <t>ESKILSTUNA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58984-2018</t>
        </is>
      </c>
      <c r="B540" s="1" t="n">
        <v>43402</v>
      </c>
      <c r="C540" s="1" t="n">
        <v>45353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59204-2018</t>
        </is>
      </c>
      <c r="B541" s="1" t="n">
        <v>43403</v>
      </c>
      <c r="C541" s="1" t="n">
        <v>45353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59190-2018</t>
        </is>
      </c>
      <c r="B542" s="1" t="n">
        <v>43403</v>
      </c>
      <c r="C542" s="1" t="n">
        <v>45353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Kyrkan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59167-2018</t>
        </is>
      </c>
      <c r="B543" s="1" t="n">
        <v>43403</v>
      </c>
      <c r="C543" s="1" t="n">
        <v>45353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57452-2018</t>
        </is>
      </c>
      <c r="B544" s="1" t="n">
        <v>43404</v>
      </c>
      <c r="C544" s="1" t="n">
        <v>45353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59282-2018</t>
        </is>
      </c>
      <c r="B545" s="1" t="n">
        <v>43404</v>
      </c>
      <c r="C545" s="1" t="n">
        <v>45353</v>
      </c>
      <c r="D545" t="inlineStr">
        <is>
          <t>SÖDERMANLANDS LÄN</t>
        </is>
      </c>
      <c r="E545" t="inlineStr">
        <is>
          <t>VINGÅKER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59286-2018</t>
        </is>
      </c>
      <c r="B546" s="1" t="n">
        <v>43404</v>
      </c>
      <c r="C546" s="1" t="n">
        <v>45353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60402-2018</t>
        </is>
      </c>
      <c r="B547" s="1" t="n">
        <v>43405</v>
      </c>
      <c r="C547" s="1" t="n">
        <v>45353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58062-2018</t>
        </is>
      </c>
      <c r="B548" s="1" t="n">
        <v>43406</v>
      </c>
      <c r="C548" s="1" t="n">
        <v>45353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58067-2018</t>
        </is>
      </c>
      <c r="B549" s="1" t="n">
        <v>43406</v>
      </c>
      <c r="C549" s="1" t="n">
        <v>45353</v>
      </c>
      <c r="D549" t="inlineStr">
        <is>
          <t>SÖDERMANLANDS LÄN</t>
        </is>
      </c>
      <c r="E549" t="inlineStr">
        <is>
          <t>ESKILSTUNA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60312-2018</t>
        </is>
      </c>
      <c r="B550" s="1" t="n">
        <v>43406</v>
      </c>
      <c r="C550" s="1" t="n">
        <v>45353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58348-2018</t>
        </is>
      </c>
      <c r="B551" s="1" t="n">
        <v>43409</v>
      </c>
      <c r="C551" s="1" t="n">
        <v>45353</v>
      </c>
      <c r="D551" t="inlineStr">
        <is>
          <t>SÖDERMANLANDS LÄN</t>
        </is>
      </c>
      <c r="E551" t="inlineStr">
        <is>
          <t>VINGÅKER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58694-2018</t>
        </is>
      </c>
      <c r="B552" s="1" t="n">
        <v>43410</v>
      </c>
      <c r="C552" s="1" t="n">
        <v>45353</v>
      </c>
      <c r="D552" t="inlineStr">
        <is>
          <t>SÖDERMANLANDS LÄN</t>
        </is>
      </c>
      <c r="E552" t="inlineStr">
        <is>
          <t>TROSA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60777-2018</t>
        </is>
      </c>
      <c r="B553" s="1" t="n">
        <v>43410</v>
      </c>
      <c r="C553" s="1" t="n">
        <v>45353</v>
      </c>
      <c r="D553" t="inlineStr">
        <is>
          <t>SÖDERMANLANDS LÄN</t>
        </is>
      </c>
      <c r="E553" t="inlineStr">
        <is>
          <t>KATRINEHOLM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58905-2018</t>
        </is>
      </c>
      <c r="B554" s="1" t="n">
        <v>43410</v>
      </c>
      <c r="C554" s="1" t="n">
        <v>45353</v>
      </c>
      <c r="D554" t="inlineStr">
        <is>
          <t>SÖDERMANLANDS LÄN</t>
        </is>
      </c>
      <c r="E554" t="inlineStr">
        <is>
          <t>KATRINEHOLM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58752-2018</t>
        </is>
      </c>
      <c r="B555" s="1" t="n">
        <v>43410</v>
      </c>
      <c r="C555" s="1" t="n">
        <v>45353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64010-2018</t>
        </is>
      </c>
      <c r="B556" s="1" t="n">
        <v>43410</v>
      </c>
      <c r="C556" s="1" t="n">
        <v>45353</v>
      </c>
      <c r="D556" t="inlineStr">
        <is>
          <t>SÖDERMANLANDS LÄN</t>
        </is>
      </c>
      <c r="E556" t="inlineStr">
        <is>
          <t>TROSA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60069-2018</t>
        </is>
      </c>
      <c r="B557" s="1" t="n">
        <v>43412</v>
      </c>
      <c r="C557" s="1" t="n">
        <v>45353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65533-2018</t>
        </is>
      </c>
      <c r="B558" s="1" t="n">
        <v>43413</v>
      </c>
      <c r="C558" s="1" t="n">
        <v>45353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61414-2018</t>
        </is>
      </c>
      <c r="B559" s="1" t="n">
        <v>43413</v>
      </c>
      <c r="C559" s="1" t="n">
        <v>45353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62289-2018</t>
        </is>
      </c>
      <c r="B560" s="1" t="n">
        <v>43416</v>
      </c>
      <c r="C560" s="1" t="n">
        <v>45353</v>
      </c>
      <c r="D560" t="inlineStr">
        <is>
          <t>SÖDERMANLANDS LÄN</t>
        </is>
      </c>
      <c r="E560" t="inlineStr">
        <is>
          <t>VINGÅKER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59269-2018</t>
        </is>
      </c>
      <c r="B561" s="1" t="n">
        <v>43418</v>
      </c>
      <c r="C561" s="1" t="n">
        <v>45353</v>
      </c>
      <c r="D561" t="inlineStr">
        <is>
          <t>SÖDERMANLANDS LÄN</t>
        </is>
      </c>
      <c r="E561" t="inlineStr">
        <is>
          <t>VINGÅKER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63916-2018</t>
        </is>
      </c>
      <c r="B562" s="1" t="n">
        <v>43418</v>
      </c>
      <c r="C562" s="1" t="n">
        <v>45353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Allmännings- och besparingsskogar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63105-2018</t>
        </is>
      </c>
      <c r="B563" s="1" t="n">
        <v>43418</v>
      </c>
      <c r="C563" s="1" t="n">
        <v>45353</v>
      </c>
      <c r="D563" t="inlineStr">
        <is>
          <t>SÖDERMANLANDS LÄN</t>
        </is>
      </c>
      <c r="E563" t="inlineStr">
        <is>
          <t>ESKILSTUNA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63056-2018</t>
        </is>
      </c>
      <c r="B564" s="1" t="n">
        <v>43418</v>
      </c>
      <c r="C564" s="1" t="n">
        <v>45353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59570-2018</t>
        </is>
      </c>
      <c r="B565" s="1" t="n">
        <v>43419</v>
      </c>
      <c r="C565" s="1" t="n">
        <v>45353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59657-2018</t>
        </is>
      </c>
      <c r="B566" s="1" t="n">
        <v>43419</v>
      </c>
      <c r="C566" s="1" t="n">
        <v>45353</v>
      </c>
      <c r="D566" t="inlineStr">
        <is>
          <t>SÖDERMANLANDS LÄN</t>
        </is>
      </c>
      <c r="E566" t="inlineStr">
        <is>
          <t>KATRINEHOLM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59561-2018</t>
        </is>
      </c>
      <c r="B567" s="1" t="n">
        <v>43419</v>
      </c>
      <c r="C567" s="1" t="n">
        <v>45353</v>
      </c>
      <c r="D567" t="inlineStr">
        <is>
          <t>SÖDERMANLANDS LÄN</t>
        </is>
      </c>
      <c r="E567" t="inlineStr">
        <is>
          <t>NYKÖPING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64585-2018</t>
        </is>
      </c>
      <c r="B568" s="1" t="n">
        <v>43420</v>
      </c>
      <c r="C568" s="1" t="n">
        <v>45353</v>
      </c>
      <c r="D568" t="inlineStr">
        <is>
          <t>SÖDERMANLANDS LÄN</t>
        </is>
      </c>
      <c r="E568" t="inlineStr">
        <is>
          <t>VINGÅKER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60513-2018</t>
        </is>
      </c>
      <c r="B569" s="1" t="n">
        <v>43420</v>
      </c>
      <c r="C569" s="1" t="n">
        <v>45353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64571-2018</t>
        </is>
      </c>
      <c r="B570" s="1" t="n">
        <v>43420</v>
      </c>
      <c r="C570" s="1" t="n">
        <v>45353</v>
      </c>
      <c r="D570" t="inlineStr">
        <is>
          <t>SÖDERMANLANDS LÄN</t>
        </is>
      </c>
      <c r="E570" t="inlineStr">
        <is>
          <t>VINGÅKER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60504-2018</t>
        </is>
      </c>
      <c r="B571" s="1" t="n">
        <v>43420</v>
      </c>
      <c r="C571" s="1" t="n">
        <v>45353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60489-2018</t>
        </is>
      </c>
      <c r="B572" s="1" t="n">
        <v>43420</v>
      </c>
      <c r="C572" s="1" t="n">
        <v>45353</v>
      </c>
      <c r="D572" t="inlineStr">
        <is>
          <t>SÖDERMANLANDS LÄN</t>
        </is>
      </c>
      <c r="E572" t="inlineStr">
        <is>
          <t>STRÄNGNÄS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64589-2018</t>
        </is>
      </c>
      <c r="B573" s="1" t="n">
        <v>43420</v>
      </c>
      <c r="C573" s="1" t="n">
        <v>45353</v>
      </c>
      <c r="D573" t="inlineStr">
        <is>
          <t>SÖDERMANLANDS LÄN</t>
        </is>
      </c>
      <c r="E573" t="inlineStr">
        <is>
          <t>VINGÅKER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64595-2018</t>
        </is>
      </c>
      <c r="B574" s="1" t="n">
        <v>43420</v>
      </c>
      <c r="C574" s="1" t="n">
        <v>45353</v>
      </c>
      <c r="D574" t="inlineStr">
        <is>
          <t>SÖDERMANLANDS LÄN</t>
        </is>
      </c>
      <c r="E574" t="inlineStr">
        <is>
          <t>VINGÅKER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64618-2018</t>
        </is>
      </c>
      <c r="B575" s="1" t="n">
        <v>43422</v>
      </c>
      <c r="C575" s="1" t="n">
        <v>45353</v>
      </c>
      <c r="D575" t="inlineStr">
        <is>
          <t>SÖDERMANLANDS LÄN</t>
        </is>
      </c>
      <c r="E575" t="inlineStr">
        <is>
          <t>KATRINEHOLM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64608-2018</t>
        </is>
      </c>
      <c r="B576" s="1" t="n">
        <v>43422</v>
      </c>
      <c r="C576" s="1" t="n">
        <v>45353</v>
      </c>
      <c r="D576" t="inlineStr">
        <is>
          <t>SÖDERMANLANDS LÄN</t>
        </is>
      </c>
      <c r="E576" t="inlineStr">
        <is>
          <t>KATRINEHOLM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61211-2018</t>
        </is>
      </c>
      <c r="B577" s="1" t="n">
        <v>43423</v>
      </c>
      <c r="C577" s="1" t="n">
        <v>45353</v>
      </c>
      <c r="D577" t="inlineStr">
        <is>
          <t>SÖDERMANLANDS LÄN</t>
        </is>
      </c>
      <c r="E577" t="inlineStr">
        <is>
          <t>FLEN</t>
        </is>
      </c>
      <c r="F577" t="inlineStr">
        <is>
          <t>Kommuner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61053-2018</t>
        </is>
      </c>
      <c r="B578" s="1" t="n">
        <v>43423</v>
      </c>
      <c r="C578" s="1" t="n">
        <v>45353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61504-2018</t>
        </is>
      </c>
      <c r="B579" s="1" t="n">
        <v>43424</v>
      </c>
      <c r="C579" s="1" t="n">
        <v>45353</v>
      </c>
      <c r="D579" t="inlineStr">
        <is>
          <t>SÖDERMANLANDS LÄN</t>
        </is>
      </c>
      <c r="E579" t="inlineStr">
        <is>
          <t>STRÄNGNÄS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61379-2018</t>
        </is>
      </c>
      <c r="B580" s="1" t="n">
        <v>43424</v>
      </c>
      <c r="C580" s="1" t="n">
        <v>45353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61404-2018</t>
        </is>
      </c>
      <c r="B581" s="1" t="n">
        <v>43424</v>
      </c>
      <c r="C581" s="1" t="n">
        <v>45353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61506-2018</t>
        </is>
      </c>
      <c r="B582" s="1" t="n">
        <v>43424</v>
      </c>
      <c r="C582" s="1" t="n">
        <v>45353</v>
      </c>
      <c r="D582" t="inlineStr">
        <is>
          <t>SÖDERMANLANDS LÄN</t>
        </is>
      </c>
      <c r="E582" t="inlineStr">
        <is>
          <t>STRÄNGNÄS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65623-2018</t>
        </is>
      </c>
      <c r="B583" s="1" t="n">
        <v>43425</v>
      </c>
      <c r="C583" s="1" t="n">
        <v>45353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62238-2018</t>
        </is>
      </c>
      <c r="B584" s="1" t="n">
        <v>43425</v>
      </c>
      <c r="C584" s="1" t="n">
        <v>45353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62559-2018</t>
        </is>
      </c>
      <c r="B585" s="1" t="n">
        <v>43426</v>
      </c>
      <c r="C585" s="1" t="n">
        <v>45353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63201-2018</t>
        </is>
      </c>
      <c r="B586" s="1" t="n">
        <v>43426</v>
      </c>
      <c r="C586" s="1" t="n">
        <v>45353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62534-2018</t>
        </is>
      </c>
      <c r="B587" s="1" t="n">
        <v>43426</v>
      </c>
      <c r="C587" s="1" t="n">
        <v>45353</v>
      </c>
      <c r="D587" t="inlineStr">
        <is>
          <t>SÖDERMANLANDS LÄN</t>
        </is>
      </c>
      <c r="E587" t="inlineStr">
        <is>
          <t>FLEN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63210-2018</t>
        </is>
      </c>
      <c r="B588" s="1" t="n">
        <v>43426</v>
      </c>
      <c r="C588" s="1" t="n">
        <v>45353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62558-2018</t>
        </is>
      </c>
      <c r="B589" s="1" t="n">
        <v>43426</v>
      </c>
      <c r="C589" s="1" t="n">
        <v>45353</v>
      </c>
      <c r="D589" t="inlineStr">
        <is>
          <t>SÖDERMANLANDS LÄN</t>
        </is>
      </c>
      <c r="E589" t="inlineStr">
        <is>
          <t>FLEN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66292-2018</t>
        </is>
      </c>
      <c r="B590" s="1" t="n">
        <v>43427</v>
      </c>
      <c r="C590" s="1" t="n">
        <v>45353</v>
      </c>
      <c r="D590" t="inlineStr">
        <is>
          <t>SÖDERMANLANDS LÄN</t>
        </is>
      </c>
      <c r="E590" t="inlineStr">
        <is>
          <t>ESKILSTUNA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64198-2018</t>
        </is>
      </c>
      <c r="B591" s="1" t="n">
        <v>43430</v>
      </c>
      <c r="C591" s="1" t="n">
        <v>45353</v>
      </c>
      <c r="D591" t="inlineStr">
        <is>
          <t>SÖDERMANLANDS LÄN</t>
        </is>
      </c>
      <c r="E591" t="inlineStr">
        <is>
          <t>KATRINEHOLM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64203-2018</t>
        </is>
      </c>
      <c r="B592" s="1" t="n">
        <v>43430</v>
      </c>
      <c r="C592" s="1" t="n">
        <v>45353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64439-2018</t>
        </is>
      </c>
      <c r="B593" s="1" t="n">
        <v>43431</v>
      </c>
      <c r="C593" s="1" t="n">
        <v>45353</v>
      </c>
      <c r="D593" t="inlineStr">
        <is>
          <t>SÖDERMANLANDS LÄN</t>
        </is>
      </c>
      <c r="E593" t="inlineStr">
        <is>
          <t>ESKILSTUNA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66862-2018</t>
        </is>
      </c>
      <c r="B594" s="1" t="n">
        <v>43431</v>
      </c>
      <c r="C594" s="1" t="n">
        <v>45353</v>
      </c>
      <c r="D594" t="inlineStr">
        <is>
          <t>SÖDERMANLANDS LÄN</t>
        </is>
      </c>
      <c r="E594" t="inlineStr">
        <is>
          <t>FLEN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67010-2018</t>
        </is>
      </c>
      <c r="B595" s="1" t="n">
        <v>43431</v>
      </c>
      <c r="C595" s="1" t="n">
        <v>45353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64839-2018</t>
        </is>
      </c>
      <c r="B596" s="1" t="n">
        <v>43431</v>
      </c>
      <c r="C596" s="1" t="n">
        <v>45353</v>
      </c>
      <c r="D596" t="inlineStr">
        <is>
          <t>SÖDERMANLANDS LÄN</t>
        </is>
      </c>
      <c r="E596" t="inlineStr">
        <is>
          <t>ESKILSTUNA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67285-2018</t>
        </is>
      </c>
      <c r="B597" s="1" t="n">
        <v>43432</v>
      </c>
      <c r="C597" s="1" t="n">
        <v>45353</v>
      </c>
      <c r="D597" t="inlineStr">
        <is>
          <t>SÖDERMANLANDS LÄN</t>
        </is>
      </c>
      <c r="E597" t="inlineStr">
        <is>
          <t>NYKÖPING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65334-2018</t>
        </is>
      </c>
      <c r="B598" s="1" t="n">
        <v>43432</v>
      </c>
      <c r="C598" s="1" t="n">
        <v>45353</v>
      </c>
      <c r="D598" t="inlineStr">
        <is>
          <t>SÖDERMANLANDS LÄN</t>
        </is>
      </c>
      <c r="E598" t="inlineStr">
        <is>
          <t>VINGÅKER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65335-2018</t>
        </is>
      </c>
      <c r="B599" s="1" t="n">
        <v>43432</v>
      </c>
      <c r="C599" s="1" t="n">
        <v>45353</v>
      </c>
      <c r="D599" t="inlineStr">
        <is>
          <t>SÖDERMANLANDS LÄN</t>
        </is>
      </c>
      <c r="E599" t="inlineStr">
        <is>
          <t>VINGÅKER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67254-2018</t>
        </is>
      </c>
      <c r="B600" s="1" t="n">
        <v>43432</v>
      </c>
      <c r="C600" s="1" t="n">
        <v>45353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67276-2018</t>
        </is>
      </c>
      <c r="B601" s="1" t="n">
        <v>43432</v>
      </c>
      <c r="C601" s="1" t="n">
        <v>45353</v>
      </c>
      <c r="D601" t="inlineStr">
        <is>
          <t>SÖDERMANLANDS LÄN</t>
        </is>
      </c>
      <c r="E601" t="inlineStr">
        <is>
          <t>NYKÖPING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67283-2018</t>
        </is>
      </c>
      <c r="B602" s="1" t="n">
        <v>43432</v>
      </c>
      <c r="C602" s="1" t="n">
        <v>45353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65759-2018</t>
        </is>
      </c>
      <c r="B603" s="1" t="n">
        <v>43433</v>
      </c>
      <c r="C603" s="1" t="n">
        <v>45353</v>
      </c>
      <c r="D603" t="inlineStr">
        <is>
          <t>SÖDERMANLANDS LÄN</t>
        </is>
      </c>
      <c r="E603" t="inlineStr">
        <is>
          <t>FLEN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67808-2018</t>
        </is>
      </c>
      <c r="B604" s="1" t="n">
        <v>43433</v>
      </c>
      <c r="C604" s="1" t="n">
        <v>45353</v>
      </c>
      <c r="D604" t="inlineStr">
        <is>
          <t>SÖDERMANLANDS LÄN</t>
        </is>
      </c>
      <c r="E604" t="inlineStr">
        <is>
          <t>KATRINEHOLM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66166-2018</t>
        </is>
      </c>
      <c r="B605" s="1" t="n">
        <v>43434</v>
      </c>
      <c r="C605" s="1" t="n">
        <v>45353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66165-2018</t>
        </is>
      </c>
      <c r="B606" s="1" t="n">
        <v>43434</v>
      </c>
      <c r="C606" s="1" t="n">
        <v>45353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66433-2018</t>
        </is>
      </c>
      <c r="B607" s="1" t="n">
        <v>43437</v>
      </c>
      <c r="C607" s="1" t="n">
        <v>45353</v>
      </c>
      <c r="D607" t="inlineStr">
        <is>
          <t>SÖDERMANLANDS LÄN</t>
        </is>
      </c>
      <c r="E607" t="inlineStr">
        <is>
          <t>FLEN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67147-2018</t>
        </is>
      </c>
      <c r="B608" s="1" t="n">
        <v>43438</v>
      </c>
      <c r="C608" s="1" t="n">
        <v>45353</v>
      </c>
      <c r="D608" t="inlineStr">
        <is>
          <t>SÖDERMANLANDS LÄN</t>
        </is>
      </c>
      <c r="E608" t="inlineStr">
        <is>
          <t>VINGÅKER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67055-2018</t>
        </is>
      </c>
      <c r="B609" s="1" t="n">
        <v>43438</v>
      </c>
      <c r="C609" s="1" t="n">
        <v>45353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67053-2018</t>
        </is>
      </c>
      <c r="B610" s="1" t="n">
        <v>43438</v>
      </c>
      <c r="C610" s="1" t="n">
        <v>45353</v>
      </c>
      <c r="D610" t="inlineStr">
        <is>
          <t>SÖDERMANLANDS LÄN</t>
        </is>
      </c>
      <c r="E610" t="inlineStr">
        <is>
          <t>NYKÖPING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67075-2018</t>
        </is>
      </c>
      <c r="B611" s="1" t="n">
        <v>43438</v>
      </c>
      <c r="C611" s="1" t="n">
        <v>45353</v>
      </c>
      <c r="D611" t="inlineStr">
        <is>
          <t>SÖDERMANLANDS LÄN</t>
        </is>
      </c>
      <c r="E611" t="inlineStr">
        <is>
          <t>GNESTA</t>
        </is>
      </c>
      <c r="F611" t="inlineStr">
        <is>
          <t>Övriga Aktiebolag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67295-2018</t>
        </is>
      </c>
      <c r="B612" s="1" t="n">
        <v>43439</v>
      </c>
      <c r="C612" s="1" t="n">
        <v>45353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67319-2018</t>
        </is>
      </c>
      <c r="B613" s="1" t="n">
        <v>43439</v>
      </c>
      <c r="C613" s="1" t="n">
        <v>45353</v>
      </c>
      <c r="D613" t="inlineStr">
        <is>
          <t>SÖDERMANLANDS LÄN</t>
        </is>
      </c>
      <c r="E613" t="inlineStr">
        <is>
          <t>ESKILSTUNA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67284-2018</t>
        </is>
      </c>
      <c r="B614" s="1" t="n">
        <v>43439</v>
      </c>
      <c r="C614" s="1" t="n">
        <v>45353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68268-2018</t>
        </is>
      </c>
      <c r="B615" s="1" t="n">
        <v>43441</v>
      </c>
      <c r="C615" s="1" t="n">
        <v>45353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68225-2018</t>
        </is>
      </c>
      <c r="B616" s="1" t="n">
        <v>43441</v>
      </c>
      <c r="C616" s="1" t="n">
        <v>45353</v>
      </c>
      <c r="D616" t="inlineStr">
        <is>
          <t>SÖDERMANLANDS LÄN</t>
        </is>
      </c>
      <c r="E616" t="inlineStr">
        <is>
          <t>KATRINEHOLM</t>
        </is>
      </c>
      <c r="F616" t="inlineStr">
        <is>
          <t>Övriga Aktiebolag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68199-2018</t>
        </is>
      </c>
      <c r="B617" s="1" t="n">
        <v>43441</v>
      </c>
      <c r="C617" s="1" t="n">
        <v>45353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68192-2018</t>
        </is>
      </c>
      <c r="B618" s="1" t="n">
        <v>43441</v>
      </c>
      <c r="C618" s="1" t="n">
        <v>45353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68206-2018</t>
        </is>
      </c>
      <c r="B619" s="1" t="n">
        <v>43441</v>
      </c>
      <c r="C619" s="1" t="n">
        <v>45353</v>
      </c>
      <c r="D619" t="inlineStr">
        <is>
          <t>SÖDERMANLANDS LÄN</t>
        </is>
      </c>
      <c r="E619" t="inlineStr">
        <is>
          <t>ESKILSTUNA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68201-2018</t>
        </is>
      </c>
      <c r="B620" s="1" t="n">
        <v>43441</v>
      </c>
      <c r="C620" s="1" t="n">
        <v>45353</v>
      </c>
      <c r="D620" t="inlineStr">
        <is>
          <t>SÖDERMANLANDS LÄN</t>
        </is>
      </c>
      <c r="E620" t="inlineStr">
        <is>
          <t>ESKILSTUNA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69718-2018</t>
        </is>
      </c>
      <c r="B621" s="1" t="n">
        <v>43444</v>
      </c>
      <c r="C621" s="1" t="n">
        <v>45353</v>
      </c>
      <c r="D621" t="inlineStr">
        <is>
          <t>SÖDERMANLANDS LÄN</t>
        </is>
      </c>
      <c r="E621" t="inlineStr">
        <is>
          <t>VINGÅKER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68736-2018</t>
        </is>
      </c>
      <c r="B622" s="1" t="n">
        <v>43444</v>
      </c>
      <c r="C622" s="1" t="n">
        <v>45353</v>
      </c>
      <c r="D622" t="inlineStr">
        <is>
          <t>SÖDERMANLANDS LÄN</t>
        </is>
      </c>
      <c r="E622" t="inlineStr">
        <is>
          <t>FLEN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70016-2018</t>
        </is>
      </c>
      <c r="B623" s="1" t="n">
        <v>43445</v>
      </c>
      <c r="C623" s="1" t="n">
        <v>45353</v>
      </c>
      <c r="D623" t="inlineStr">
        <is>
          <t>SÖDERMANLANDS LÄN</t>
        </is>
      </c>
      <c r="E623" t="inlineStr">
        <is>
          <t>KATRINEHOLM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70054-2018</t>
        </is>
      </c>
      <c r="B624" s="1" t="n">
        <v>43445</v>
      </c>
      <c r="C624" s="1" t="n">
        <v>45353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69529-2018</t>
        </is>
      </c>
      <c r="B625" s="1" t="n">
        <v>43446</v>
      </c>
      <c r="C625" s="1" t="n">
        <v>45353</v>
      </c>
      <c r="D625" t="inlineStr">
        <is>
          <t>SÖDERMANLANDS LÄN</t>
        </is>
      </c>
      <c r="E625" t="inlineStr">
        <is>
          <t>FLEN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69355-2018</t>
        </is>
      </c>
      <c r="B626" s="1" t="n">
        <v>43446</v>
      </c>
      <c r="C626" s="1" t="n">
        <v>45353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69345-2018</t>
        </is>
      </c>
      <c r="B627" s="1" t="n">
        <v>43446</v>
      </c>
      <c r="C627" s="1" t="n">
        <v>45353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69349-2018</t>
        </is>
      </c>
      <c r="B628" s="1" t="n">
        <v>43446</v>
      </c>
      <c r="C628" s="1" t="n">
        <v>45353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70450-2018</t>
        </is>
      </c>
      <c r="B629" s="1" t="n">
        <v>43447</v>
      </c>
      <c r="C629" s="1" t="n">
        <v>45353</v>
      </c>
      <c r="D629" t="inlineStr">
        <is>
          <t>SÖDERMANLANDS LÄN</t>
        </is>
      </c>
      <c r="E629" t="inlineStr">
        <is>
          <t>VINGÅKER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70063-2018</t>
        </is>
      </c>
      <c r="B630" s="1" t="n">
        <v>43448</v>
      </c>
      <c r="C630" s="1" t="n">
        <v>45353</v>
      </c>
      <c r="D630" t="inlineStr">
        <is>
          <t>SÖDERMANLANDS LÄN</t>
        </is>
      </c>
      <c r="E630" t="inlineStr">
        <is>
          <t>STRÄNGNÄS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70139-2018</t>
        </is>
      </c>
      <c r="B631" s="1" t="n">
        <v>43448</v>
      </c>
      <c r="C631" s="1" t="n">
        <v>45353</v>
      </c>
      <c r="D631" t="inlineStr">
        <is>
          <t>SÖDERMANLANDS LÄN</t>
        </is>
      </c>
      <c r="E631" t="inlineStr">
        <is>
          <t>TROSA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70143-2018</t>
        </is>
      </c>
      <c r="B632" s="1" t="n">
        <v>43448</v>
      </c>
      <c r="C632" s="1" t="n">
        <v>45353</v>
      </c>
      <c r="D632" t="inlineStr">
        <is>
          <t>SÖDERMANLANDS LÄN</t>
        </is>
      </c>
      <c r="E632" t="inlineStr">
        <is>
          <t>TROSA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70409-2018</t>
        </is>
      </c>
      <c r="B633" s="1" t="n">
        <v>43450</v>
      </c>
      <c r="C633" s="1" t="n">
        <v>45353</v>
      </c>
      <c r="D633" t="inlineStr">
        <is>
          <t>SÖDERMANLANDS LÄN</t>
        </is>
      </c>
      <c r="E633" t="inlineStr">
        <is>
          <t>FLEN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71345-2018</t>
        </is>
      </c>
      <c r="B634" s="1" t="n">
        <v>43451</v>
      </c>
      <c r="C634" s="1" t="n">
        <v>45353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71030-2018</t>
        </is>
      </c>
      <c r="B635" s="1" t="n">
        <v>43451</v>
      </c>
      <c r="C635" s="1" t="n">
        <v>45353</v>
      </c>
      <c r="D635" t="inlineStr">
        <is>
          <t>SÖDERMANLANDS LÄN</t>
        </is>
      </c>
      <c r="E635" t="inlineStr">
        <is>
          <t>ESKILSTUNA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71086-2018</t>
        </is>
      </c>
      <c r="B636" s="1" t="n">
        <v>43452</v>
      </c>
      <c r="C636" s="1" t="n">
        <v>45353</v>
      </c>
      <c r="D636" t="inlineStr">
        <is>
          <t>SÖDERMANLANDS LÄN</t>
        </is>
      </c>
      <c r="E636" t="inlineStr">
        <is>
          <t>NYKÖPING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71145-2018</t>
        </is>
      </c>
      <c r="B637" s="1" t="n">
        <v>43452</v>
      </c>
      <c r="C637" s="1" t="n">
        <v>45353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71087-2018</t>
        </is>
      </c>
      <c r="B638" s="1" t="n">
        <v>43452</v>
      </c>
      <c r="C638" s="1" t="n">
        <v>45353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71263-2018</t>
        </is>
      </c>
      <c r="B639" s="1" t="n">
        <v>43453</v>
      </c>
      <c r="C639" s="1" t="n">
        <v>45353</v>
      </c>
      <c r="D639" t="inlineStr">
        <is>
          <t>SÖDERMANLANDS LÄN</t>
        </is>
      </c>
      <c r="E639" t="inlineStr">
        <is>
          <t>KATRINEHOLM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71331-2018</t>
        </is>
      </c>
      <c r="B640" s="1" t="n">
        <v>43453</v>
      </c>
      <c r="C640" s="1" t="n">
        <v>45353</v>
      </c>
      <c r="D640" t="inlineStr">
        <is>
          <t>SÖDERMANLANDS LÄN</t>
        </is>
      </c>
      <c r="E640" t="inlineStr">
        <is>
          <t>NYKÖPING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72160-2018</t>
        </is>
      </c>
      <c r="B641" s="1" t="n">
        <v>43453</v>
      </c>
      <c r="C641" s="1" t="n">
        <v>45353</v>
      </c>
      <c r="D641" t="inlineStr">
        <is>
          <t>SÖDERMANLANDS LÄN</t>
        </is>
      </c>
      <c r="E641" t="inlineStr">
        <is>
          <t>KATRINEHOLM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71206-2018</t>
        </is>
      </c>
      <c r="B642" s="1" t="n">
        <v>43453</v>
      </c>
      <c r="C642" s="1" t="n">
        <v>45353</v>
      </c>
      <c r="D642" t="inlineStr">
        <is>
          <t>SÖDERMANLANDS LÄN</t>
        </is>
      </c>
      <c r="E642" t="inlineStr">
        <is>
          <t>KATRINEHOLM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72283-2018</t>
        </is>
      </c>
      <c r="B643" s="1" t="n">
        <v>43455</v>
      </c>
      <c r="C643" s="1" t="n">
        <v>45353</v>
      </c>
      <c r="D643" t="inlineStr">
        <is>
          <t>SÖDERMANLANDS LÄN</t>
        </is>
      </c>
      <c r="E643" t="inlineStr">
        <is>
          <t>FLEN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606-2019</t>
        </is>
      </c>
      <c r="B644" s="1" t="n">
        <v>43455</v>
      </c>
      <c r="C644" s="1" t="n">
        <v>45353</v>
      </c>
      <c r="D644" t="inlineStr">
        <is>
          <t>SÖDERMANLANDS LÄN</t>
        </is>
      </c>
      <c r="E644" t="inlineStr">
        <is>
          <t>ESKILSTUNA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600-2019</t>
        </is>
      </c>
      <c r="B645" s="1" t="n">
        <v>43455</v>
      </c>
      <c r="C645" s="1" t="n">
        <v>45353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72334-2018</t>
        </is>
      </c>
      <c r="B646" s="1" t="n">
        <v>43460</v>
      </c>
      <c r="C646" s="1" t="n">
        <v>45353</v>
      </c>
      <c r="D646" t="inlineStr">
        <is>
          <t>SÖDERMANLANDS LÄN</t>
        </is>
      </c>
      <c r="E646" t="inlineStr">
        <is>
          <t>ESKILSTUNA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1630-2019</t>
        </is>
      </c>
      <c r="B647" s="1" t="n">
        <v>43461</v>
      </c>
      <c r="C647" s="1" t="n">
        <v>45353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Allmännings- och besparingsskogar</t>
        </is>
      </c>
      <c r="G647" t="n">
        <v>31.1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1650-2019</t>
        </is>
      </c>
      <c r="B648" s="1" t="n">
        <v>43461</v>
      </c>
      <c r="C648" s="1" t="n">
        <v>45353</v>
      </c>
      <c r="D648" t="inlineStr">
        <is>
          <t>SÖDERMANLANDS LÄN</t>
        </is>
      </c>
      <c r="E648" t="inlineStr">
        <is>
          <t>KATRINEHOLM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1937-2019</t>
        </is>
      </c>
      <c r="B649" s="1" t="n">
        <v>43461</v>
      </c>
      <c r="C649" s="1" t="n">
        <v>45353</v>
      </c>
      <c r="D649" t="inlineStr">
        <is>
          <t>SÖDERMANLANDS LÄN</t>
        </is>
      </c>
      <c r="E649" t="inlineStr">
        <is>
          <t>STRÄNGNÄS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1658-2019</t>
        </is>
      </c>
      <c r="B650" s="1" t="n">
        <v>43461</v>
      </c>
      <c r="C650" s="1" t="n">
        <v>45353</v>
      </c>
      <c r="D650" t="inlineStr">
        <is>
          <t>SÖDERMANLANDS LÄN</t>
        </is>
      </c>
      <c r="E650" t="inlineStr">
        <is>
          <t>ESKILSTUNA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2062-2019</t>
        </is>
      </c>
      <c r="B651" s="1" t="n">
        <v>43462</v>
      </c>
      <c r="C651" s="1" t="n">
        <v>45353</v>
      </c>
      <c r="D651" t="inlineStr">
        <is>
          <t>SÖDERMANLANDS LÄN</t>
        </is>
      </c>
      <c r="E651" t="inlineStr">
        <is>
          <t>VINGÅKER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72643-2018</t>
        </is>
      </c>
      <c r="B652" s="1" t="n">
        <v>43464</v>
      </c>
      <c r="C652" s="1" t="n">
        <v>45353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23.5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72645-2018</t>
        </is>
      </c>
      <c r="B653" s="1" t="n">
        <v>43464</v>
      </c>
      <c r="C653" s="1" t="n">
        <v>45353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17-2019</t>
        </is>
      </c>
      <c r="B654" s="1" t="n">
        <v>43466</v>
      </c>
      <c r="C654" s="1" t="n">
        <v>45353</v>
      </c>
      <c r="D654" t="inlineStr">
        <is>
          <t>SÖDERMANLANDS LÄN</t>
        </is>
      </c>
      <c r="E654" t="inlineStr">
        <is>
          <t>ESKILSTUNA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10-2019</t>
        </is>
      </c>
      <c r="B655" s="1" t="n">
        <v>43466</v>
      </c>
      <c r="C655" s="1" t="n">
        <v>45353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11-2019</t>
        </is>
      </c>
      <c r="B656" s="1" t="n">
        <v>43466</v>
      </c>
      <c r="C656" s="1" t="n">
        <v>45353</v>
      </c>
      <c r="D656" t="inlineStr">
        <is>
          <t>SÖDERMANLANDS LÄN</t>
        </is>
      </c>
      <c r="E656" t="inlineStr">
        <is>
          <t>KATRINEHOLM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205-2019</t>
        </is>
      </c>
      <c r="B657" s="1" t="n">
        <v>43467</v>
      </c>
      <c r="C657" s="1" t="n">
        <v>45353</v>
      </c>
      <c r="D657" t="inlineStr">
        <is>
          <t>SÖDERMANLANDS LÄN</t>
        </is>
      </c>
      <c r="E657" t="inlineStr">
        <is>
          <t>NYKÖPING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458-2019</t>
        </is>
      </c>
      <c r="B658" s="1" t="n">
        <v>43468</v>
      </c>
      <c r="C658" s="1" t="n">
        <v>45353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679-2019</t>
        </is>
      </c>
      <c r="B659" s="1" t="n">
        <v>43469</v>
      </c>
      <c r="C659" s="1" t="n">
        <v>45353</v>
      </c>
      <c r="D659" t="inlineStr">
        <is>
          <t>SÖDERMANLANDS LÄN</t>
        </is>
      </c>
      <c r="E659" t="inlineStr">
        <is>
          <t>TROSA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979-2019</t>
        </is>
      </c>
      <c r="B660" s="1" t="n">
        <v>43472</v>
      </c>
      <c r="C660" s="1" t="n">
        <v>45353</v>
      </c>
      <c r="D660" t="inlineStr">
        <is>
          <t>SÖDERMANLANDS LÄN</t>
        </is>
      </c>
      <c r="E660" t="inlineStr">
        <is>
          <t>GNESTA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1029-2019</t>
        </is>
      </c>
      <c r="B661" s="1" t="n">
        <v>43472</v>
      </c>
      <c r="C661" s="1" t="n">
        <v>45353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1064-2019</t>
        </is>
      </c>
      <c r="B662" s="1" t="n">
        <v>43472</v>
      </c>
      <c r="C662" s="1" t="n">
        <v>45353</v>
      </c>
      <c r="D662" t="inlineStr">
        <is>
          <t>SÖDERMANLANDS LÄN</t>
        </is>
      </c>
      <c r="E662" t="inlineStr">
        <is>
          <t>STRÄNGNÄS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1090-2019</t>
        </is>
      </c>
      <c r="B663" s="1" t="n">
        <v>43472</v>
      </c>
      <c r="C663" s="1" t="n">
        <v>45353</v>
      </c>
      <c r="D663" t="inlineStr">
        <is>
          <t>SÖDERMANLANDS LÄN</t>
        </is>
      </c>
      <c r="E663" t="inlineStr">
        <is>
          <t>GNESTA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1071-2019</t>
        </is>
      </c>
      <c r="B664" s="1" t="n">
        <v>43472</v>
      </c>
      <c r="C664" s="1" t="n">
        <v>45353</v>
      </c>
      <c r="D664" t="inlineStr">
        <is>
          <t>SÖDERMANLANDS LÄN</t>
        </is>
      </c>
      <c r="E664" t="inlineStr">
        <is>
          <t>STRÄNGNÄS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1050-2019</t>
        </is>
      </c>
      <c r="B665" s="1" t="n">
        <v>43472</v>
      </c>
      <c r="C665" s="1" t="n">
        <v>45353</v>
      </c>
      <c r="D665" t="inlineStr">
        <is>
          <t>SÖDERMANLANDS LÄN</t>
        </is>
      </c>
      <c r="E665" t="inlineStr">
        <is>
          <t>FLEN</t>
        </is>
      </c>
      <c r="G665" t="n">
        <v>22.5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987-2019</t>
        </is>
      </c>
      <c r="B666" s="1" t="n">
        <v>43472</v>
      </c>
      <c r="C666" s="1" t="n">
        <v>45353</v>
      </c>
      <c r="D666" t="inlineStr">
        <is>
          <t>SÖDERMANLANDS LÄN</t>
        </is>
      </c>
      <c r="E666" t="inlineStr">
        <is>
          <t>VINGÅKER</t>
        </is>
      </c>
      <c r="G666" t="n">
        <v>15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965-2019</t>
        </is>
      </c>
      <c r="B667" s="1" t="n">
        <v>43472</v>
      </c>
      <c r="C667" s="1" t="n">
        <v>45353</v>
      </c>
      <c r="D667" t="inlineStr">
        <is>
          <t>SÖDERMANLANDS LÄN</t>
        </is>
      </c>
      <c r="E667" t="inlineStr">
        <is>
          <t>KATRINEHOLM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892-2019</t>
        </is>
      </c>
      <c r="B668" s="1" t="n">
        <v>43472</v>
      </c>
      <c r="C668" s="1" t="n">
        <v>45353</v>
      </c>
      <c r="D668" t="inlineStr">
        <is>
          <t>SÖDERMANLANDS LÄN</t>
        </is>
      </c>
      <c r="E668" t="inlineStr">
        <is>
          <t>NYKÖPING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3300-2019</t>
        </is>
      </c>
      <c r="B669" s="1" t="n">
        <v>43473</v>
      </c>
      <c r="C669" s="1" t="n">
        <v>45353</v>
      </c>
      <c r="D669" t="inlineStr">
        <is>
          <t>SÖDERMANLANDS LÄN</t>
        </is>
      </c>
      <c r="E669" t="inlineStr">
        <is>
          <t>KATRINEHOLM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1534-2019</t>
        </is>
      </c>
      <c r="B670" s="1" t="n">
        <v>43473</v>
      </c>
      <c r="C670" s="1" t="n">
        <v>45353</v>
      </c>
      <c r="D670" t="inlineStr">
        <is>
          <t>SÖDERMANLANDS LÄN</t>
        </is>
      </c>
      <c r="E670" t="inlineStr">
        <is>
          <t>ESKILSTUNA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1358-2019</t>
        </is>
      </c>
      <c r="B671" s="1" t="n">
        <v>43473</v>
      </c>
      <c r="C671" s="1" t="n">
        <v>45353</v>
      </c>
      <c r="D671" t="inlineStr">
        <is>
          <t>SÖDERMANLANDS LÄN</t>
        </is>
      </c>
      <c r="E671" t="inlineStr">
        <is>
          <t>STRÄNGNÄS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1479-2019</t>
        </is>
      </c>
      <c r="B672" s="1" t="n">
        <v>43473</v>
      </c>
      <c r="C672" s="1" t="n">
        <v>45353</v>
      </c>
      <c r="D672" t="inlineStr">
        <is>
          <t>SÖDERMANLANDS LÄN</t>
        </is>
      </c>
      <c r="E672" t="inlineStr">
        <is>
          <t>VINGÅKER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3301-2019</t>
        </is>
      </c>
      <c r="B673" s="1" t="n">
        <v>43473</v>
      </c>
      <c r="C673" s="1" t="n">
        <v>45353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1446-2019</t>
        </is>
      </c>
      <c r="B674" s="1" t="n">
        <v>43473</v>
      </c>
      <c r="C674" s="1" t="n">
        <v>45353</v>
      </c>
      <c r="D674" t="inlineStr">
        <is>
          <t>SÖDERMANLANDS LÄN</t>
        </is>
      </c>
      <c r="E674" t="inlineStr">
        <is>
          <t>ESKILSTUNA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1535-2019</t>
        </is>
      </c>
      <c r="B675" s="1" t="n">
        <v>43473</v>
      </c>
      <c r="C675" s="1" t="n">
        <v>45353</v>
      </c>
      <c r="D675" t="inlineStr">
        <is>
          <t>SÖDERMANLANDS LÄN</t>
        </is>
      </c>
      <c r="E675" t="inlineStr">
        <is>
          <t>ESKILSTUNA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1444-2019</t>
        </is>
      </c>
      <c r="B676" s="1" t="n">
        <v>43473</v>
      </c>
      <c r="C676" s="1" t="n">
        <v>45353</v>
      </c>
      <c r="D676" t="inlineStr">
        <is>
          <t>SÖDERMANLANDS LÄN</t>
        </is>
      </c>
      <c r="E676" t="inlineStr">
        <is>
          <t>VINGÅKER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3536-2019</t>
        </is>
      </c>
      <c r="B677" s="1" t="n">
        <v>43474</v>
      </c>
      <c r="C677" s="1" t="n">
        <v>45353</v>
      </c>
      <c r="D677" t="inlineStr">
        <is>
          <t>SÖDERMANLANDS LÄN</t>
        </is>
      </c>
      <c r="E677" t="inlineStr">
        <is>
          <t>ESKILSTUNA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3526-2019</t>
        </is>
      </c>
      <c r="B678" s="1" t="n">
        <v>43474</v>
      </c>
      <c r="C678" s="1" t="n">
        <v>45353</v>
      </c>
      <c r="D678" t="inlineStr">
        <is>
          <t>SÖDERMANLANDS LÄN</t>
        </is>
      </c>
      <c r="E678" t="inlineStr">
        <is>
          <t>ESKILSTUNA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1715-2019</t>
        </is>
      </c>
      <c r="B679" s="1" t="n">
        <v>43474</v>
      </c>
      <c r="C679" s="1" t="n">
        <v>45353</v>
      </c>
      <c r="D679" t="inlineStr">
        <is>
          <t>SÖDERMANLANDS LÄN</t>
        </is>
      </c>
      <c r="E679" t="inlineStr">
        <is>
          <t>KATRINEHOLM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1781-2019</t>
        </is>
      </c>
      <c r="B680" s="1" t="n">
        <v>43474</v>
      </c>
      <c r="C680" s="1" t="n">
        <v>45353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2314-2019</t>
        </is>
      </c>
      <c r="B681" s="1" t="n">
        <v>43475</v>
      </c>
      <c r="C681" s="1" t="n">
        <v>45353</v>
      </c>
      <c r="D681" t="inlineStr">
        <is>
          <t>SÖDERMANLANDS LÄN</t>
        </is>
      </c>
      <c r="E681" t="inlineStr">
        <is>
          <t>KATRINEHOLM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3795-2019</t>
        </is>
      </c>
      <c r="B682" s="1" t="n">
        <v>43475</v>
      </c>
      <c r="C682" s="1" t="n">
        <v>45353</v>
      </c>
      <c r="D682" t="inlineStr">
        <is>
          <t>SÖDERMANLANDS LÄN</t>
        </is>
      </c>
      <c r="E682" t="inlineStr">
        <is>
          <t>ESKILSTUNA</t>
        </is>
      </c>
      <c r="G682" t="n">
        <v>15.6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2315-2019</t>
        </is>
      </c>
      <c r="B683" s="1" t="n">
        <v>43475</v>
      </c>
      <c r="C683" s="1" t="n">
        <v>45353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2311-2019</t>
        </is>
      </c>
      <c r="B684" s="1" t="n">
        <v>43475</v>
      </c>
      <c r="C684" s="1" t="n">
        <v>45353</v>
      </c>
      <c r="D684" t="inlineStr">
        <is>
          <t>SÖDERMANLANDS LÄN</t>
        </is>
      </c>
      <c r="E684" t="inlineStr">
        <is>
          <t>KATRINEHOLM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2316-2019</t>
        </is>
      </c>
      <c r="B685" s="1" t="n">
        <v>43475</v>
      </c>
      <c r="C685" s="1" t="n">
        <v>45353</v>
      </c>
      <c r="D685" t="inlineStr">
        <is>
          <t>SÖDERMANLANDS LÄN</t>
        </is>
      </c>
      <c r="E685" t="inlineStr">
        <is>
          <t>KATRINEHOLM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4131-2019</t>
        </is>
      </c>
      <c r="B686" s="1" t="n">
        <v>43476</v>
      </c>
      <c r="C686" s="1" t="n">
        <v>45353</v>
      </c>
      <c r="D686" t="inlineStr">
        <is>
          <t>SÖDERMANLANDS LÄN</t>
        </is>
      </c>
      <c r="E686" t="inlineStr">
        <is>
          <t>KATRINEHOLM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2586-2019</t>
        </is>
      </c>
      <c r="B687" s="1" t="n">
        <v>43476</v>
      </c>
      <c r="C687" s="1" t="n">
        <v>45353</v>
      </c>
      <c r="D687" t="inlineStr">
        <is>
          <t>SÖDERMANLANDS LÄN</t>
        </is>
      </c>
      <c r="E687" t="inlineStr">
        <is>
          <t>FLEN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3073-2019</t>
        </is>
      </c>
      <c r="B688" s="1" t="n">
        <v>43479</v>
      </c>
      <c r="C688" s="1" t="n">
        <v>45353</v>
      </c>
      <c r="D688" t="inlineStr">
        <is>
          <t>SÖDERMANLANDS LÄN</t>
        </is>
      </c>
      <c r="E688" t="inlineStr">
        <is>
          <t>ESKILSTUNA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2903-2019</t>
        </is>
      </c>
      <c r="B689" s="1" t="n">
        <v>43479</v>
      </c>
      <c r="C689" s="1" t="n">
        <v>45353</v>
      </c>
      <c r="D689" t="inlineStr">
        <is>
          <t>SÖDERMANLANDS LÄN</t>
        </is>
      </c>
      <c r="E689" t="inlineStr">
        <is>
          <t>ESKILSTUNA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5191-2019</t>
        </is>
      </c>
      <c r="B690" s="1" t="n">
        <v>43480</v>
      </c>
      <c r="C690" s="1" t="n">
        <v>45353</v>
      </c>
      <c r="D690" t="inlineStr">
        <is>
          <t>SÖDERMANLANDS LÄN</t>
        </is>
      </c>
      <c r="E690" t="inlineStr">
        <is>
          <t>KATRINEHOLM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3178-2019</t>
        </is>
      </c>
      <c r="B691" s="1" t="n">
        <v>43480</v>
      </c>
      <c r="C691" s="1" t="n">
        <v>45353</v>
      </c>
      <c r="D691" t="inlineStr">
        <is>
          <t>SÖDERMANLANDS LÄN</t>
        </is>
      </c>
      <c r="E691" t="inlineStr">
        <is>
          <t>ESKILSTUNA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3547-2019</t>
        </is>
      </c>
      <c r="B692" s="1" t="n">
        <v>43481</v>
      </c>
      <c r="C692" s="1" t="n">
        <v>45353</v>
      </c>
      <c r="D692" t="inlineStr">
        <is>
          <t>SÖDERMANLANDS LÄN</t>
        </is>
      </c>
      <c r="E692" t="inlineStr">
        <is>
          <t>STRÄNGNÄS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4195-2019</t>
        </is>
      </c>
      <c r="B693" s="1" t="n">
        <v>43483</v>
      </c>
      <c r="C693" s="1" t="n">
        <v>45353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4838-2019</t>
        </is>
      </c>
      <c r="B694" s="1" t="n">
        <v>43486</v>
      </c>
      <c r="C694" s="1" t="n">
        <v>45353</v>
      </c>
      <c r="D694" t="inlineStr">
        <is>
          <t>SÖDERMANLANDS LÄN</t>
        </is>
      </c>
      <c r="E694" t="inlineStr">
        <is>
          <t>KATRINEHOLM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4729-2019</t>
        </is>
      </c>
      <c r="B695" s="1" t="n">
        <v>43486</v>
      </c>
      <c r="C695" s="1" t="n">
        <v>45353</v>
      </c>
      <c r="D695" t="inlineStr">
        <is>
          <t>SÖDERMANLANDS LÄN</t>
        </is>
      </c>
      <c r="E695" t="inlineStr">
        <is>
          <t>ESKILSTUNA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4840-2019</t>
        </is>
      </c>
      <c r="B696" s="1" t="n">
        <v>43486</v>
      </c>
      <c r="C696" s="1" t="n">
        <v>45353</v>
      </c>
      <c r="D696" t="inlineStr">
        <is>
          <t>SÖDERMANLANDS LÄN</t>
        </is>
      </c>
      <c r="E696" t="inlineStr">
        <is>
          <t>KATRINEHOLM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4609-2019</t>
        </is>
      </c>
      <c r="B697" s="1" t="n">
        <v>43486</v>
      </c>
      <c r="C697" s="1" t="n">
        <v>45353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6165-2019</t>
        </is>
      </c>
      <c r="B698" s="1" t="n">
        <v>43486</v>
      </c>
      <c r="C698" s="1" t="n">
        <v>45353</v>
      </c>
      <c r="D698" t="inlineStr">
        <is>
          <t>SÖDERMANLANDS LÄN</t>
        </is>
      </c>
      <c r="E698" t="inlineStr">
        <is>
          <t>GNESTA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6786-2019</t>
        </is>
      </c>
      <c r="B699" s="1" t="n">
        <v>43488</v>
      </c>
      <c r="C699" s="1" t="n">
        <v>45353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5505-2019</t>
        </is>
      </c>
      <c r="B700" s="1" t="n">
        <v>43489</v>
      </c>
      <c r="C700" s="1" t="n">
        <v>45353</v>
      </c>
      <c r="D700" t="inlineStr">
        <is>
          <t>SÖDERMANLANDS LÄN</t>
        </is>
      </c>
      <c r="E700" t="inlineStr">
        <is>
          <t>TROSA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5558-2019</t>
        </is>
      </c>
      <c r="B701" s="1" t="n">
        <v>43489</v>
      </c>
      <c r="C701" s="1" t="n">
        <v>45353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5433-2019</t>
        </is>
      </c>
      <c r="B702" s="1" t="n">
        <v>43489</v>
      </c>
      <c r="C702" s="1" t="n">
        <v>45353</v>
      </c>
      <c r="D702" t="inlineStr">
        <is>
          <t>SÖDERMANLANDS LÄN</t>
        </is>
      </c>
      <c r="E702" t="inlineStr">
        <is>
          <t>VINGÅKER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5611-2019</t>
        </is>
      </c>
      <c r="B703" s="1" t="n">
        <v>43489</v>
      </c>
      <c r="C703" s="1" t="n">
        <v>45353</v>
      </c>
      <c r="D703" t="inlineStr">
        <is>
          <t>SÖDERMANLANDS LÄN</t>
        </is>
      </c>
      <c r="E703" t="inlineStr">
        <is>
          <t>TROSA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5610-2019</t>
        </is>
      </c>
      <c r="B704" s="1" t="n">
        <v>43489</v>
      </c>
      <c r="C704" s="1" t="n">
        <v>45353</v>
      </c>
      <c r="D704" t="inlineStr">
        <is>
          <t>SÖDERMANLANDS LÄN</t>
        </is>
      </c>
      <c r="E704" t="inlineStr">
        <is>
          <t>TROSA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5625-2019</t>
        </is>
      </c>
      <c r="B705" s="1" t="n">
        <v>43489</v>
      </c>
      <c r="C705" s="1" t="n">
        <v>45353</v>
      </c>
      <c r="D705" t="inlineStr">
        <is>
          <t>SÖDERMANLANDS LÄN</t>
        </is>
      </c>
      <c r="E705" t="inlineStr">
        <is>
          <t>ESKILSTUNA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7153-2019</t>
        </is>
      </c>
      <c r="B706" s="1" t="n">
        <v>43489</v>
      </c>
      <c r="C706" s="1" t="n">
        <v>45353</v>
      </c>
      <c r="D706" t="inlineStr">
        <is>
          <t>SÖDERMANLANDS LÄN</t>
        </is>
      </c>
      <c r="E706" t="inlineStr">
        <is>
          <t>KATRINEHOLM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5576-2019</t>
        </is>
      </c>
      <c r="B707" s="1" t="n">
        <v>43489</v>
      </c>
      <c r="C707" s="1" t="n">
        <v>45353</v>
      </c>
      <c r="D707" t="inlineStr">
        <is>
          <t>SÖDERMANLANDS LÄN</t>
        </is>
      </c>
      <c r="E707" t="inlineStr">
        <is>
          <t>KATRINEHOLM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5679-2019</t>
        </is>
      </c>
      <c r="B708" s="1" t="n">
        <v>43489</v>
      </c>
      <c r="C708" s="1" t="n">
        <v>45353</v>
      </c>
      <c r="D708" t="inlineStr">
        <is>
          <t>SÖDERMANLANDS LÄN</t>
        </is>
      </c>
      <c r="E708" t="inlineStr">
        <is>
          <t>ESKILSTUNA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5579-2019</t>
        </is>
      </c>
      <c r="B709" s="1" t="n">
        <v>43489</v>
      </c>
      <c r="C709" s="1" t="n">
        <v>45353</v>
      </c>
      <c r="D709" t="inlineStr">
        <is>
          <t>SÖDERMANLANDS LÄN</t>
        </is>
      </c>
      <c r="E709" t="inlineStr">
        <is>
          <t>KATRINEHOLM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5564-2019</t>
        </is>
      </c>
      <c r="B710" s="1" t="n">
        <v>43489</v>
      </c>
      <c r="C710" s="1" t="n">
        <v>45353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6913-2019</t>
        </is>
      </c>
      <c r="B711" s="1" t="n">
        <v>43489</v>
      </c>
      <c r="C711" s="1" t="n">
        <v>45353</v>
      </c>
      <c r="D711" t="inlineStr">
        <is>
          <t>SÖDERMANLANDS LÄN</t>
        </is>
      </c>
      <c r="E711" t="inlineStr">
        <is>
          <t>KATRINEHOLM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7215-2019</t>
        </is>
      </c>
      <c r="B712" s="1" t="n">
        <v>43490</v>
      </c>
      <c r="C712" s="1" t="n">
        <v>45353</v>
      </c>
      <c r="D712" t="inlineStr">
        <is>
          <t>SÖDERMANLANDS LÄN</t>
        </is>
      </c>
      <c r="E712" t="inlineStr">
        <is>
          <t>FLEN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5772-2019</t>
        </is>
      </c>
      <c r="B713" s="1" t="n">
        <v>43490</v>
      </c>
      <c r="C713" s="1" t="n">
        <v>45353</v>
      </c>
      <c r="D713" t="inlineStr">
        <is>
          <t>SÖDERMANLANDS LÄN</t>
        </is>
      </c>
      <c r="E713" t="inlineStr">
        <is>
          <t>TROSA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7620-2019</t>
        </is>
      </c>
      <c r="B714" s="1" t="n">
        <v>43493</v>
      </c>
      <c r="C714" s="1" t="n">
        <v>45353</v>
      </c>
      <c r="D714" t="inlineStr">
        <is>
          <t>SÖDERMANLANDS LÄN</t>
        </is>
      </c>
      <c r="E714" t="inlineStr">
        <is>
          <t>GNESTA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6351-2019</t>
        </is>
      </c>
      <c r="B715" s="1" t="n">
        <v>43493</v>
      </c>
      <c r="C715" s="1" t="n">
        <v>45353</v>
      </c>
      <c r="D715" t="inlineStr">
        <is>
          <t>SÖDERMANLANDS LÄN</t>
        </is>
      </c>
      <c r="E715" t="inlineStr">
        <is>
          <t>NYKÖPING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7694-2019</t>
        </is>
      </c>
      <c r="B716" s="1" t="n">
        <v>43493</v>
      </c>
      <c r="C716" s="1" t="n">
        <v>45353</v>
      </c>
      <c r="D716" t="inlineStr">
        <is>
          <t>SÖDERMANLANDS LÄN</t>
        </is>
      </c>
      <c r="E716" t="inlineStr">
        <is>
          <t>ESKILSTUNA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8047-2019</t>
        </is>
      </c>
      <c r="B717" s="1" t="n">
        <v>43494</v>
      </c>
      <c r="C717" s="1" t="n">
        <v>45353</v>
      </c>
      <c r="D717" t="inlineStr">
        <is>
          <t>SÖDERMANLANDS LÄN</t>
        </is>
      </c>
      <c r="E717" t="inlineStr">
        <is>
          <t>ESKILSTUNA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7773-2019</t>
        </is>
      </c>
      <c r="B718" s="1" t="n">
        <v>43494</v>
      </c>
      <c r="C718" s="1" t="n">
        <v>45353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6702-2019</t>
        </is>
      </c>
      <c r="B719" s="1" t="n">
        <v>43494</v>
      </c>
      <c r="C719" s="1" t="n">
        <v>45353</v>
      </c>
      <c r="D719" t="inlineStr">
        <is>
          <t>SÖDERMANLANDS LÄN</t>
        </is>
      </c>
      <c r="E719" t="inlineStr">
        <is>
          <t>STRÄNGNÄS</t>
        </is>
      </c>
      <c r="F719" t="inlineStr">
        <is>
          <t>Övriga Aktiebolag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6989-2019</t>
        </is>
      </c>
      <c r="B720" s="1" t="n">
        <v>43495</v>
      </c>
      <c r="C720" s="1" t="n">
        <v>45353</v>
      </c>
      <c r="D720" t="inlineStr">
        <is>
          <t>SÖDERMANLANDS LÄN</t>
        </is>
      </c>
      <c r="E720" t="inlineStr">
        <is>
          <t>FLEN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7199-2019</t>
        </is>
      </c>
      <c r="B721" s="1" t="n">
        <v>43496</v>
      </c>
      <c r="C721" s="1" t="n">
        <v>45353</v>
      </c>
      <c r="D721" t="inlineStr">
        <is>
          <t>SÖDERMANLANDS LÄN</t>
        </is>
      </c>
      <c r="E721" t="inlineStr">
        <is>
          <t>ESKILSTUNA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7172-2019</t>
        </is>
      </c>
      <c r="B722" s="1" t="n">
        <v>43496</v>
      </c>
      <c r="C722" s="1" t="n">
        <v>45353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8396-2019</t>
        </is>
      </c>
      <c r="B723" s="1" t="n">
        <v>43496</v>
      </c>
      <c r="C723" s="1" t="n">
        <v>45353</v>
      </c>
      <c r="D723" t="inlineStr">
        <is>
          <t>SÖDERMANLANDS LÄN</t>
        </is>
      </c>
      <c r="E723" t="inlineStr">
        <is>
          <t>ESKILSTUNA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7523-2019</t>
        </is>
      </c>
      <c r="B724" s="1" t="n">
        <v>43497</v>
      </c>
      <c r="C724" s="1" t="n">
        <v>45353</v>
      </c>
      <c r="D724" t="inlineStr">
        <is>
          <t>SÖDERMANLANDS LÄN</t>
        </is>
      </c>
      <c r="E724" t="inlineStr">
        <is>
          <t>KATRINEHOLM</t>
        </is>
      </c>
      <c r="F724" t="inlineStr">
        <is>
          <t>Allmännings- och besparingsskogar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7532-2019</t>
        </is>
      </c>
      <c r="B725" s="1" t="n">
        <v>43497</v>
      </c>
      <c r="C725" s="1" t="n">
        <v>45353</v>
      </c>
      <c r="D725" t="inlineStr">
        <is>
          <t>SÖDERMANLANDS LÄN</t>
        </is>
      </c>
      <c r="E725" t="inlineStr">
        <is>
          <t>NYKÖPING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7548-2019</t>
        </is>
      </c>
      <c r="B726" s="1" t="n">
        <v>43497</v>
      </c>
      <c r="C726" s="1" t="n">
        <v>45353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7914-2019</t>
        </is>
      </c>
      <c r="B727" s="1" t="n">
        <v>43501</v>
      </c>
      <c r="C727" s="1" t="n">
        <v>45353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7920-2019</t>
        </is>
      </c>
      <c r="B728" s="1" t="n">
        <v>43501</v>
      </c>
      <c r="C728" s="1" t="n">
        <v>45353</v>
      </c>
      <c r="D728" t="inlineStr">
        <is>
          <t>SÖDERMANLANDS LÄN</t>
        </is>
      </c>
      <c r="E728" t="inlineStr">
        <is>
          <t>NYKÖPING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7927-2019</t>
        </is>
      </c>
      <c r="B729" s="1" t="n">
        <v>43501</v>
      </c>
      <c r="C729" s="1" t="n">
        <v>45353</v>
      </c>
      <c r="D729" t="inlineStr">
        <is>
          <t>SÖDERMANLANDS LÄN</t>
        </is>
      </c>
      <c r="E729" t="inlineStr">
        <is>
          <t>NYKÖPING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7913-2019</t>
        </is>
      </c>
      <c r="B730" s="1" t="n">
        <v>43501</v>
      </c>
      <c r="C730" s="1" t="n">
        <v>45353</v>
      </c>
      <c r="D730" t="inlineStr">
        <is>
          <t>SÖDERMANLANDS LÄN</t>
        </is>
      </c>
      <c r="E730" t="inlineStr">
        <is>
          <t>NYKÖPING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8528-2019</t>
        </is>
      </c>
      <c r="B731" s="1" t="n">
        <v>43502</v>
      </c>
      <c r="C731" s="1" t="n">
        <v>45353</v>
      </c>
      <c r="D731" t="inlineStr">
        <is>
          <t>SÖDERMANLANDS LÄN</t>
        </is>
      </c>
      <c r="E731" t="inlineStr">
        <is>
          <t>STRÄNGNÄS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8550-2019</t>
        </is>
      </c>
      <c r="B732" s="1" t="n">
        <v>43502</v>
      </c>
      <c r="C732" s="1" t="n">
        <v>45353</v>
      </c>
      <c r="D732" t="inlineStr">
        <is>
          <t>SÖDERMANLANDS LÄN</t>
        </is>
      </c>
      <c r="E732" t="inlineStr">
        <is>
          <t>STRÄNGNÄS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8878-2019</t>
        </is>
      </c>
      <c r="B733" s="1" t="n">
        <v>43502</v>
      </c>
      <c r="C733" s="1" t="n">
        <v>45353</v>
      </c>
      <c r="D733" t="inlineStr">
        <is>
          <t>SÖDERMANLANDS LÄN</t>
        </is>
      </c>
      <c r="E733" t="inlineStr">
        <is>
          <t>STRÄNGNÄS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8551-2019</t>
        </is>
      </c>
      <c r="B734" s="1" t="n">
        <v>43502</v>
      </c>
      <c r="C734" s="1" t="n">
        <v>45353</v>
      </c>
      <c r="D734" t="inlineStr">
        <is>
          <t>SÖDERMANLANDS LÄN</t>
        </is>
      </c>
      <c r="E734" t="inlineStr">
        <is>
          <t>STRÄNGNÄS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8630-2019</t>
        </is>
      </c>
      <c r="B735" s="1" t="n">
        <v>43503</v>
      </c>
      <c r="C735" s="1" t="n">
        <v>45353</v>
      </c>
      <c r="D735" t="inlineStr">
        <is>
          <t>SÖDERMANLANDS LÄN</t>
        </is>
      </c>
      <c r="E735" t="inlineStr">
        <is>
          <t>VINGÅKER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8621-2019</t>
        </is>
      </c>
      <c r="B736" s="1" t="n">
        <v>43503</v>
      </c>
      <c r="C736" s="1" t="n">
        <v>45353</v>
      </c>
      <c r="D736" t="inlineStr">
        <is>
          <t>SÖDERMANLANDS LÄN</t>
        </is>
      </c>
      <c r="E736" t="inlineStr">
        <is>
          <t>FLEN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9254-2019</t>
        </is>
      </c>
      <c r="B737" s="1" t="n">
        <v>43504</v>
      </c>
      <c r="C737" s="1" t="n">
        <v>45353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9111-2019</t>
        </is>
      </c>
      <c r="B738" s="1" t="n">
        <v>43504</v>
      </c>
      <c r="C738" s="1" t="n">
        <v>45353</v>
      </c>
      <c r="D738" t="inlineStr">
        <is>
          <t>SÖDERMANLANDS LÄN</t>
        </is>
      </c>
      <c r="E738" t="inlineStr">
        <is>
          <t>ESKILSTUNA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9466-2019</t>
        </is>
      </c>
      <c r="B739" s="1" t="n">
        <v>43507</v>
      </c>
      <c r="C739" s="1" t="n">
        <v>45353</v>
      </c>
      <c r="D739" t="inlineStr">
        <is>
          <t>SÖDERMANLANDS LÄN</t>
        </is>
      </c>
      <c r="E739" t="inlineStr">
        <is>
          <t>ESKILSTUNA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9473-2019</t>
        </is>
      </c>
      <c r="B740" s="1" t="n">
        <v>43507</v>
      </c>
      <c r="C740" s="1" t="n">
        <v>45353</v>
      </c>
      <c r="D740" t="inlineStr">
        <is>
          <t>SÖDERMANLANDS LÄN</t>
        </is>
      </c>
      <c r="E740" t="inlineStr">
        <is>
          <t>ESKILSTUNA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9419-2019</t>
        </is>
      </c>
      <c r="B741" s="1" t="n">
        <v>43507</v>
      </c>
      <c r="C741" s="1" t="n">
        <v>45353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9459-2019</t>
        </is>
      </c>
      <c r="B742" s="1" t="n">
        <v>43507</v>
      </c>
      <c r="C742" s="1" t="n">
        <v>45353</v>
      </c>
      <c r="D742" t="inlineStr">
        <is>
          <t>SÖDERMANLANDS LÄN</t>
        </is>
      </c>
      <c r="E742" t="inlineStr">
        <is>
          <t>ESKILSTUNA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9453-2019</t>
        </is>
      </c>
      <c r="B743" s="1" t="n">
        <v>43507</v>
      </c>
      <c r="C743" s="1" t="n">
        <v>45353</v>
      </c>
      <c r="D743" t="inlineStr">
        <is>
          <t>SÖDERMANLANDS LÄN</t>
        </is>
      </c>
      <c r="E743" t="inlineStr">
        <is>
          <t>ESKILSTUNA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9784-2019</t>
        </is>
      </c>
      <c r="B744" s="1" t="n">
        <v>43509</v>
      </c>
      <c r="C744" s="1" t="n">
        <v>45353</v>
      </c>
      <c r="D744" t="inlineStr">
        <is>
          <t>SÖDERMANLANDS LÄN</t>
        </is>
      </c>
      <c r="E744" t="inlineStr">
        <is>
          <t>ESKILSTUNA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10263-2019</t>
        </is>
      </c>
      <c r="B745" s="1" t="n">
        <v>43511</v>
      </c>
      <c r="C745" s="1" t="n">
        <v>45353</v>
      </c>
      <c r="D745" t="inlineStr">
        <is>
          <t>SÖDERMANLANDS LÄN</t>
        </is>
      </c>
      <c r="E745" t="inlineStr">
        <is>
          <t>ESKILSTUNA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10308-2019</t>
        </is>
      </c>
      <c r="B746" s="1" t="n">
        <v>43511</v>
      </c>
      <c r="C746" s="1" t="n">
        <v>45353</v>
      </c>
      <c r="D746" t="inlineStr">
        <is>
          <t>SÖDERMANLANDS LÄN</t>
        </is>
      </c>
      <c r="E746" t="inlineStr">
        <is>
          <t>KATRINEHOLM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10716-2019</t>
        </is>
      </c>
      <c r="B747" s="1" t="n">
        <v>43514</v>
      </c>
      <c r="C747" s="1" t="n">
        <v>45353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10813-2019</t>
        </is>
      </c>
      <c r="B748" s="1" t="n">
        <v>43514</v>
      </c>
      <c r="C748" s="1" t="n">
        <v>45353</v>
      </c>
      <c r="D748" t="inlineStr">
        <is>
          <t>SÖDERMANLANDS LÄN</t>
        </is>
      </c>
      <c r="E748" t="inlineStr">
        <is>
          <t>NYKÖPING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11067-2019</t>
        </is>
      </c>
      <c r="B749" s="1" t="n">
        <v>43515</v>
      </c>
      <c r="C749" s="1" t="n">
        <v>45353</v>
      </c>
      <c r="D749" t="inlineStr">
        <is>
          <t>SÖDERMANLANDS LÄN</t>
        </is>
      </c>
      <c r="E749" t="inlineStr">
        <is>
          <t>KATRINEHOLM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11069-2019</t>
        </is>
      </c>
      <c r="B750" s="1" t="n">
        <v>43515</v>
      </c>
      <c r="C750" s="1" t="n">
        <v>45353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11019-2019</t>
        </is>
      </c>
      <c r="B751" s="1" t="n">
        <v>43515</v>
      </c>
      <c r="C751" s="1" t="n">
        <v>45353</v>
      </c>
      <c r="D751" t="inlineStr">
        <is>
          <t>SÖDERMANLANDS LÄN</t>
        </is>
      </c>
      <c r="E751" t="inlineStr">
        <is>
          <t>NYKÖPING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11087-2019</t>
        </is>
      </c>
      <c r="B752" s="1" t="n">
        <v>43516</v>
      </c>
      <c r="C752" s="1" t="n">
        <v>45353</v>
      </c>
      <c r="D752" t="inlineStr">
        <is>
          <t>SÖDERMANLANDS LÄN</t>
        </is>
      </c>
      <c r="E752" t="inlineStr">
        <is>
          <t>NYKÖPING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11167-2019</t>
        </is>
      </c>
      <c r="B753" s="1" t="n">
        <v>43516</v>
      </c>
      <c r="C753" s="1" t="n">
        <v>45353</v>
      </c>
      <c r="D753" t="inlineStr">
        <is>
          <t>SÖDERMANLANDS LÄN</t>
        </is>
      </c>
      <c r="E753" t="inlineStr">
        <is>
          <t>ESKILSTUNA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11455-2019</t>
        </is>
      </c>
      <c r="B754" s="1" t="n">
        <v>43517</v>
      </c>
      <c r="C754" s="1" t="n">
        <v>45353</v>
      </c>
      <c r="D754" t="inlineStr">
        <is>
          <t>SÖDERMANLANDS LÄN</t>
        </is>
      </c>
      <c r="E754" t="inlineStr">
        <is>
          <t>TROSA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11491-2019</t>
        </is>
      </c>
      <c r="B755" s="1" t="n">
        <v>43517</v>
      </c>
      <c r="C755" s="1" t="n">
        <v>45353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11562-2019</t>
        </is>
      </c>
      <c r="B756" s="1" t="n">
        <v>43518</v>
      </c>
      <c r="C756" s="1" t="n">
        <v>45353</v>
      </c>
      <c r="D756" t="inlineStr">
        <is>
          <t>SÖDERMANLANDS LÄN</t>
        </is>
      </c>
      <c r="E756" t="inlineStr">
        <is>
          <t>VINGÅKER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11790-2019</t>
        </is>
      </c>
      <c r="B757" s="1" t="n">
        <v>43518</v>
      </c>
      <c r="C757" s="1" t="n">
        <v>45353</v>
      </c>
      <c r="D757" t="inlineStr">
        <is>
          <t>SÖDERMANLANDS LÄN</t>
        </is>
      </c>
      <c r="E757" t="inlineStr">
        <is>
          <t>KATRINEHOLM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11793-2019</t>
        </is>
      </c>
      <c r="B758" s="1" t="n">
        <v>43518</v>
      </c>
      <c r="C758" s="1" t="n">
        <v>45353</v>
      </c>
      <c r="D758" t="inlineStr">
        <is>
          <t>SÖDERMANLANDS LÄN</t>
        </is>
      </c>
      <c r="E758" t="inlineStr">
        <is>
          <t>KATRINEHOLM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11786-2019</t>
        </is>
      </c>
      <c r="B759" s="1" t="n">
        <v>43521</v>
      </c>
      <c r="C759" s="1" t="n">
        <v>45353</v>
      </c>
      <c r="D759" t="inlineStr">
        <is>
          <t>SÖDERMANLANDS LÄN</t>
        </is>
      </c>
      <c r="E759" t="inlineStr">
        <is>
          <t>ESKILSTUNA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11846-2019</t>
        </is>
      </c>
      <c r="B760" s="1" t="n">
        <v>43521</v>
      </c>
      <c r="C760" s="1" t="n">
        <v>45353</v>
      </c>
      <c r="D760" t="inlineStr">
        <is>
          <t>SÖDERMANLANDS LÄN</t>
        </is>
      </c>
      <c r="E760" t="inlineStr">
        <is>
          <t>NYKÖPING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11895-2019</t>
        </is>
      </c>
      <c r="B761" s="1" t="n">
        <v>43521</v>
      </c>
      <c r="C761" s="1" t="n">
        <v>45353</v>
      </c>
      <c r="D761" t="inlineStr">
        <is>
          <t>SÖDERMANLANDS LÄN</t>
        </is>
      </c>
      <c r="E761" t="inlineStr">
        <is>
          <t>GNESTA</t>
        </is>
      </c>
      <c r="F761" t="inlineStr">
        <is>
          <t>Holmen skog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11784-2019</t>
        </is>
      </c>
      <c r="B762" s="1" t="n">
        <v>43521</v>
      </c>
      <c r="C762" s="1" t="n">
        <v>45353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11788-2019</t>
        </is>
      </c>
      <c r="B763" s="1" t="n">
        <v>43521</v>
      </c>
      <c r="C763" s="1" t="n">
        <v>45353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12002-2019</t>
        </is>
      </c>
      <c r="B764" s="1" t="n">
        <v>43521</v>
      </c>
      <c r="C764" s="1" t="n">
        <v>45353</v>
      </c>
      <c r="D764" t="inlineStr">
        <is>
          <t>SÖDERMANLANDS LÄN</t>
        </is>
      </c>
      <c r="E764" t="inlineStr">
        <is>
          <t>ESKILSTUNA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12465-2019</t>
        </is>
      </c>
      <c r="B765" s="1" t="n">
        <v>43522</v>
      </c>
      <c r="C765" s="1" t="n">
        <v>45353</v>
      </c>
      <c r="D765" t="inlineStr">
        <is>
          <t>SÖDERMANLANDS LÄN</t>
        </is>
      </c>
      <c r="E765" t="inlineStr">
        <is>
          <t>STRÄNGNÄS</t>
        </is>
      </c>
      <c r="F765" t="inlineStr">
        <is>
          <t>Övriga statliga verk och myndigheter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12228-2019</t>
        </is>
      </c>
      <c r="B766" s="1" t="n">
        <v>43522</v>
      </c>
      <c r="C766" s="1" t="n">
        <v>45353</v>
      </c>
      <c r="D766" t="inlineStr">
        <is>
          <t>SÖDERMANLANDS LÄN</t>
        </is>
      </c>
      <c r="E766" t="inlineStr">
        <is>
          <t>FLEN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12195-2019</t>
        </is>
      </c>
      <c r="B767" s="1" t="n">
        <v>43522</v>
      </c>
      <c r="C767" s="1" t="n">
        <v>45353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12227-2019</t>
        </is>
      </c>
      <c r="B768" s="1" t="n">
        <v>43522</v>
      </c>
      <c r="C768" s="1" t="n">
        <v>45353</v>
      </c>
      <c r="D768" t="inlineStr">
        <is>
          <t>SÖDERMANLANDS LÄN</t>
        </is>
      </c>
      <c r="E768" t="inlineStr">
        <is>
          <t>FLEN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12205-2019</t>
        </is>
      </c>
      <c r="B769" s="1" t="n">
        <v>43522</v>
      </c>
      <c r="C769" s="1" t="n">
        <v>45353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12257-2019</t>
        </is>
      </c>
      <c r="B770" s="1" t="n">
        <v>43523</v>
      </c>
      <c r="C770" s="1" t="n">
        <v>45353</v>
      </c>
      <c r="D770" t="inlineStr">
        <is>
          <t>SÖDERMANLANDS LÄN</t>
        </is>
      </c>
      <c r="E770" t="inlineStr">
        <is>
          <t>KATRINEHOLM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12394-2019</t>
        </is>
      </c>
      <c r="B771" s="1" t="n">
        <v>43523</v>
      </c>
      <c r="C771" s="1" t="n">
        <v>45353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12374-2019</t>
        </is>
      </c>
      <c r="B772" s="1" t="n">
        <v>43523</v>
      </c>
      <c r="C772" s="1" t="n">
        <v>45353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12440-2019</t>
        </is>
      </c>
      <c r="B773" s="1" t="n">
        <v>43523</v>
      </c>
      <c r="C773" s="1" t="n">
        <v>45353</v>
      </c>
      <c r="D773" t="inlineStr">
        <is>
          <t>SÖDERMANLANDS LÄN</t>
        </is>
      </c>
      <c r="E773" t="inlineStr">
        <is>
          <t>VINGÅKER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12304-2019</t>
        </is>
      </c>
      <c r="B774" s="1" t="n">
        <v>43523</v>
      </c>
      <c r="C774" s="1" t="n">
        <v>45353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12256-2019</t>
        </is>
      </c>
      <c r="B775" s="1" t="n">
        <v>43523</v>
      </c>
      <c r="C775" s="1" t="n">
        <v>45353</v>
      </c>
      <c r="D775" t="inlineStr">
        <is>
          <t>SÖDERMANLANDS LÄN</t>
        </is>
      </c>
      <c r="E775" t="inlineStr">
        <is>
          <t>KATRINEHOLM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12688-2019</t>
        </is>
      </c>
      <c r="B776" s="1" t="n">
        <v>43524</v>
      </c>
      <c r="C776" s="1" t="n">
        <v>45353</v>
      </c>
      <c r="D776" t="inlineStr">
        <is>
          <t>SÖDERMANLANDS LÄN</t>
        </is>
      </c>
      <c r="E776" t="inlineStr">
        <is>
          <t>ESKILSTUNA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12563-2019</t>
        </is>
      </c>
      <c r="B777" s="1" t="n">
        <v>43524</v>
      </c>
      <c r="C777" s="1" t="n">
        <v>45353</v>
      </c>
      <c r="D777" t="inlineStr">
        <is>
          <t>SÖDERMANLANDS LÄN</t>
        </is>
      </c>
      <c r="E777" t="inlineStr">
        <is>
          <t>ESKILSTUNA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12513-2019</t>
        </is>
      </c>
      <c r="B778" s="1" t="n">
        <v>43524</v>
      </c>
      <c r="C778" s="1" t="n">
        <v>45353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12874-2019</t>
        </is>
      </c>
      <c r="B779" s="1" t="n">
        <v>43525</v>
      </c>
      <c r="C779" s="1" t="n">
        <v>45353</v>
      </c>
      <c r="D779" t="inlineStr">
        <is>
          <t>SÖDERMANLANDS LÄN</t>
        </is>
      </c>
      <c r="E779" t="inlineStr">
        <is>
          <t>VINGÅKER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12880-2019</t>
        </is>
      </c>
      <c r="B780" s="1" t="n">
        <v>43525</v>
      </c>
      <c r="C780" s="1" t="n">
        <v>45353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12890-2019</t>
        </is>
      </c>
      <c r="B781" s="1" t="n">
        <v>43525</v>
      </c>
      <c r="C781" s="1" t="n">
        <v>45353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12881-2019</t>
        </is>
      </c>
      <c r="B782" s="1" t="n">
        <v>43525</v>
      </c>
      <c r="C782" s="1" t="n">
        <v>45353</v>
      </c>
      <c r="D782" t="inlineStr">
        <is>
          <t>SÖDERMANLANDS LÄN</t>
        </is>
      </c>
      <c r="E782" t="inlineStr">
        <is>
          <t>KATRINEHOLM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12963-2019</t>
        </is>
      </c>
      <c r="B783" s="1" t="n">
        <v>43526</v>
      </c>
      <c r="C783" s="1" t="n">
        <v>45353</v>
      </c>
      <c r="D783" t="inlineStr">
        <is>
          <t>SÖDERMANLANDS LÄN</t>
        </is>
      </c>
      <c r="E783" t="inlineStr">
        <is>
          <t>ESKILSTUNA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13134-2019</t>
        </is>
      </c>
      <c r="B784" s="1" t="n">
        <v>43526</v>
      </c>
      <c r="C784" s="1" t="n">
        <v>45353</v>
      </c>
      <c r="D784" t="inlineStr">
        <is>
          <t>SÖDERMANLANDS LÄN</t>
        </is>
      </c>
      <c r="E784" t="inlineStr">
        <is>
          <t>STRÄNGNÄS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13001-2019</t>
        </is>
      </c>
      <c r="B785" s="1" t="n">
        <v>43528</v>
      </c>
      <c r="C785" s="1" t="n">
        <v>45353</v>
      </c>
      <c r="D785" t="inlineStr">
        <is>
          <t>SÖDERMANLANDS LÄN</t>
        </is>
      </c>
      <c r="E785" t="inlineStr">
        <is>
          <t>NYKÖPING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13071-2019</t>
        </is>
      </c>
      <c r="B786" s="1" t="n">
        <v>43528</v>
      </c>
      <c r="C786" s="1" t="n">
        <v>45353</v>
      </c>
      <c r="D786" t="inlineStr">
        <is>
          <t>SÖDERMANLANDS LÄN</t>
        </is>
      </c>
      <c r="E786" t="inlineStr">
        <is>
          <t>ESKILSTUNA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13026-2019</t>
        </is>
      </c>
      <c r="B787" s="1" t="n">
        <v>43528</v>
      </c>
      <c r="C787" s="1" t="n">
        <v>45353</v>
      </c>
      <c r="D787" t="inlineStr">
        <is>
          <t>SÖDERMANLANDS LÄN</t>
        </is>
      </c>
      <c r="E787" t="inlineStr">
        <is>
          <t>VINGÅKER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13201-2019</t>
        </is>
      </c>
      <c r="B788" s="1" t="n">
        <v>43528</v>
      </c>
      <c r="C788" s="1" t="n">
        <v>45353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13337-2019</t>
        </is>
      </c>
      <c r="B789" s="1" t="n">
        <v>43529</v>
      </c>
      <c r="C789" s="1" t="n">
        <v>45353</v>
      </c>
      <c r="D789" t="inlineStr">
        <is>
          <t>SÖDERMANLANDS LÄN</t>
        </is>
      </c>
      <c r="E789" t="inlineStr">
        <is>
          <t>KATRINEHOLM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13268-2019</t>
        </is>
      </c>
      <c r="B790" s="1" t="n">
        <v>43529</v>
      </c>
      <c r="C790" s="1" t="n">
        <v>45353</v>
      </c>
      <c r="D790" t="inlineStr">
        <is>
          <t>SÖDERMANLANDS LÄN</t>
        </is>
      </c>
      <c r="E790" t="inlineStr">
        <is>
          <t>KATRINEHOLM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13401-2019</t>
        </is>
      </c>
      <c r="B791" s="1" t="n">
        <v>43529</v>
      </c>
      <c r="C791" s="1" t="n">
        <v>45353</v>
      </c>
      <c r="D791" t="inlineStr">
        <is>
          <t>SÖDERMANLANDS LÄN</t>
        </is>
      </c>
      <c r="E791" t="inlineStr">
        <is>
          <t>STRÄNGNÄS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13641-2019</t>
        </is>
      </c>
      <c r="B792" s="1" t="n">
        <v>43530</v>
      </c>
      <c r="C792" s="1" t="n">
        <v>45353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13460-2019</t>
        </is>
      </c>
      <c r="B793" s="1" t="n">
        <v>43530</v>
      </c>
      <c r="C793" s="1" t="n">
        <v>45353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13814-2019</t>
        </is>
      </c>
      <c r="B794" s="1" t="n">
        <v>43530</v>
      </c>
      <c r="C794" s="1" t="n">
        <v>45353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13476-2019</t>
        </is>
      </c>
      <c r="B795" s="1" t="n">
        <v>43530</v>
      </c>
      <c r="C795" s="1" t="n">
        <v>45353</v>
      </c>
      <c r="D795" t="inlineStr">
        <is>
          <t>SÖDERMANLANDS LÄN</t>
        </is>
      </c>
      <c r="E795" t="inlineStr">
        <is>
          <t>FLEN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14139-2019</t>
        </is>
      </c>
      <c r="B796" s="1" t="n">
        <v>43532</v>
      </c>
      <c r="C796" s="1" t="n">
        <v>45353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14210-2019</t>
        </is>
      </c>
      <c r="B797" s="1" t="n">
        <v>43532</v>
      </c>
      <c r="C797" s="1" t="n">
        <v>45353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14208-2019</t>
        </is>
      </c>
      <c r="B798" s="1" t="n">
        <v>43532</v>
      </c>
      <c r="C798" s="1" t="n">
        <v>45353</v>
      </c>
      <c r="D798" t="inlineStr">
        <is>
          <t>SÖDERMANLANDS LÄN</t>
        </is>
      </c>
      <c r="E798" t="inlineStr">
        <is>
          <t>VINGÅKER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14205-2019</t>
        </is>
      </c>
      <c r="B799" s="1" t="n">
        <v>43532</v>
      </c>
      <c r="C799" s="1" t="n">
        <v>45353</v>
      </c>
      <c r="D799" t="inlineStr">
        <is>
          <t>SÖDERMANLANDS LÄN</t>
        </is>
      </c>
      <c r="E799" t="inlineStr">
        <is>
          <t>VINGÅKER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14211-2019</t>
        </is>
      </c>
      <c r="B800" s="1" t="n">
        <v>43532</v>
      </c>
      <c r="C800" s="1" t="n">
        <v>45353</v>
      </c>
      <c r="D800" t="inlineStr">
        <is>
          <t>SÖDERMANLANDS LÄN</t>
        </is>
      </c>
      <c r="E800" t="inlineStr">
        <is>
          <t>VINGÅKER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14160-2019</t>
        </is>
      </c>
      <c r="B801" s="1" t="n">
        <v>43533</v>
      </c>
      <c r="C801" s="1" t="n">
        <v>45353</v>
      </c>
      <c r="D801" t="inlineStr">
        <is>
          <t>SÖDERMANLANDS LÄN</t>
        </is>
      </c>
      <c r="E801" t="inlineStr">
        <is>
          <t>STRÄNGNÄS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14503-2019</t>
        </is>
      </c>
      <c r="B802" s="1" t="n">
        <v>43535</v>
      </c>
      <c r="C802" s="1" t="n">
        <v>45353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14310-2019</t>
        </is>
      </c>
      <c r="B803" s="1" t="n">
        <v>43535</v>
      </c>
      <c r="C803" s="1" t="n">
        <v>45353</v>
      </c>
      <c r="D803" t="inlineStr">
        <is>
          <t>SÖDERMANLANDS LÄN</t>
        </is>
      </c>
      <c r="E803" t="inlineStr">
        <is>
          <t>VINGÅKER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14671-2019</t>
        </is>
      </c>
      <c r="B804" s="1" t="n">
        <v>43537</v>
      </c>
      <c r="C804" s="1" t="n">
        <v>45353</v>
      </c>
      <c r="D804" t="inlineStr">
        <is>
          <t>SÖDERMANLANDS LÄN</t>
        </is>
      </c>
      <c r="E804" t="inlineStr">
        <is>
          <t>STRÄNGNÄS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15024-2019</t>
        </is>
      </c>
      <c r="B805" s="1" t="n">
        <v>43537</v>
      </c>
      <c r="C805" s="1" t="n">
        <v>45353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14675-2019</t>
        </is>
      </c>
      <c r="B806" s="1" t="n">
        <v>43537</v>
      </c>
      <c r="C806" s="1" t="n">
        <v>45353</v>
      </c>
      <c r="D806" t="inlineStr">
        <is>
          <t>SÖDERMANLANDS LÄN</t>
        </is>
      </c>
      <c r="E806" t="inlineStr">
        <is>
          <t>STRÄNGNÄS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15080-2019</t>
        </is>
      </c>
      <c r="B807" s="1" t="n">
        <v>43537</v>
      </c>
      <c r="C807" s="1" t="n">
        <v>45353</v>
      </c>
      <c r="D807" t="inlineStr">
        <is>
          <t>SÖDERMANLANDS LÄN</t>
        </is>
      </c>
      <c r="E807" t="inlineStr">
        <is>
          <t>ESKILSTUNA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14882-2019</t>
        </is>
      </c>
      <c r="B808" s="1" t="n">
        <v>43538</v>
      </c>
      <c r="C808" s="1" t="n">
        <v>45353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14350-2019</t>
        </is>
      </c>
      <c r="B809" s="1" t="n">
        <v>43538</v>
      </c>
      <c r="C809" s="1" t="n">
        <v>45353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15166-2019</t>
        </is>
      </c>
      <c r="B810" s="1" t="n">
        <v>43538</v>
      </c>
      <c r="C810" s="1" t="n">
        <v>45353</v>
      </c>
      <c r="D810" t="inlineStr">
        <is>
          <t>SÖDERMANLANDS LÄN</t>
        </is>
      </c>
      <c r="E810" t="inlineStr">
        <is>
          <t>NYKÖPING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15158-2019</t>
        </is>
      </c>
      <c r="B811" s="1" t="n">
        <v>43538</v>
      </c>
      <c r="C811" s="1" t="n">
        <v>45353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Övriga Aktiebolag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15144-2019</t>
        </is>
      </c>
      <c r="B812" s="1" t="n">
        <v>43538</v>
      </c>
      <c r="C812" s="1" t="n">
        <v>45353</v>
      </c>
      <c r="D812" t="inlineStr">
        <is>
          <t>SÖDERMANLANDS LÄN</t>
        </is>
      </c>
      <c r="E812" t="inlineStr">
        <is>
          <t>NYKÖPING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14872-2019</t>
        </is>
      </c>
      <c r="B813" s="1" t="n">
        <v>43538</v>
      </c>
      <c r="C813" s="1" t="n">
        <v>45353</v>
      </c>
      <c r="D813" t="inlineStr">
        <is>
          <t>SÖDERMANLANDS LÄN</t>
        </is>
      </c>
      <c r="E813" t="inlineStr">
        <is>
          <t>VINGÅKER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15110-2019</t>
        </is>
      </c>
      <c r="B814" s="1" t="n">
        <v>43538</v>
      </c>
      <c r="C814" s="1" t="n">
        <v>45353</v>
      </c>
      <c r="D814" t="inlineStr">
        <is>
          <t>SÖDERMANLANDS LÄN</t>
        </is>
      </c>
      <c r="E814" t="inlineStr">
        <is>
          <t>FLEN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15172-2019</t>
        </is>
      </c>
      <c r="B815" s="1" t="n">
        <v>43538</v>
      </c>
      <c r="C815" s="1" t="n">
        <v>45353</v>
      </c>
      <c r="D815" t="inlineStr">
        <is>
          <t>SÖDERMANLANDS LÄN</t>
        </is>
      </c>
      <c r="E815" t="inlineStr">
        <is>
          <t>NYKÖPING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15149-2019</t>
        </is>
      </c>
      <c r="B816" s="1" t="n">
        <v>43538</v>
      </c>
      <c r="C816" s="1" t="n">
        <v>45353</v>
      </c>
      <c r="D816" t="inlineStr">
        <is>
          <t>SÖDERMANLANDS LÄN</t>
        </is>
      </c>
      <c r="E816" t="inlineStr">
        <is>
          <t>NYKÖPING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14933-2019</t>
        </is>
      </c>
      <c r="B817" s="1" t="n">
        <v>43538</v>
      </c>
      <c r="C817" s="1" t="n">
        <v>45353</v>
      </c>
      <c r="D817" t="inlineStr">
        <is>
          <t>SÖDERMANLANDS LÄN</t>
        </is>
      </c>
      <c r="E817" t="inlineStr">
        <is>
          <t>STRÄNGNÄS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14862-2019</t>
        </is>
      </c>
      <c r="B818" s="1" t="n">
        <v>43539</v>
      </c>
      <c r="C818" s="1" t="n">
        <v>45353</v>
      </c>
      <c r="D818" t="inlineStr">
        <is>
          <t>SÖDERMANLANDS LÄN</t>
        </is>
      </c>
      <c r="E818" t="inlineStr">
        <is>
          <t>GNESTA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14948-2019</t>
        </is>
      </c>
      <c r="B819" s="1" t="n">
        <v>43539</v>
      </c>
      <c r="C819" s="1" t="n">
        <v>45353</v>
      </c>
      <c r="D819" t="inlineStr">
        <is>
          <t>SÖDERMANLANDS LÄN</t>
        </is>
      </c>
      <c r="E819" t="inlineStr">
        <is>
          <t>GNESTA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15198-2019</t>
        </is>
      </c>
      <c r="B820" s="1" t="n">
        <v>43539</v>
      </c>
      <c r="C820" s="1" t="n">
        <v>45353</v>
      </c>
      <c r="D820" t="inlineStr">
        <is>
          <t>SÖDERMANLANDS LÄN</t>
        </is>
      </c>
      <c r="E820" t="inlineStr">
        <is>
          <t>GNESTA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15250-2019</t>
        </is>
      </c>
      <c r="B821" s="1" t="n">
        <v>43539</v>
      </c>
      <c r="C821" s="1" t="n">
        <v>45353</v>
      </c>
      <c r="D821" t="inlineStr">
        <is>
          <t>SÖDERMANLANDS LÄN</t>
        </is>
      </c>
      <c r="E821" t="inlineStr">
        <is>
          <t>ESKILSTUNA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15573-2019</t>
        </is>
      </c>
      <c r="B822" s="1" t="n">
        <v>43539</v>
      </c>
      <c r="C822" s="1" t="n">
        <v>45353</v>
      </c>
      <c r="D822" t="inlineStr">
        <is>
          <t>SÖDERMANLANDS LÄN</t>
        </is>
      </c>
      <c r="E822" t="inlineStr">
        <is>
          <t>FLEN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15041-2019</t>
        </is>
      </c>
      <c r="B823" s="1" t="n">
        <v>43539</v>
      </c>
      <c r="C823" s="1" t="n">
        <v>45353</v>
      </c>
      <c r="D823" t="inlineStr">
        <is>
          <t>SÖDERMANLANDS LÄN</t>
        </is>
      </c>
      <c r="E823" t="inlineStr">
        <is>
          <t>GNESTA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15575-2019</t>
        </is>
      </c>
      <c r="B824" s="1" t="n">
        <v>43539</v>
      </c>
      <c r="C824" s="1" t="n">
        <v>45353</v>
      </c>
      <c r="D824" t="inlineStr">
        <is>
          <t>SÖDERMANLANDS LÄN</t>
        </is>
      </c>
      <c r="E824" t="inlineStr">
        <is>
          <t>FLEN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15249-2019</t>
        </is>
      </c>
      <c r="B825" s="1" t="n">
        <v>43539</v>
      </c>
      <c r="C825" s="1" t="n">
        <v>45353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15440-2019</t>
        </is>
      </c>
      <c r="B826" s="1" t="n">
        <v>43539</v>
      </c>
      <c r="C826" s="1" t="n">
        <v>45353</v>
      </c>
      <c r="D826" t="inlineStr">
        <is>
          <t>SÖDERMANLANDS LÄN</t>
        </is>
      </c>
      <c r="E826" t="inlineStr">
        <is>
          <t>VINGÅKER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14803-2019</t>
        </is>
      </c>
      <c r="B827" s="1" t="n">
        <v>43539</v>
      </c>
      <c r="C827" s="1" t="n">
        <v>45353</v>
      </c>
      <c r="D827" t="inlineStr">
        <is>
          <t>SÖDERMANLANDS LÄN</t>
        </is>
      </c>
      <c r="E827" t="inlineStr">
        <is>
          <t>GNESTA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15322-2019</t>
        </is>
      </c>
      <c r="B828" s="1" t="n">
        <v>43540</v>
      </c>
      <c r="C828" s="1" t="n">
        <v>45353</v>
      </c>
      <c r="D828" t="inlineStr">
        <is>
          <t>SÖDERMANLANDS LÄN</t>
        </is>
      </c>
      <c r="E828" t="inlineStr">
        <is>
          <t>TROSA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15207-2019</t>
        </is>
      </c>
      <c r="B829" s="1" t="n">
        <v>43542</v>
      </c>
      <c r="C829" s="1" t="n">
        <v>45353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15429-2019</t>
        </is>
      </c>
      <c r="B830" s="1" t="n">
        <v>43542</v>
      </c>
      <c r="C830" s="1" t="n">
        <v>45353</v>
      </c>
      <c r="D830" t="inlineStr">
        <is>
          <t>SÖDERMANLANDS LÄN</t>
        </is>
      </c>
      <c r="E830" t="inlineStr">
        <is>
          <t>ESKILSTUNA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15452-2019</t>
        </is>
      </c>
      <c r="B831" s="1" t="n">
        <v>43542</v>
      </c>
      <c r="C831" s="1" t="n">
        <v>45353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15536-2019</t>
        </is>
      </c>
      <c r="B832" s="1" t="n">
        <v>43542</v>
      </c>
      <c r="C832" s="1" t="n">
        <v>45353</v>
      </c>
      <c r="D832" t="inlineStr">
        <is>
          <t>SÖDERMANLANDS LÄN</t>
        </is>
      </c>
      <c r="E832" t="inlineStr">
        <is>
          <t>NYKÖPING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15681-2019</t>
        </is>
      </c>
      <c r="B833" s="1" t="n">
        <v>43543</v>
      </c>
      <c r="C833" s="1" t="n">
        <v>45353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15757-2019</t>
        </is>
      </c>
      <c r="B834" s="1" t="n">
        <v>43543</v>
      </c>
      <c r="C834" s="1" t="n">
        <v>45353</v>
      </c>
      <c r="D834" t="inlineStr">
        <is>
          <t>SÖDERMANLANDS LÄN</t>
        </is>
      </c>
      <c r="E834" t="inlineStr">
        <is>
          <t>KATRINEHOLM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15798-2019</t>
        </is>
      </c>
      <c r="B835" s="1" t="n">
        <v>43543</v>
      </c>
      <c r="C835" s="1" t="n">
        <v>45353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15654-2019</t>
        </is>
      </c>
      <c r="B836" s="1" t="n">
        <v>43543</v>
      </c>
      <c r="C836" s="1" t="n">
        <v>45353</v>
      </c>
      <c r="D836" t="inlineStr">
        <is>
          <t>SÖDERMANLANDS LÄN</t>
        </is>
      </c>
      <c r="E836" t="inlineStr">
        <is>
          <t>KATRINEHOLM</t>
        </is>
      </c>
      <c r="F836" t="inlineStr">
        <is>
          <t>Kyrkan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16005-2019</t>
        </is>
      </c>
      <c r="B837" s="1" t="n">
        <v>43544</v>
      </c>
      <c r="C837" s="1" t="n">
        <v>45353</v>
      </c>
      <c r="D837" t="inlineStr">
        <is>
          <t>SÖDERMANLANDS LÄN</t>
        </is>
      </c>
      <c r="E837" t="inlineStr">
        <is>
          <t>STRÄNGNÄS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16017-2019</t>
        </is>
      </c>
      <c r="B838" s="1" t="n">
        <v>43544</v>
      </c>
      <c r="C838" s="1" t="n">
        <v>45353</v>
      </c>
      <c r="D838" t="inlineStr">
        <is>
          <t>SÖDERMANLANDS LÄN</t>
        </is>
      </c>
      <c r="E838" t="inlineStr">
        <is>
          <t>STRÄNGNÄS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16105-2019</t>
        </is>
      </c>
      <c r="B839" s="1" t="n">
        <v>43544</v>
      </c>
      <c r="C839" s="1" t="n">
        <v>45353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16116-2019</t>
        </is>
      </c>
      <c r="B840" s="1" t="n">
        <v>43544</v>
      </c>
      <c r="C840" s="1" t="n">
        <v>45353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16152-2019</t>
        </is>
      </c>
      <c r="B841" s="1" t="n">
        <v>43544</v>
      </c>
      <c r="C841" s="1" t="n">
        <v>45353</v>
      </c>
      <c r="D841" t="inlineStr">
        <is>
          <t>SÖDERMANLANDS LÄN</t>
        </is>
      </c>
      <c r="E841" t="inlineStr">
        <is>
          <t>FLEN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16226-2019</t>
        </is>
      </c>
      <c r="B842" s="1" t="n">
        <v>43545</v>
      </c>
      <c r="C842" s="1" t="n">
        <v>45353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16386-2019</t>
        </is>
      </c>
      <c r="B843" s="1" t="n">
        <v>43545</v>
      </c>
      <c r="C843" s="1" t="n">
        <v>45353</v>
      </c>
      <c r="D843" t="inlineStr">
        <is>
          <t>SÖDERMANLANDS LÄN</t>
        </is>
      </c>
      <c r="E843" t="inlineStr">
        <is>
          <t>VINGÅKER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16463-2019</t>
        </is>
      </c>
      <c r="B844" s="1" t="n">
        <v>43546</v>
      </c>
      <c r="C844" s="1" t="n">
        <v>45353</v>
      </c>
      <c r="D844" t="inlineStr">
        <is>
          <t>SÖDERMANLANDS LÄN</t>
        </is>
      </c>
      <c r="E844" t="inlineStr">
        <is>
          <t>KATRINEHOLM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16595-2019</t>
        </is>
      </c>
      <c r="B845" s="1" t="n">
        <v>43546</v>
      </c>
      <c r="C845" s="1" t="n">
        <v>45353</v>
      </c>
      <c r="D845" t="inlineStr">
        <is>
          <t>SÖDERMANLANDS LÄN</t>
        </is>
      </c>
      <c r="E845" t="inlineStr">
        <is>
          <t>NYKÖPING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16393-2019</t>
        </is>
      </c>
      <c r="B846" s="1" t="n">
        <v>43546</v>
      </c>
      <c r="C846" s="1" t="n">
        <v>45353</v>
      </c>
      <c r="D846" t="inlineStr">
        <is>
          <t>SÖDERMANLANDS LÄN</t>
        </is>
      </c>
      <c r="E846" t="inlineStr">
        <is>
          <t>KATRINEHOLM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16396-2019</t>
        </is>
      </c>
      <c r="B847" s="1" t="n">
        <v>43546</v>
      </c>
      <c r="C847" s="1" t="n">
        <v>45353</v>
      </c>
      <c r="D847" t="inlineStr">
        <is>
          <t>SÖDERMANLANDS LÄN</t>
        </is>
      </c>
      <c r="E847" t="inlineStr">
        <is>
          <t>KATRINEHOLM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16462-2019</t>
        </is>
      </c>
      <c r="B848" s="1" t="n">
        <v>43546</v>
      </c>
      <c r="C848" s="1" t="n">
        <v>45353</v>
      </c>
      <c r="D848" t="inlineStr">
        <is>
          <t>SÖDERMANLANDS LÄN</t>
        </is>
      </c>
      <c r="E848" t="inlineStr">
        <is>
          <t>KATRINEHOLM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16576-2019</t>
        </is>
      </c>
      <c r="B849" s="1" t="n">
        <v>43548</v>
      </c>
      <c r="C849" s="1" t="n">
        <v>45353</v>
      </c>
      <c r="D849" t="inlineStr">
        <is>
          <t>SÖDERMANLANDS LÄN</t>
        </is>
      </c>
      <c r="E849" t="inlineStr">
        <is>
          <t>KATRINEHOLM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16683-2019</t>
        </is>
      </c>
      <c r="B850" s="1" t="n">
        <v>43549</v>
      </c>
      <c r="C850" s="1" t="n">
        <v>45353</v>
      </c>
      <c r="D850" t="inlineStr">
        <is>
          <t>SÖDERMANLANDS LÄN</t>
        </is>
      </c>
      <c r="E850" t="inlineStr">
        <is>
          <t>VINGÅKER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16989-2019</t>
        </is>
      </c>
      <c r="B851" s="1" t="n">
        <v>43550</v>
      </c>
      <c r="C851" s="1" t="n">
        <v>45353</v>
      </c>
      <c r="D851" t="inlineStr">
        <is>
          <t>SÖDERMANLANDS LÄN</t>
        </is>
      </c>
      <c r="E851" t="inlineStr">
        <is>
          <t>KATRINEHOLM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16880-2019</t>
        </is>
      </c>
      <c r="B852" s="1" t="n">
        <v>43550</v>
      </c>
      <c r="C852" s="1" t="n">
        <v>45353</v>
      </c>
      <c r="D852" t="inlineStr">
        <is>
          <t>SÖDERMANLANDS LÄN</t>
        </is>
      </c>
      <c r="E852" t="inlineStr">
        <is>
          <t>STRÄNGNÄS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17302-2019</t>
        </is>
      </c>
      <c r="B853" s="1" t="n">
        <v>43551</v>
      </c>
      <c r="C853" s="1" t="n">
        <v>45353</v>
      </c>
      <c r="D853" t="inlineStr">
        <is>
          <t>SÖDERMANLANDS LÄN</t>
        </is>
      </c>
      <c r="E853" t="inlineStr">
        <is>
          <t>FLEN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17423-2019</t>
        </is>
      </c>
      <c r="B854" s="1" t="n">
        <v>43553</v>
      </c>
      <c r="C854" s="1" t="n">
        <v>45353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17434-2019</t>
        </is>
      </c>
      <c r="B855" s="1" t="n">
        <v>43553</v>
      </c>
      <c r="C855" s="1" t="n">
        <v>45353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17436-2019</t>
        </is>
      </c>
      <c r="B856" s="1" t="n">
        <v>43553</v>
      </c>
      <c r="C856" s="1" t="n">
        <v>45353</v>
      </c>
      <c r="D856" t="inlineStr">
        <is>
          <t>SÖDERMANLANDS LÄN</t>
        </is>
      </c>
      <c r="E856" t="inlineStr">
        <is>
          <t>NYKÖPING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17818-2019</t>
        </is>
      </c>
      <c r="B857" s="1" t="n">
        <v>43556</v>
      </c>
      <c r="C857" s="1" t="n">
        <v>45353</v>
      </c>
      <c r="D857" t="inlineStr">
        <is>
          <t>SÖDERMANLANDS LÄN</t>
        </is>
      </c>
      <c r="E857" t="inlineStr">
        <is>
          <t>NYKÖPING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17815-2019</t>
        </is>
      </c>
      <c r="B858" s="1" t="n">
        <v>43556</v>
      </c>
      <c r="C858" s="1" t="n">
        <v>45353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17823-2019</t>
        </is>
      </c>
      <c r="B859" s="1" t="n">
        <v>43556</v>
      </c>
      <c r="C859" s="1" t="n">
        <v>45353</v>
      </c>
      <c r="D859" t="inlineStr">
        <is>
          <t>SÖDERMANLANDS LÄN</t>
        </is>
      </c>
      <c r="E859" t="inlineStr">
        <is>
          <t>NYKÖPING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18002-2019</t>
        </is>
      </c>
      <c r="B860" s="1" t="n">
        <v>43556</v>
      </c>
      <c r="C860" s="1" t="n">
        <v>45353</v>
      </c>
      <c r="D860" t="inlineStr">
        <is>
          <t>SÖDERMANLANDS LÄN</t>
        </is>
      </c>
      <c r="E860" t="inlineStr">
        <is>
          <t>GNESTA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17953-2019</t>
        </is>
      </c>
      <c r="B861" s="1" t="n">
        <v>43557</v>
      </c>
      <c r="C861" s="1" t="n">
        <v>45353</v>
      </c>
      <c r="D861" t="inlineStr">
        <is>
          <t>SÖDERMANLANDS LÄN</t>
        </is>
      </c>
      <c r="E861" t="inlineStr">
        <is>
          <t>ESKILSTUNA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18324-2019</t>
        </is>
      </c>
      <c r="B862" s="1" t="n">
        <v>43557</v>
      </c>
      <c r="C862" s="1" t="n">
        <v>45353</v>
      </c>
      <c r="D862" t="inlineStr">
        <is>
          <t>SÖDERMANLANDS LÄN</t>
        </is>
      </c>
      <c r="E862" t="inlineStr">
        <is>
          <t>STRÄNGNÄS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18328-2019</t>
        </is>
      </c>
      <c r="B863" s="1" t="n">
        <v>43557</v>
      </c>
      <c r="C863" s="1" t="n">
        <v>45353</v>
      </c>
      <c r="D863" t="inlineStr">
        <is>
          <t>SÖDERMANLANDS LÄN</t>
        </is>
      </c>
      <c r="E863" t="inlineStr">
        <is>
          <t>STRÄNGNÄS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18391-2019</t>
        </is>
      </c>
      <c r="B864" s="1" t="n">
        <v>43558</v>
      </c>
      <c r="C864" s="1" t="n">
        <v>45353</v>
      </c>
      <c r="D864" t="inlineStr">
        <is>
          <t>SÖDERMANLANDS LÄN</t>
        </is>
      </c>
      <c r="E864" t="inlineStr">
        <is>
          <t>FLEN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18334-2019</t>
        </is>
      </c>
      <c r="B865" s="1" t="n">
        <v>43558</v>
      </c>
      <c r="C865" s="1" t="n">
        <v>45353</v>
      </c>
      <c r="D865" t="inlineStr">
        <is>
          <t>SÖDERMANLANDS LÄN</t>
        </is>
      </c>
      <c r="E865" t="inlineStr">
        <is>
          <t>NYKÖPING</t>
        </is>
      </c>
      <c r="G865" t="n">
        <v>13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18224-2019</t>
        </is>
      </c>
      <c r="B866" s="1" t="n">
        <v>43558</v>
      </c>
      <c r="C866" s="1" t="n">
        <v>45353</v>
      </c>
      <c r="D866" t="inlineStr">
        <is>
          <t>SÖDERMANLANDS LÄN</t>
        </is>
      </c>
      <c r="E866" t="inlineStr">
        <is>
          <t>ESKILSTUNA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18543-2019</t>
        </is>
      </c>
      <c r="B867" s="1" t="n">
        <v>43558</v>
      </c>
      <c r="C867" s="1" t="n">
        <v>45353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18493-2019</t>
        </is>
      </c>
      <c r="B868" s="1" t="n">
        <v>43558</v>
      </c>
      <c r="C868" s="1" t="n">
        <v>45353</v>
      </c>
      <c r="D868" t="inlineStr">
        <is>
          <t>SÖDERMANLANDS LÄN</t>
        </is>
      </c>
      <c r="E868" t="inlineStr">
        <is>
          <t>ESKILSTUNA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18561-2019</t>
        </is>
      </c>
      <c r="B869" s="1" t="n">
        <v>43559</v>
      </c>
      <c r="C869" s="1" t="n">
        <v>45353</v>
      </c>
      <c r="D869" t="inlineStr">
        <is>
          <t>SÖDERMANLANDS LÄN</t>
        </is>
      </c>
      <c r="E869" t="inlineStr">
        <is>
          <t>STRÄNGNÄS</t>
        </is>
      </c>
      <c r="F869" t="inlineStr">
        <is>
          <t>Allmännings- och besparingsskogar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18639-2019</t>
        </is>
      </c>
      <c r="B870" s="1" t="n">
        <v>43559</v>
      </c>
      <c r="C870" s="1" t="n">
        <v>45353</v>
      </c>
      <c r="D870" t="inlineStr">
        <is>
          <t>SÖDERMANLANDS LÄN</t>
        </is>
      </c>
      <c r="E870" t="inlineStr">
        <is>
          <t>GNESTA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18700-2019</t>
        </is>
      </c>
      <c r="B871" s="1" t="n">
        <v>43559</v>
      </c>
      <c r="C871" s="1" t="n">
        <v>45353</v>
      </c>
      <c r="D871" t="inlineStr">
        <is>
          <t>SÖDERMANLANDS LÄN</t>
        </is>
      </c>
      <c r="E871" t="inlineStr">
        <is>
          <t>FLEN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18698-2019</t>
        </is>
      </c>
      <c r="B872" s="1" t="n">
        <v>43559</v>
      </c>
      <c r="C872" s="1" t="n">
        <v>45353</v>
      </c>
      <c r="D872" t="inlineStr">
        <is>
          <t>SÖDERMANLANDS LÄN</t>
        </is>
      </c>
      <c r="E872" t="inlineStr">
        <is>
          <t>ESKILSTUNA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18688-2019</t>
        </is>
      </c>
      <c r="B873" s="1" t="n">
        <v>43559</v>
      </c>
      <c r="C873" s="1" t="n">
        <v>45353</v>
      </c>
      <c r="D873" t="inlineStr">
        <is>
          <t>SÖDERMANLANDS LÄN</t>
        </is>
      </c>
      <c r="E873" t="inlineStr">
        <is>
          <t>FLEN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18423-2019</t>
        </is>
      </c>
      <c r="B874" s="1" t="n">
        <v>43559</v>
      </c>
      <c r="C874" s="1" t="n">
        <v>45353</v>
      </c>
      <c r="D874" t="inlineStr">
        <is>
          <t>SÖDERMANLANDS LÄN</t>
        </is>
      </c>
      <c r="E874" t="inlineStr">
        <is>
          <t>ESKILSTUNA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18704-2019</t>
        </is>
      </c>
      <c r="B875" s="1" t="n">
        <v>43559</v>
      </c>
      <c r="C875" s="1" t="n">
        <v>45353</v>
      </c>
      <c r="D875" t="inlineStr">
        <is>
          <t>SÖDERMANLANDS LÄN</t>
        </is>
      </c>
      <c r="E875" t="inlineStr">
        <is>
          <t>ESKILSTUNA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18632-2019</t>
        </is>
      </c>
      <c r="B876" s="1" t="n">
        <v>43559</v>
      </c>
      <c r="C876" s="1" t="n">
        <v>45353</v>
      </c>
      <c r="D876" t="inlineStr">
        <is>
          <t>SÖDERMANLANDS LÄN</t>
        </is>
      </c>
      <c r="E876" t="inlineStr">
        <is>
          <t>VINGÅKER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18431-2019</t>
        </is>
      </c>
      <c r="B877" s="1" t="n">
        <v>43559</v>
      </c>
      <c r="C877" s="1" t="n">
        <v>45353</v>
      </c>
      <c r="D877" t="inlineStr">
        <is>
          <t>SÖDERMANLANDS LÄN</t>
        </is>
      </c>
      <c r="E877" t="inlineStr">
        <is>
          <t>KATRINEHOLM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18645-2019</t>
        </is>
      </c>
      <c r="B878" s="1" t="n">
        <v>43560</v>
      </c>
      <c r="C878" s="1" t="n">
        <v>45353</v>
      </c>
      <c r="D878" t="inlineStr">
        <is>
          <t>SÖDERMANLANDS LÄN</t>
        </is>
      </c>
      <c r="E878" t="inlineStr">
        <is>
          <t>FLEN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18824-2019</t>
        </is>
      </c>
      <c r="B879" s="1" t="n">
        <v>43560</v>
      </c>
      <c r="C879" s="1" t="n">
        <v>45353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18740-2019</t>
        </is>
      </c>
      <c r="B880" s="1" t="n">
        <v>43560</v>
      </c>
      <c r="C880" s="1" t="n">
        <v>45353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18786-2019</t>
        </is>
      </c>
      <c r="B881" s="1" t="n">
        <v>43562</v>
      </c>
      <c r="C881" s="1" t="n">
        <v>45353</v>
      </c>
      <c r="D881" t="inlineStr">
        <is>
          <t>SÖDERMANLANDS LÄN</t>
        </is>
      </c>
      <c r="E881" t="inlineStr">
        <is>
          <t>NYKÖPING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18793-2019</t>
        </is>
      </c>
      <c r="B882" s="1" t="n">
        <v>43562</v>
      </c>
      <c r="C882" s="1" t="n">
        <v>45353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18869-2019</t>
        </is>
      </c>
      <c r="B883" s="1" t="n">
        <v>43563</v>
      </c>
      <c r="C883" s="1" t="n">
        <v>45353</v>
      </c>
      <c r="D883" t="inlineStr">
        <is>
          <t>SÖDERMANLANDS LÄN</t>
        </is>
      </c>
      <c r="E883" t="inlineStr">
        <is>
          <t>KATRINEHOLM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18892-2019</t>
        </is>
      </c>
      <c r="B884" s="1" t="n">
        <v>43563</v>
      </c>
      <c r="C884" s="1" t="n">
        <v>45353</v>
      </c>
      <c r="D884" t="inlineStr">
        <is>
          <t>SÖDERMANLANDS LÄN</t>
        </is>
      </c>
      <c r="E884" t="inlineStr">
        <is>
          <t>GNESTA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18950-2019</t>
        </is>
      </c>
      <c r="B885" s="1" t="n">
        <v>43563</v>
      </c>
      <c r="C885" s="1" t="n">
        <v>45353</v>
      </c>
      <c r="D885" t="inlineStr">
        <is>
          <t>SÖDERMANLANDS LÄN</t>
        </is>
      </c>
      <c r="E885" t="inlineStr">
        <is>
          <t>ESKILSTUNA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18862-2019</t>
        </is>
      </c>
      <c r="B886" s="1" t="n">
        <v>43563</v>
      </c>
      <c r="C886" s="1" t="n">
        <v>45353</v>
      </c>
      <c r="D886" t="inlineStr">
        <is>
          <t>SÖDERMANLANDS LÄN</t>
        </is>
      </c>
      <c r="E886" t="inlineStr">
        <is>
          <t>STRÄNGNÄS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19122-2019</t>
        </is>
      </c>
      <c r="B887" s="1" t="n">
        <v>43564</v>
      </c>
      <c r="C887" s="1" t="n">
        <v>45353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19166-2019</t>
        </is>
      </c>
      <c r="B888" s="1" t="n">
        <v>43564</v>
      </c>
      <c r="C888" s="1" t="n">
        <v>45353</v>
      </c>
      <c r="D888" t="inlineStr">
        <is>
          <t>SÖDERMANLANDS LÄN</t>
        </is>
      </c>
      <c r="E888" t="inlineStr">
        <is>
          <t>GNESTA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19291-2019</t>
        </is>
      </c>
      <c r="B889" s="1" t="n">
        <v>43565</v>
      </c>
      <c r="C889" s="1" t="n">
        <v>45353</v>
      </c>
      <c r="D889" t="inlineStr">
        <is>
          <t>SÖDERMANLANDS LÄN</t>
        </is>
      </c>
      <c r="E889" t="inlineStr">
        <is>
          <t>ESKILSTUNA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19374-2019</t>
        </is>
      </c>
      <c r="B890" s="1" t="n">
        <v>43565</v>
      </c>
      <c r="C890" s="1" t="n">
        <v>45353</v>
      </c>
      <c r="D890" t="inlineStr">
        <is>
          <t>SÖDERMANLANDS LÄN</t>
        </is>
      </c>
      <c r="E890" t="inlineStr">
        <is>
          <t>KATRINEHOLM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19449-2019</t>
        </is>
      </c>
      <c r="B891" s="1" t="n">
        <v>43565</v>
      </c>
      <c r="C891" s="1" t="n">
        <v>45353</v>
      </c>
      <c r="D891" t="inlineStr">
        <is>
          <t>SÖDERMANLANDS LÄN</t>
        </is>
      </c>
      <c r="E891" t="inlineStr">
        <is>
          <t>VINGÅKER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19476-2019</t>
        </is>
      </c>
      <c r="B892" s="1" t="n">
        <v>43565</v>
      </c>
      <c r="C892" s="1" t="n">
        <v>45353</v>
      </c>
      <c r="D892" t="inlineStr">
        <is>
          <t>SÖDERMANLANDS LÄN</t>
        </is>
      </c>
      <c r="E892" t="inlineStr">
        <is>
          <t>NYKÖPING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19395-2019</t>
        </is>
      </c>
      <c r="B893" s="1" t="n">
        <v>43565</v>
      </c>
      <c r="C893" s="1" t="n">
        <v>45353</v>
      </c>
      <c r="D893" t="inlineStr">
        <is>
          <t>SÖDERMANLANDS LÄN</t>
        </is>
      </c>
      <c r="E893" t="inlineStr">
        <is>
          <t>FLEN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19427-2019</t>
        </is>
      </c>
      <c r="B894" s="1" t="n">
        <v>43565</v>
      </c>
      <c r="C894" s="1" t="n">
        <v>45353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19511-2019</t>
        </is>
      </c>
      <c r="B895" s="1" t="n">
        <v>43565</v>
      </c>
      <c r="C895" s="1" t="n">
        <v>45353</v>
      </c>
      <c r="D895" t="inlineStr">
        <is>
          <t>SÖDERMANLANDS LÄN</t>
        </is>
      </c>
      <c r="E895" t="inlineStr">
        <is>
          <t>NYKÖPING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19469-2019</t>
        </is>
      </c>
      <c r="B896" s="1" t="n">
        <v>43565</v>
      </c>
      <c r="C896" s="1" t="n">
        <v>45353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19692-2019</t>
        </is>
      </c>
      <c r="B897" s="1" t="n">
        <v>43566</v>
      </c>
      <c r="C897" s="1" t="n">
        <v>45353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Kyrkan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19804-2019</t>
        </is>
      </c>
      <c r="B898" s="1" t="n">
        <v>43566</v>
      </c>
      <c r="C898" s="1" t="n">
        <v>45353</v>
      </c>
      <c r="D898" t="inlineStr">
        <is>
          <t>SÖDERMANLANDS LÄN</t>
        </is>
      </c>
      <c r="E898" t="inlineStr">
        <is>
          <t>GNESTA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19874-2019</t>
        </is>
      </c>
      <c r="B899" s="1" t="n">
        <v>43567</v>
      </c>
      <c r="C899" s="1" t="n">
        <v>45353</v>
      </c>
      <c r="D899" t="inlineStr">
        <is>
          <t>SÖDERMANLANDS LÄN</t>
        </is>
      </c>
      <c r="E899" t="inlineStr">
        <is>
          <t>STRÄNGNÄS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19834-2019</t>
        </is>
      </c>
      <c r="B900" s="1" t="n">
        <v>43567</v>
      </c>
      <c r="C900" s="1" t="n">
        <v>45353</v>
      </c>
      <c r="D900" t="inlineStr">
        <is>
          <t>SÖDERMANLANDS LÄN</t>
        </is>
      </c>
      <c r="E900" t="inlineStr">
        <is>
          <t>FLEN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20179-2019</t>
        </is>
      </c>
      <c r="B901" s="1" t="n">
        <v>43570</v>
      </c>
      <c r="C901" s="1" t="n">
        <v>45353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20284-2019</t>
        </is>
      </c>
      <c r="B902" s="1" t="n">
        <v>43570</v>
      </c>
      <c r="C902" s="1" t="n">
        <v>45353</v>
      </c>
      <c r="D902" t="inlineStr">
        <is>
          <t>SÖDERMANLANDS LÄN</t>
        </is>
      </c>
      <c r="E902" t="inlineStr">
        <is>
          <t>FLEN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20084-2019</t>
        </is>
      </c>
      <c r="B903" s="1" t="n">
        <v>43570</v>
      </c>
      <c r="C903" s="1" t="n">
        <v>45353</v>
      </c>
      <c r="D903" t="inlineStr">
        <is>
          <t>SÖDERMANLANDS LÄN</t>
        </is>
      </c>
      <c r="E903" t="inlineStr">
        <is>
          <t>KATRINEHOLM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19980-2019</t>
        </is>
      </c>
      <c r="B904" s="1" t="n">
        <v>43570</v>
      </c>
      <c r="C904" s="1" t="n">
        <v>45353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20081-2019</t>
        </is>
      </c>
      <c r="B905" s="1" t="n">
        <v>43570</v>
      </c>
      <c r="C905" s="1" t="n">
        <v>45353</v>
      </c>
      <c r="D905" t="inlineStr">
        <is>
          <t>SÖDERMANLANDS LÄN</t>
        </is>
      </c>
      <c r="E905" t="inlineStr">
        <is>
          <t>KATRINEHOLM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20089-2019</t>
        </is>
      </c>
      <c r="B906" s="1" t="n">
        <v>43570</v>
      </c>
      <c r="C906" s="1" t="n">
        <v>45353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20529-2019</t>
        </is>
      </c>
      <c r="B907" s="1" t="n">
        <v>43572</v>
      </c>
      <c r="C907" s="1" t="n">
        <v>45353</v>
      </c>
      <c r="D907" t="inlineStr">
        <is>
          <t>SÖDERMANLANDS LÄN</t>
        </is>
      </c>
      <c r="E907" t="inlineStr">
        <is>
          <t>GNESTA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20666-2019</t>
        </is>
      </c>
      <c r="B908" s="1" t="n">
        <v>43572</v>
      </c>
      <c r="C908" s="1" t="n">
        <v>45353</v>
      </c>
      <c r="D908" t="inlineStr">
        <is>
          <t>SÖDERMANLANDS LÄN</t>
        </is>
      </c>
      <c r="E908" t="inlineStr">
        <is>
          <t>STRÄNGNÄS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20729-2019</t>
        </is>
      </c>
      <c r="B909" s="1" t="n">
        <v>43573</v>
      </c>
      <c r="C909" s="1" t="n">
        <v>45353</v>
      </c>
      <c r="D909" t="inlineStr">
        <is>
          <t>SÖDERMANLANDS LÄN</t>
        </is>
      </c>
      <c r="E909" t="inlineStr">
        <is>
          <t>VINGÅKER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21555-2019</t>
        </is>
      </c>
      <c r="B910" s="1" t="n">
        <v>43580</v>
      </c>
      <c r="C910" s="1" t="n">
        <v>45353</v>
      </c>
      <c r="D910" t="inlineStr">
        <is>
          <t>SÖDERMANLANDS LÄN</t>
        </is>
      </c>
      <c r="E910" t="inlineStr">
        <is>
          <t>ESKILSTUNA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21575-2019</t>
        </is>
      </c>
      <c r="B911" s="1" t="n">
        <v>43580</v>
      </c>
      <c r="C911" s="1" t="n">
        <v>45353</v>
      </c>
      <c r="D911" t="inlineStr">
        <is>
          <t>SÖDERMANLANDS LÄN</t>
        </is>
      </c>
      <c r="E911" t="inlineStr">
        <is>
          <t>VINGÅKER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21632-2019</t>
        </is>
      </c>
      <c r="B912" s="1" t="n">
        <v>43580</v>
      </c>
      <c r="C912" s="1" t="n">
        <v>45353</v>
      </c>
      <c r="D912" t="inlineStr">
        <is>
          <t>SÖDERMANLANDS LÄN</t>
        </is>
      </c>
      <c r="E912" t="inlineStr">
        <is>
          <t>VINGÅKER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21472-2019</t>
        </is>
      </c>
      <c r="B913" s="1" t="n">
        <v>43580</v>
      </c>
      <c r="C913" s="1" t="n">
        <v>45353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21630-2019</t>
        </is>
      </c>
      <c r="B914" s="1" t="n">
        <v>43580</v>
      </c>
      <c r="C914" s="1" t="n">
        <v>45353</v>
      </c>
      <c r="D914" t="inlineStr">
        <is>
          <t>SÖDERMANLANDS LÄN</t>
        </is>
      </c>
      <c r="E914" t="inlineStr">
        <is>
          <t>VINGÅKER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21627-2019</t>
        </is>
      </c>
      <c r="B915" s="1" t="n">
        <v>43580</v>
      </c>
      <c r="C915" s="1" t="n">
        <v>45353</v>
      </c>
      <c r="D915" t="inlineStr">
        <is>
          <t>SÖDERMANLANDS LÄN</t>
        </is>
      </c>
      <c r="E915" t="inlineStr">
        <is>
          <t>VINGÅKER</t>
        </is>
      </c>
      <c r="G915" t="n">
        <v>13.1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21585-2019</t>
        </is>
      </c>
      <c r="B916" s="1" t="n">
        <v>43580</v>
      </c>
      <c r="C916" s="1" t="n">
        <v>45353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21691-2019</t>
        </is>
      </c>
      <c r="B917" s="1" t="n">
        <v>43581</v>
      </c>
      <c r="C917" s="1" t="n">
        <v>45353</v>
      </c>
      <c r="D917" t="inlineStr">
        <is>
          <t>SÖDERMANLANDS LÄN</t>
        </is>
      </c>
      <c r="E917" t="inlineStr">
        <is>
          <t>GNESTA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21994-2019</t>
        </is>
      </c>
      <c r="B918" s="1" t="n">
        <v>43581</v>
      </c>
      <c r="C918" s="1" t="n">
        <v>45353</v>
      </c>
      <c r="D918" t="inlineStr">
        <is>
          <t>SÖDERMANLANDS LÄN</t>
        </is>
      </c>
      <c r="E918" t="inlineStr">
        <is>
          <t>KATRINEHOLM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21694-2019</t>
        </is>
      </c>
      <c r="B919" s="1" t="n">
        <v>43581</v>
      </c>
      <c r="C919" s="1" t="n">
        <v>45353</v>
      </c>
      <c r="D919" t="inlineStr">
        <is>
          <t>SÖDERMANLANDS LÄN</t>
        </is>
      </c>
      <c r="E919" t="inlineStr">
        <is>
          <t>NYKÖPING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22100-2019</t>
        </is>
      </c>
      <c r="B920" s="1" t="n">
        <v>43584</v>
      </c>
      <c r="C920" s="1" t="n">
        <v>45353</v>
      </c>
      <c r="D920" t="inlineStr">
        <is>
          <t>SÖDERMANLANDS LÄN</t>
        </is>
      </c>
      <c r="E920" t="inlineStr">
        <is>
          <t>GNESTA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22101-2019</t>
        </is>
      </c>
      <c r="B921" s="1" t="n">
        <v>43584</v>
      </c>
      <c r="C921" s="1" t="n">
        <v>45353</v>
      </c>
      <c r="D921" t="inlineStr">
        <is>
          <t>SÖDERMANLANDS LÄN</t>
        </is>
      </c>
      <c r="E921" t="inlineStr">
        <is>
          <t>GNESTA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21920-2019</t>
        </is>
      </c>
      <c r="B922" s="1" t="n">
        <v>43584</v>
      </c>
      <c r="C922" s="1" t="n">
        <v>45353</v>
      </c>
      <c r="D922" t="inlineStr">
        <is>
          <t>SÖDERMANLANDS LÄN</t>
        </is>
      </c>
      <c r="E922" t="inlineStr">
        <is>
          <t>FLEN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22217-2019</t>
        </is>
      </c>
      <c r="B923" s="1" t="n">
        <v>43585</v>
      </c>
      <c r="C923" s="1" t="n">
        <v>45353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22503-2019</t>
        </is>
      </c>
      <c r="B924" s="1" t="n">
        <v>43587</v>
      </c>
      <c r="C924" s="1" t="n">
        <v>45353</v>
      </c>
      <c r="D924" t="inlineStr">
        <is>
          <t>SÖDERMANLANDS LÄN</t>
        </is>
      </c>
      <c r="E924" t="inlineStr">
        <is>
          <t>VINGÅKER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22691-2019</t>
        </is>
      </c>
      <c r="B925" s="1" t="n">
        <v>43588</v>
      </c>
      <c r="C925" s="1" t="n">
        <v>45353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23055-2019</t>
        </is>
      </c>
      <c r="B926" s="1" t="n">
        <v>43591</v>
      </c>
      <c r="C926" s="1" t="n">
        <v>45353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23053-2019</t>
        </is>
      </c>
      <c r="B927" s="1" t="n">
        <v>43591</v>
      </c>
      <c r="C927" s="1" t="n">
        <v>45353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22839-2019</t>
        </is>
      </c>
      <c r="B928" s="1" t="n">
        <v>43591</v>
      </c>
      <c r="C928" s="1" t="n">
        <v>45353</v>
      </c>
      <c r="D928" t="inlineStr">
        <is>
          <t>SÖDERMANLANDS LÄN</t>
        </is>
      </c>
      <c r="E928" t="inlineStr">
        <is>
          <t>KATRINEHOLM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23265-2019</t>
        </is>
      </c>
      <c r="B929" s="1" t="n">
        <v>43591</v>
      </c>
      <c r="C929" s="1" t="n">
        <v>45353</v>
      </c>
      <c r="D929" t="inlineStr">
        <is>
          <t>SÖDERMANLANDS LÄN</t>
        </is>
      </c>
      <c r="E929" t="inlineStr">
        <is>
          <t>STRÄNGNÄS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23244-2019</t>
        </is>
      </c>
      <c r="B930" s="1" t="n">
        <v>43592</v>
      </c>
      <c r="C930" s="1" t="n">
        <v>45353</v>
      </c>
      <c r="D930" t="inlineStr">
        <is>
          <t>SÖDERMANLANDS LÄN</t>
        </is>
      </c>
      <c r="E930" t="inlineStr">
        <is>
          <t>VINGÅKER</t>
        </is>
      </c>
      <c r="F930" t="inlineStr">
        <is>
          <t>Kyrkan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23267-2019</t>
        </is>
      </c>
      <c r="B931" s="1" t="n">
        <v>43592</v>
      </c>
      <c r="C931" s="1" t="n">
        <v>45353</v>
      </c>
      <c r="D931" t="inlineStr">
        <is>
          <t>SÖDERMANLANDS LÄN</t>
        </is>
      </c>
      <c r="E931" t="inlineStr">
        <is>
          <t>STRÄNGNÄS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23506-2019</t>
        </is>
      </c>
      <c r="B932" s="1" t="n">
        <v>43593</v>
      </c>
      <c r="C932" s="1" t="n">
        <v>45353</v>
      </c>
      <c r="D932" t="inlineStr">
        <is>
          <t>SÖDERMANLANDS LÄN</t>
        </is>
      </c>
      <c r="E932" t="inlineStr">
        <is>
          <t>GNESTA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23679-2019</t>
        </is>
      </c>
      <c r="B933" s="1" t="n">
        <v>43594</v>
      </c>
      <c r="C933" s="1" t="n">
        <v>45353</v>
      </c>
      <c r="D933" t="inlineStr">
        <is>
          <t>SÖDERMANLANDS LÄN</t>
        </is>
      </c>
      <c r="E933" t="inlineStr">
        <is>
          <t>KATRINEHOLM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23553-2019</t>
        </is>
      </c>
      <c r="B934" s="1" t="n">
        <v>43594</v>
      </c>
      <c r="C934" s="1" t="n">
        <v>45353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23769-2019</t>
        </is>
      </c>
      <c r="B935" s="1" t="n">
        <v>43595</v>
      </c>
      <c r="C935" s="1" t="n">
        <v>45353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24069-2019</t>
        </is>
      </c>
      <c r="B936" s="1" t="n">
        <v>43598</v>
      </c>
      <c r="C936" s="1" t="n">
        <v>45353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24368-2019</t>
        </is>
      </c>
      <c r="B937" s="1" t="n">
        <v>43599</v>
      </c>
      <c r="C937" s="1" t="n">
        <v>45353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24192-2019</t>
        </is>
      </c>
      <c r="B938" s="1" t="n">
        <v>43599</v>
      </c>
      <c r="C938" s="1" t="n">
        <v>45353</v>
      </c>
      <c r="D938" t="inlineStr">
        <is>
          <t>SÖDERMANLANDS LÄN</t>
        </is>
      </c>
      <c r="E938" t="inlineStr">
        <is>
          <t>KATRINEHOLM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24622-2019</t>
        </is>
      </c>
      <c r="B939" s="1" t="n">
        <v>43601</v>
      </c>
      <c r="C939" s="1" t="n">
        <v>45353</v>
      </c>
      <c r="D939" t="inlineStr">
        <is>
          <t>SÖDERMANLANDS LÄN</t>
        </is>
      </c>
      <c r="E939" t="inlineStr">
        <is>
          <t>NYKÖPING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24616-2019</t>
        </is>
      </c>
      <c r="B940" s="1" t="n">
        <v>43601</v>
      </c>
      <c r="C940" s="1" t="n">
        <v>45353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25195-2019</t>
        </is>
      </c>
      <c r="B941" s="1" t="n">
        <v>43605</v>
      </c>
      <c r="C941" s="1" t="n">
        <v>45353</v>
      </c>
      <c r="D941" t="inlineStr">
        <is>
          <t>SÖDERMANLANDS LÄN</t>
        </is>
      </c>
      <c r="E941" t="inlineStr">
        <is>
          <t>KATRINEHOLM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25294-2019</t>
        </is>
      </c>
      <c r="B942" s="1" t="n">
        <v>43605</v>
      </c>
      <c r="C942" s="1" t="n">
        <v>45353</v>
      </c>
      <c r="D942" t="inlineStr">
        <is>
          <t>SÖDERMANLANDS LÄN</t>
        </is>
      </c>
      <c r="E942" t="inlineStr">
        <is>
          <t>GNESTA</t>
        </is>
      </c>
      <c r="F942" t="inlineStr">
        <is>
          <t>Kommuner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26460-2019</t>
        </is>
      </c>
      <c r="B943" s="1" t="n">
        <v>43606</v>
      </c>
      <c r="C943" s="1" t="n">
        <v>45353</v>
      </c>
      <c r="D943" t="inlineStr">
        <is>
          <t>SÖDERMANLANDS LÄN</t>
        </is>
      </c>
      <c r="E943" t="inlineStr">
        <is>
          <t>VINGÅKER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25570-2019</t>
        </is>
      </c>
      <c r="B944" s="1" t="n">
        <v>43607</v>
      </c>
      <c r="C944" s="1" t="n">
        <v>45353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25805-2019</t>
        </is>
      </c>
      <c r="B945" s="1" t="n">
        <v>43608</v>
      </c>
      <c r="C945" s="1" t="n">
        <v>45353</v>
      </c>
      <c r="D945" t="inlineStr">
        <is>
          <t>SÖDERMANLANDS LÄN</t>
        </is>
      </c>
      <c r="E945" t="inlineStr">
        <is>
          <t>VINGÅKER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25807-2019</t>
        </is>
      </c>
      <c r="B946" s="1" t="n">
        <v>43608</v>
      </c>
      <c r="C946" s="1" t="n">
        <v>45353</v>
      </c>
      <c r="D946" t="inlineStr">
        <is>
          <t>SÖDERMANLANDS LÄN</t>
        </is>
      </c>
      <c r="E946" t="inlineStr">
        <is>
          <t>VINGÅKER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25802-2019</t>
        </is>
      </c>
      <c r="B947" s="1" t="n">
        <v>43608</v>
      </c>
      <c r="C947" s="1" t="n">
        <v>45353</v>
      </c>
      <c r="D947" t="inlineStr">
        <is>
          <t>SÖDERMANLANDS LÄN</t>
        </is>
      </c>
      <c r="E947" t="inlineStr">
        <is>
          <t>VINGÅKER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26873-2019</t>
        </is>
      </c>
      <c r="B948" s="1" t="n">
        <v>43608</v>
      </c>
      <c r="C948" s="1" t="n">
        <v>45353</v>
      </c>
      <c r="D948" t="inlineStr">
        <is>
          <t>SÖDERMANLANDS LÄN</t>
        </is>
      </c>
      <c r="E948" t="inlineStr">
        <is>
          <t>VINGÅKER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25936-2019</t>
        </is>
      </c>
      <c r="B949" s="1" t="n">
        <v>43608</v>
      </c>
      <c r="C949" s="1" t="n">
        <v>45353</v>
      </c>
      <c r="D949" t="inlineStr">
        <is>
          <t>SÖDERMANLANDS LÄN</t>
        </is>
      </c>
      <c r="E949" t="inlineStr">
        <is>
          <t>KATRINEHOLM</t>
        </is>
      </c>
      <c r="F949" t="inlineStr">
        <is>
          <t>Övriga Aktiebolag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26339-2019</t>
        </is>
      </c>
      <c r="B950" s="1" t="n">
        <v>43612</v>
      </c>
      <c r="C950" s="1" t="n">
        <v>45353</v>
      </c>
      <c r="D950" t="inlineStr">
        <is>
          <t>SÖDERMANLANDS LÄN</t>
        </is>
      </c>
      <c r="E950" t="inlineStr">
        <is>
          <t>KATRINEHOLM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26532-2019</t>
        </is>
      </c>
      <c r="B951" s="1" t="n">
        <v>43612</v>
      </c>
      <c r="C951" s="1" t="n">
        <v>45353</v>
      </c>
      <c r="D951" t="inlineStr">
        <is>
          <t>SÖDERMANLANDS LÄN</t>
        </is>
      </c>
      <c r="E951" t="inlineStr">
        <is>
          <t>KATRINEHOLM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27951-2019</t>
        </is>
      </c>
      <c r="B952" s="1" t="n">
        <v>43612</v>
      </c>
      <c r="C952" s="1" t="n">
        <v>45353</v>
      </c>
      <c r="D952" t="inlineStr">
        <is>
          <t>SÖDERMANLANDS LÄN</t>
        </is>
      </c>
      <c r="E952" t="inlineStr">
        <is>
          <t>STRÄNGNÄS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26542-2019</t>
        </is>
      </c>
      <c r="B953" s="1" t="n">
        <v>43612</v>
      </c>
      <c r="C953" s="1" t="n">
        <v>45353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26848-2019</t>
        </is>
      </c>
      <c r="B954" s="1" t="n">
        <v>43613</v>
      </c>
      <c r="C954" s="1" t="n">
        <v>45353</v>
      </c>
      <c r="D954" t="inlineStr">
        <is>
          <t>SÖDERMANLANDS LÄN</t>
        </is>
      </c>
      <c r="E954" t="inlineStr">
        <is>
          <t>VINGÅKER</t>
        </is>
      </c>
      <c r="F954" t="inlineStr">
        <is>
          <t>Kyrkan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28673-2019</t>
        </is>
      </c>
      <c r="B955" s="1" t="n">
        <v>43614</v>
      </c>
      <c r="C955" s="1" t="n">
        <v>45353</v>
      </c>
      <c r="D955" t="inlineStr">
        <is>
          <t>SÖDERMANLANDS LÄN</t>
        </is>
      </c>
      <c r="E955" t="inlineStr">
        <is>
          <t>KATRINEHOLM</t>
        </is>
      </c>
      <c r="F955" t="inlineStr">
        <is>
          <t>Allmännings- och besparingsskogar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27151-2019</t>
        </is>
      </c>
      <c r="B956" s="1" t="n">
        <v>43614</v>
      </c>
      <c r="C956" s="1" t="n">
        <v>45353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28911-2019</t>
        </is>
      </c>
      <c r="B957" s="1" t="n">
        <v>43616</v>
      </c>
      <c r="C957" s="1" t="n">
        <v>45353</v>
      </c>
      <c r="D957" t="inlineStr">
        <is>
          <t>SÖDERMANLANDS LÄN</t>
        </is>
      </c>
      <c r="E957" t="inlineStr">
        <is>
          <t>FLEN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27620-2019</t>
        </is>
      </c>
      <c r="B958" s="1" t="n">
        <v>43619</v>
      </c>
      <c r="C958" s="1" t="n">
        <v>45353</v>
      </c>
      <c r="D958" t="inlineStr">
        <is>
          <t>SÖDERMANLANDS LÄN</t>
        </is>
      </c>
      <c r="E958" t="inlineStr">
        <is>
          <t>ESKILSTUNA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27545-2019</t>
        </is>
      </c>
      <c r="B959" s="1" t="n">
        <v>43619</v>
      </c>
      <c r="C959" s="1" t="n">
        <v>45353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28029-2019</t>
        </is>
      </c>
      <c r="B960" s="1" t="n">
        <v>43621</v>
      </c>
      <c r="C960" s="1" t="n">
        <v>45353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28035-2019</t>
        </is>
      </c>
      <c r="B961" s="1" t="n">
        <v>43621</v>
      </c>
      <c r="C961" s="1" t="n">
        <v>45353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28058-2019</t>
        </is>
      </c>
      <c r="B962" s="1" t="n">
        <v>43621</v>
      </c>
      <c r="C962" s="1" t="n">
        <v>45353</v>
      </c>
      <c r="D962" t="inlineStr">
        <is>
          <t>SÖDERMANLANDS LÄN</t>
        </is>
      </c>
      <c r="E962" t="inlineStr">
        <is>
          <t>FLEN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28025-2019</t>
        </is>
      </c>
      <c r="B963" s="1" t="n">
        <v>43621</v>
      </c>
      <c r="C963" s="1" t="n">
        <v>45353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29433-2019</t>
        </is>
      </c>
      <c r="B964" s="1" t="n">
        <v>43623</v>
      </c>
      <c r="C964" s="1" t="n">
        <v>45353</v>
      </c>
      <c r="D964" t="inlineStr">
        <is>
          <t>SÖDERMANLANDS LÄN</t>
        </is>
      </c>
      <c r="E964" t="inlineStr">
        <is>
          <t>KATRINEHOLM</t>
        </is>
      </c>
      <c r="G964" t="n">
        <v>16.7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28401-2019</t>
        </is>
      </c>
      <c r="B965" s="1" t="n">
        <v>43626</v>
      </c>
      <c r="C965" s="1" t="n">
        <v>45353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28400-2019</t>
        </is>
      </c>
      <c r="B966" s="1" t="n">
        <v>43626</v>
      </c>
      <c r="C966" s="1" t="n">
        <v>45353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28404-2019</t>
        </is>
      </c>
      <c r="B967" s="1" t="n">
        <v>43626</v>
      </c>
      <c r="C967" s="1" t="n">
        <v>45353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28402-2019</t>
        </is>
      </c>
      <c r="B968" s="1" t="n">
        <v>43626</v>
      </c>
      <c r="C968" s="1" t="n">
        <v>45353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28568-2019</t>
        </is>
      </c>
      <c r="B969" s="1" t="n">
        <v>43626</v>
      </c>
      <c r="C969" s="1" t="n">
        <v>45353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28511-2019</t>
        </is>
      </c>
      <c r="B970" s="1" t="n">
        <v>43626</v>
      </c>
      <c r="C970" s="1" t="n">
        <v>45353</v>
      </c>
      <c r="D970" t="inlineStr">
        <is>
          <t>SÖDERMANLANDS LÄN</t>
        </is>
      </c>
      <c r="E970" t="inlineStr">
        <is>
          <t>VINGÅKER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28567-2019</t>
        </is>
      </c>
      <c r="B971" s="1" t="n">
        <v>43626</v>
      </c>
      <c r="C971" s="1" t="n">
        <v>45353</v>
      </c>
      <c r="D971" t="inlineStr">
        <is>
          <t>SÖDERMANLANDS LÄN</t>
        </is>
      </c>
      <c r="E971" t="inlineStr">
        <is>
          <t>NYKÖPING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28405-2019</t>
        </is>
      </c>
      <c r="B972" s="1" t="n">
        <v>43626</v>
      </c>
      <c r="C972" s="1" t="n">
        <v>45353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28719-2019</t>
        </is>
      </c>
      <c r="B973" s="1" t="n">
        <v>43627</v>
      </c>
      <c r="C973" s="1" t="n">
        <v>45353</v>
      </c>
      <c r="D973" t="inlineStr">
        <is>
          <t>SÖDERMANLANDS LÄN</t>
        </is>
      </c>
      <c r="E973" t="inlineStr">
        <is>
          <t>NYKÖPING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29084-2019</t>
        </is>
      </c>
      <c r="B974" s="1" t="n">
        <v>43628</v>
      </c>
      <c r="C974" s="1" t="n">
        <v>45353</v>
      </c>
      <c r="D974" t="inlineStr">
        <is>
          <t>SÖDERMANLANDS LÄN</t>
        </is>
      </c>
      <c r="E974" t="inlineStr">
        <is>
          <t>ESKILSTUNA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28982-2019</t>
        </is>
      </c>
      <c r="B975" s="1" t="n">
        <v>43628</v>
      </c>
      <c r="C975" s="1" t="n">
        <v>45353</v>
      </c>
      <c r="D975" t="inlineStr">
        <is>
          <t>SÖDERMANLANDS LÄN</t>
        </is>
      </c>
      <c r="E975" t="inlineStr">
        <is>
          <t>STRÄNGNÄS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29125-2019</t>
        </is>
      </c>
      <c r="B976" s="1" t="n">
        <v>43628</v>
      </c>
      <c r="C976" s="1" t="n">
        <v>45353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29449-2019</t>
        </is>
      </c>
      <c r="B977" s="1" t="n">
        <v>43629</v>
      </c>
      <c r="C977" s="1" t="n">
        <v>45353</v>
      </c>
      <c r="D977" t="inlineStr">
        <is>
          <t>SÖDERMANLANDS LÄN</t>
        </is>
      </c>
      <c r="E977" t="inlineStr">
        <is>
          <t>ESKILSTUNA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29258-2019</t>
        </is>
      </c>
      <c r="B978" s="1" t="n">
        <v>43629</v>
      </c>
      <c r="C978" s="1" t="n">
        <v>45353</v>
      </c>
      <c r="D978" t="inlineStr">
        <is>
          <t>SÖDERMANLANDS LÄN</t>
        </is>
      </c>
      <c r="E978" t="inlineStr">
        <is>
          <t>VINGÅKER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29235-2019</t>
        </is>
      </c>
      <c r="B979" s="1" t="n">
        <v>43629</v>
      </c>
      <c r="C979" s="1" t="n">
        <v>45353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29977-2019</t>
        </is>
      </c>
      <c r="B980" s="1" t="n">
        <v>43630</v>
      </c>
      <c r="C980" s="1" t="n">
        <v>45353</v>
      </c>
      <c r="D980" t="inlineStr">
        <is>
          <t>SÖDERMANLANDS LÄN</t>
        </is>
      </c>
      <c r="E980" t="inlineStr">
        <is>
          <t>FLEN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30025-2019</t>
        </is>
      </c>
      <c r="B981" s="1" t="n">
        <v>43630</v>
      </c>
      <c r="C981" s="1" t="n">
        <v>45353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30492-2019</t>
        </is>
      </c>
      <c r="B982" s="1" t="n">
        <v>43635</v>
      </c>
      <c r="C982" s="1" t="n">
        <v>45353</v>
      </c>
      <c r="D982" t="inlineStr">
        <is>
          <t>SÖDERMANLANDS LÄN</t>
        </is>
      </c>
      <c r="E982" t="inlineStr">
        <is>
          <t>FLEN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30604-2019</t>
        </is>
      </c>
      <c r="B983" s="1" t="n">
        <v>43635</v>
      </c>
      <c r="C983" s="1" t="n">
        <v>45353</v>
      </c>
      <c r="D983" t="inlineStr">
        <is>
          <t>SÖDERMANLANDS LÄN</t>
        </is>
      </c>
      <c r="E983" t="inlineStr">
        <is>
          <t>KATRINEHOLM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30669-2019</t>
        </is>
      </c>
      <c r="B984" s="1" t="n">
        <v>43636</v>
      </c>
      <c r="C984" s="1" t="n">
        <v>45353</v>
      </c>
      <c r="D984" t="inlineStr">
        <is>
          <t>SÖDERMANLANDS LÄN</t>
        </is>
      </c>
      <c r="E984" t="inlineStr">
        <is>
          <t>STRÄNGNÄS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30646-2019</t>
        </is>
      </c>
      <c r="B985" s="1" t="n">
        <v>43636</v>
      </c>
      <c r="C985" s="1" t="n">
        <v>45353</v>
      </c>
      <c r="D985" t="inlineStr">
        <is>
          <t>SÖDERMANLANDS LÄN</t>
        </is>
      </c>
      <c r="E985" t="inlineStr">
        <is>
          <t>STRÄNGNÄS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30692-2019</t>
        </is>
      </c>
      <c r="B986" s="1" t="n">
        <v>43636</v>
      </c>
      <c r="C986" s="1" t="n">
        <v>45353</v>
      </c>
      <c r="D986" t="inlineStr">
        <is>
          <t>SÖDERMANLANDS LÄN</t>
        </is>
      </c>
      <c r="E986" t="inlineStr">
        <is>
          <t>STRÄNGNÄS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31388-2019</t>
        </is>
      </c>
      <c r="B987" s="1" t="n">
        <v>43636</v>
      </c>
      <c r="C987" s="1" t="n">
        <v>45353</v>
      </c>
      <c r="D987" t="inlineStr">
        <is>
          <t>SÖDERMANLANDS LÄN</t>
        </is>
      </c>
      <c r="E987" t="inlineStr">
        <is>
          <t>STRÄNGNÄS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30872-2019</t>
        </is>
      </c>
      <c r="B988" s="1" t="n">
        <v>43636</v>
      </c>
      <c r="C988" s="1" t="n">
        <v>45353</v>
      </c>
      <c r="D988" t="inlineStr">
        <is>
          <t>SÖDERMANLANDS LÄN</t>
        </is>
      </c>
      <c r="E988" t="inlineStr">
        <is>
          <t>FLEN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30982-2019</t>
        </is>
      </c>
      <c r="B989" s="1" t="n">
        <v>43640</v>
      </c>
      <c r="C989" s="1" t="n">
        <v>45353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31832-2019</t>
        </is>
      </c>
      <c r="B990" s="1" t="n">
        <v>43640</v>
      </c>
      <c r="C990" s="1" t="n">
        <v>45353</v>
      </c>
      <c r="D990" t="inlineStr">
        <is>
          <t>SÖDERMANLANDS LÄN</t>
        </is>
      </c>
      <c r="E990" t="inlineStr">
        <is>
          <t>VINGÅKER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31818-2019</t>
        </is>
      </c>
      <c r="B991" s="1" t="n">
        <v>43640</v>
      </c>
      <c r="C991" s="1" t="n">
        <v>45353</v>
      </c>
      <c r="D991" t="inlineStr">
        <is>
          <t>SÖDERMANLANDS LÄN</t>
        </is>
      </c>
      <c r="E991" t="inlineStr">
        <is>
          <t>VINGÅKER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31492-2019</t>
        </is>
      </c>
      <c r="B992" s="1" t="n">
        <v>43640</v>
      </c>
      <c r="C992" s="1" t="n">
        <v>45353</v>
      </c>
      <c r="D992" t="inlineStr">
        <is>
          <t>SÖDERMANLANDS LÄN</t>
        </is>
      </c>
      <c r="E992" t="inlineStr">
        <is>
          <t>ESKILSTUNA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31835-2019</t>
        </is>
      </c>
      <c r="B993" s="1" t="n">
        <v>43640</v>
      </c>
      <c r="C993" s="1" t="n">
        <v>45353</v>
      </c>
      <c r="D993" t="inlineStr">
        <is>
          <t>SÖDERMANLANDS LÄN</t>
        </is>
      </c>
      <c r="E993" t="inlineStr">
        <is>
          <t>VINGÅKER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31687-2019</t>
        </is>
      </c>
      <c r="B994" s="1" t="n">
        <v>43642</v>
      </c>
      <c r="C994" s="1" t="n">
        <v>45353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32047-2019</t>
        </is>
      </c>
      <c r="B995" s="1" t="n">
        <v>43643</v>
      </c>
      <c r="C995" s="1" t="n">
        <v>45353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32189-2019</t>
        </is>
      </c>
      <c r="B996" s="1" t="n">
        <v>43643</v>
      </c>
      <c r="C996" s="1" t="n">
        <v>45353</v>
      </c>
      <c r="D996" t="inlineStr">
        <is>
          <t>SÖDERMANLANDS LÄN</t>
        </is>
      </c>
      <c r="E996" t="inlineStr">
        <is>
          <t>TROSA</t>
        </is>
      </c>
      <c r="G996" t="n">
        <v>17.1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32194-2019</t>
        </is>
      </c>
      <c r="B997" s="1" t="n">
        <v>43643</v>
      </c>
      <c r="C997" s="1" t="n">
        <v>45353</v>
      </c>
      <c r="D997" t="inlineStr">
        <is>
          <t>SÖDERMANLANDS LÄN</t>
        </is>
      </c>
      <c r="E997" t="inlineStr">
        <is>
          <t>KATRINEHOLM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32926-2019</t>
        </is>
      </c>
      <c r="B998" s="1" t="n">
        <v>43643</v>
      </c>
      <c r="C998" s="1" t="n">
        <v>45353</v>
      </c>
      <c r="D998" t="inlineStr">
        <is>
          <t>SÖDERMANLANDS LÄN</t>
        </is>
      </c>
      <c r="E998" t="inlineStr">
        <is>
          <t>NYKÖPING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32804-2019</t>
        </is>
      </c>
      <c r="B999" s="1" t="n">
        <v>43643</v>
      </c>
      <c r="C999" s="1" t="n">
        <v>45353</v>
      </c>
      <c r="D999" t="inlineStr">
        <is>
          <t>SÖDERMANLANDS LÄN</t>
        </is>
      </c>
      <c r="E999" t="inlineStr">
        <is>
          <t>NYKÖPING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32070-2019</t>
        </is>
      </c>
      <c r="B1000" s="1" t="n">
        <v>43643</v>
      </c>
      <c r="C1000" s="1" t="n">
        <v>45353</v>
      </c>
      <c r="D1000" t="inlineStr">
        <is>
          <t>SÖDERMANLANDS LÄN</t>
        </is>
      </c>
      <c r="E1000" t="inlineStr">
        <is>
          <t>FLEN</t>
        </is>
      </c>
      <c r="G1000" t="n">
        <v>9.9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32196-2019</t>
        </is>
      </c>
      <c r="B1001" s="1" t="n">
        <v>43643</v>
      </c>
      <c r="C1001" s="1" t="n">
        <v>45353</v>
      </c>
      <c r="D1001" t="inlineStr">
        <is>
          <t>SÖDERMANLANDS LÄN</t>
        </is>
      </c>
      <c r="E1001" t="inlineStr">
        <is>
          <t>STRÄNGNÄS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32931-2019</t>
        </is>
      </c>
      <c r="B1002" s="1" t="n">
        <v>43643</v>
      </c>
      <c r="C1002" s="1" t="n">
        <v>45353</v>
      </c>
      <c r="D1002" t="inlineStr">
        <is>
          <t>SÖDERMANLANDS LÄN</t>
        </is>
      </c>
      <c r="E1002" t="inlineStr">
        <is>
          <t>NYKÖPING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32889-2019</t>
        </is>
      </c>
      <c r="B1003" s="1" t="n">
        <v>43643</v>
      </c>
      <c r="C1003" s="1" t="n">
        <v>45353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32353-2019</t>
        </is>
      </c>
      <c r="B1004" s="1" t="n">
        <v>43644</v>
      </c>
      <c r="C1004" s="1" t="n">
        <v>45353</v>
      </c>
      <c r="D1004" t="inlineStr">
        <is>
          <t>SÖDERMANLANDS LÄN</t>
        </is>
      </c>
      <c r="E1004" t="inlineStr">
        <is>
          <t>NYKÖPING</t>
        </is>
      </c>
      <c r="G1004" t="n">
        <v>10.2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34203-2019</t>
        </is>
      </c>
      <c r="B1005" s="1" t="n">
        <v>43644</v>
      </c>
      <c r="C1005" s="1" t="n">
        <v>45353</v>
      </c>
      <c r="D1005" t="inlineStr">
        <is>
          <t>SÖDERMANLANDS LÄN</t>
        </is>
      </c>
      <c r="E1005" t="inlineStr">
        <is>
          <t>STRÄNGNÄS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34148-2019</t>
        </is>
      </c>
      <c r="B1006" s="1" t="n">
        <v>43644</v>
      </c>
      <c r="C1006" s="1" t="n">
        <v>45353</v>
      </c>
      <c r="D1006" t="inlineStr">
        <is>
          <t>SÖDERMANLANDS LÄN</t>
        </is>
      </c>
      <c r="E1006" t="inlineStr">
        <is>
          <t>STRÄNGNÄS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34199-2019</t>
        </is>
      </c>
      <c r="B1007" s="1" t="n">
        <v>43644</v>
      </c>
      <c r="C1007" s="1" t="n">
        <v>45353</v>
      </c>
      <c r="D1007" t="inlineStr">
        <is>
          <t>SÖDERMANLANDS LÄN</t>
        </is>
      </c>
      <c r="E1007" t="inlineStr">
        <is>
          <t>STRÄNGNÄS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32555-2019</t>
        </is>
      </c>
      <c r="B1008" s="1" t="n">
        <v>43645</v>
      </c>
      <c r="C1008" s="1" t="n">
        <v>45353</v>
      </c>
      <c r="D1008" t="inlineStr">
        <is>
          <t>SÖDERMANLANDS LÄN</t>
        </is>
      </c>
      <c r="E1008" t="inlineStr">
        <is>
          <t>KATRINEHOLM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32870-2019</t>
        </is>
      </c>
      <c r="B1009" s="1" t="n">
        <v>43648</v>
      </c>
      <c r="C1009" s="1" t="n">
        <v>45353</v>
      </c>
      <c r="D1009" t="inlineStr">
        <is>
          <t>SÖDERMANLANDS LÄN</t>
        </is>
      </c>
      <c r="E1009" t="inlineStr">
        <is>
          <t>STRÄNGNÄS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32789-2019</t>
        </is>
      </c>
      <c r="B1010" s="1" t="n">
        <v>43648</v>
      </c>
      <c r="C1010" s="1" t="n">
        <v>45353</v>
      </c>
      <c r="D1010" t="inlineStr">
        <is>
          <t>SÖDERMANLANDS LÄN</t>
        </is>
      </c>
      <c r="E1010" t="inlineStr">
        <is>
          <t>VINGÅKER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33074-2019</t>
        </is>
      </c>
      <c r="B1011" s="1" t="n">
        <v>43649</v>
      </c>
      <c r="C1011" s="1" t="n">
        <v>45353</v>
      </c>
      <c r="D1011" t="inlineStr">
        <is>
          <t>SÖDERMANLANDS LÄN</t>
        </is>
      </c>
      <c r="E1011" t="inlineStr">
        <is>
          <t>STRÄNGNÄS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33113-2019</t>
        </is>
      </c>
      <c r="B1012" s="1" t="n">
        <v>43649</v>
      </c>
      <c r="C1012" s="1" t="n">
        <v>45353</v>
      </c>
      <c r="D1012" t="inlineStr">
        <is>
          <t>SÖDERMANLANDS LÄN</t>
        </is>
      </c>
      <c r="E1012" t="inlineStr">
        <is>
          <t>STRÄNGNÄS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33000-2019</t>
        </is>
      </c>
      <c r="B1013" s="1" t="n">
        <v>43649</v>
      </c>
      <c r="C1013" s="1" t="n">
        <v>45353</v>
      </c>
      <c r="D1013" t="inlineStr">
        <is>
          <t>SÖDERMANLANDS LÄN</t>
        </is>
      </c>
      <c r="E1013" t="inlineStr">
        <is>
          <t>STRÄNGNÄS</t>
        </is>
      </c>
      <c r="F1013" t="inlineStr">
        <is>
          <t>Övriga Aktiebolag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33364-2019</t>
        </is>
      </c>
      <c r="B1014" s="1" t="n">
        <v>43650</v>
      </c>
      <c r="C1014" s="1" t="n">
        <v>45353</v>
      </c>
      <c r="D1014" t="inlineStr">
        <is>
          <t>SÖDERMANLANDS LÄN</t>
        </is>
      </c>
      <c r="E1014" t="inlineStr">
        <is>
          <t>NYKÖPING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33397-2019</t>
        </is>
      </c>
      <c r="B1015" s="1" t="n">
        <v>43650</v>
      </c>
      <c r="C1015" s="1" t="n">
        <v>45353</v>
      </c>
      <c r="D1015" t="inlineStr">
        <is>
          <t>SÖDERMANLANDS LÄN</t>
        </is>
      </c>
      <c r="E1015" t="inlineStr">
        <is>
          <t>TROSA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34856-2019</t>
        </is>
      </c>
      <c r="B1016" s="1" t="n">
        <v>43650</v>
      </c>
      <c r="C1016" s="1" t="n">
        <v>45353</v>
      </c>
      <c r="D1016" t="inlineStr">
        <is>
          <t>SÖDERMANLANDS LÄN</t>
        </is>
      </c>
      <c r="E1016" t="inlineStr">
        <is>
          <t>KATRINEHOLM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33315-2019</t>
        </is>
      </c>
      <c r="B1017" s="1" t="n">
        <v>43650</v>
      </c>
      <c r="C1017" s="1" t="n">
        <v>45353</v>
      </c>
      <c r="D1017" t="inlineStr">
        <is>
          <t>SÖDERMANLANDS LÄN</t>
        </is>
      </c>
      <c r="E1017" t="inlineStr">
        <is>
          <t>NYKÖPING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33488-2019</t>
        </is>
      </c>
      <c r="B1018" s="1" t="n">
        <v>43651</v>
      </c>
      <c r="C1018" s="1" t="n">
        <v>45353</v>
      </c>
      <c r="D1018" t="inlineStr">
        <is>
          <t>SÖDERMANLANDS LÄN</t>
        </is>
      </c>
      <c r="E1018" t="inlineStr">
        <is>
          <t>STRÄNGNÄS</t>
        </is>
      </c>
      <c r="F1018" t="inlineStr">
        <is>
          <t>Allmännings- och besparingsskogar</t>
        </is>
      </c>
      <c r="G1018" t="n">
        <v>20.1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33760-2019</t>
        </is>
      </c>
      <c r="B1019" s="1" t="n">
        <v>43651</v>
      </c>
      <c r="C1019" s="1" t="n">
        <v>45353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15.1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33819-2019</t>
        </is>
      </c>
      <c r="B1020" s="1" t="n">
        <v>43651</v>
      </c>
      <c r="C1020" s="1" t="n">
        <v>45353</v>
      </c>
      <c r="D1020" t="inlineStr">
        <is>
          <t>SÖDERMANLANDS LÄN</t>
        </is>
      </c>
      <c r="E1020" t="inlineStr">
        <is>
          <t>VINGÅKER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33804-2019</t>
        </is>
      </c>
      <c r="B1021" s="1" t="n">
        <v>43651</v>
      </c>
      <c r="C1021" s="1" t="n">
        <v>45353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35468-2019</t>
        </is>
      </c>
      <c r="B1022" s="1" t="n">
        <v>43651</v>
      </c>
      <c r="C1022" s="1" t="n">
        <v>45353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33489-2019</t>
        </is>
      </c>
      <c r="B1023" s="1" t="n">
        <v>43651</v>
      </c>
      <c r="C1023" s="1" t="n">
        <v>45353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Allmännings- och besparingsskogar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33490-2019</t>
        </is>
      </c>
      <c r="B1024" s="1" t="n">
        <v>43651</v>
      </c>
      <c r="C1024" s="1" t="n">
        <v>45353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33968-2019</t>
        </is>
      </c>
      <c r="B1025" s="1" t="n">
        <v>43654</v>
      </c>
      <c r="C1025" s="1" t="n">
        <v>45353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35428-2019</t>
        </is>
      </c>
      <c r="B1026" s="1" t="n">
        <v>43654</v>
      </c>
      <c r="C1026" s="1" t="n">
        <v>45353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34226-2019</t>
        </is>
      </c>
      <c r="B1027" s="1" t="n">
        <v>43655</v>
      </c>
      <c r="C1027" s="1" t="n">
        <v>45353</v>
      </c>
      <c r="D1027" t="inlineStr">
        <is>
          <t>SÖDERMANLANDS LÄN</t>
        </is>
      </c>
      <c r="E1027" t="inlineStr">
        <is>
          <t>VINGÅKER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35583-2019</t>
        </is>
      </c>
      <c r="B1028" s="1" t="n">
        <v>43655</v>
      </c>
      <c r="C1028" s="1" t="n">
        <v>45353</v>
      </c>
      <c r="D1028" t="inlineStr">
        <is>
          <t>SÖDERMANLANDS LÄN</t>
        </is>
      </c>
      <c r="E1028" t="inlineStr">
        <is>
          <t>FLEN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34459-2019</t>
        </is>
      </c>
      <c r="B1029" s="1" t="n">
        <v>43656</v>
      </c>
      <c r="C1029" s="1" t="n">
        <v>45353</v>
      </c>
      <c r="D1029" t="inlineStr">
        <is>
          <t>SÖDERMANLANDS LÄN</t>
        </is>
      </c>
      <c r="E1029" t="inlineStr">
        <is>
          <t>VINGÅKER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34457-2019</t>
        </is>
      </c>
      <c r="B1030" s="1" t="n">
        <v>43656</v>
      </c>
      <c r="C1030" s="1" t="n">
        <v>45353</v>
      </c>
      <c r="D1030" t="inlineStr">
        <is>
          <t>SÖDERMANLANDS LÄN</t>
        </is>
      </c>
      <c r="E1030" t="inlineStr">
        <is>
          <t>VINGÅKER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35802-2019</t>
        </is>
      </c>
      <c r="B1031" s="1" t="n">
        <v>43656</v>
      </c>
      <c r="C1031" s="1" t="n">
        <v>45353</v>
      </c>
      <c r="D1031" t="inlineStr">
        <is>
          <t>SÖDERMANLANDS LÄN</t>
        </is>
      </c>
      <c r="E1031" t="inlineStr">
        <is>
          <t>VINGÅKER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35864-2019</t>
        </is>
      </c>
      <c r="B1032" s="1" t="n">
        <v>43656</v>
      </c>
      <c r="C1032" s="1" t="n">
        <v>45353</v>
      </c>
      <c r="D1032" t="inlineStr">
        <is>
          <t>SÖDERMANLANDS LÄN</t>
        </is>
      </c>
      <c r="E1032" t="inlineStr">
        <is>
          <t>ESKILSTUNA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35796-2019</t>
        </is>
      </c>
      <c r="B1033" s="1" t="n">
        <v>43656</v>
      </c>
      <c r="C1033" s="1" t="n">
        <v>45353</v>
      </c>
      <c r="D1033" t="inlineStr">
        <is>
          <t>SÖDERMANLANDS LÄN</t>
        </is>
      </c>
      <c r="E1033" t="inlineStr">
        <is>
          <t>VINGÅKER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34606-2019</t>
        </is>
      </c>
      <c r="B1034" s="1" t="n">
        <v>43657</v>
      </c>
      <c r="C1034" s="1" t="n">
        <v>45353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Kommuner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34988-2019</t>
        </is>
      </c>
      <c r="B1035" s="1" t="n">
        <v>43659</v>
      </c>
      <c r="C1035" s="1" t="n">
        <v>45353</v>
      </c>
      <c r="D1035" t="inlineStr">
        <is>
          <t>SÖDERMANLANDS LÄN</t>
        </is>
      </c>
      <c r="E1035" t="inlineStr">
        <is>
          <t>FLEN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36250-2019</t>
        </is>
      </c>
      <c r="B1036" s="1" t="n">
        <v>43660</v>
      </c>
      <c r="C1036" s="1" t="n">
        <v>45353</v>
      </c>
      <c r="D1036" t="inlineStr">
        <is>
          <t>SÖDERMANLANDS LÄN</t>
        </is>
      </c>
      <c r="E1036" t="inlineStr">
        <is>
          <t>KATRINEHOLM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35086-2019</t>
        </is>
      </c>
      <c r="B1037" s="1" t="n">
        <v>43661</v>
      </c>
      <c r="C1037" s="1" t="n">
        <v>45353</v>
      </c>
      <c r="D1037" t="inlineStr">
        <is>
          <t>SÖDERMANLANDS LÄN</t>
        </is>
      </c>
      <c r="E1037" t="inlineStr">
        <is>
          <t>FLEN</t>
        </is>
      </c>
      <c r="F1037" t="inlineStr">
        <is>
          <t>Övriga statliga verk och myndigheter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35052-2019</t>
        </is>
      </c>
      <c r="B1038" s="1" t="n">
        <v>43661</v>
      </c>
      <c r="C1038" s="1" t="n">
        <v>45353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35140-2019</t>
        </is>
      </c>
      <c r="B1039" s="1" t="n">
        <v>43661</v>
      </c>
      <c r="C1039" s="1" t="n">
        <v>45353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36280-2019</t>
        </is>
      </c>
      <c r="B1040" s="1" t="n">
        <v>43661</v>
      </c>
      <c r="C1040" s="1" t="n">
        <v>45353</v>
      </c>
      <c r="D1040" t="inlineStr">
        <is>
          <t>SÖDERMANLANDS LÄN</t>
        </is>
      </c>
      <c r="E1040" t="inlineStr">
        <is>
          <t>KATRINEHOLM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36279-2019</t>
        </is>
      </c>
      <c r="B1041" s="1" t="n">
        <v>43661</v>
      </c>
      <c r="C1041" s="1" t="n">
        <v>45353</v>
      </c>
      <c r="D1041" t="inlineStr">
        <is>
          <t>SÖDERMANLANDS LÄN</t>
        </is>
      </c>
      <c r="E1041" t="inlineStr">
        <is>
          <t>KATRINEHOLM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35155-2019</t>
        </is>
      </c>
      <c r="B1042" s="1" t="n">
        <v>43661</v>
      </c>
      <c r="C1042" s="1" t="n">
        <v>45353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35145-2019</t>
        </is>
      </c>
      <c r="B1043" s="1" t="n">
        <v>43661</v>
      </c>
      <c r="C1043" s="1" t="n">
        <v>45353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35061-2019</t>
        </is>
      </c>
      <c r="B1044" s="1" t="n">
        <v>43661</v>
      </c>
      <c r="C1044" s="1" t="n">
        <v>45353</v>
      </c>
      <c r="D1044" t="inlineStr">
        <is>
          <t>SÖDERMANLANDS LÄN</t>
        </is>
      </c>
      <c r="E1044" t="inlineStr">
        <is>
          <t>GNESTA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35182-2019</t>
        </is>
      </c>
      <c r="B1045" s="1" t="n">
        <v>43661</v>
      </c>
      <c r="C1045" s="1" t="n">
        <v>45353</v>
      </c>
      <c r="D1045" t="inlineStr">
        <is>
          <t>SÖDERMANLANDS LÄN</t>
        </is>
      </c>
      <c r="E1045" t="inlineStr">
        <is>
          <t>FLEN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35293-2019</t>
        </is>
      </c>
      <c r="B1046" s="1" t="n">
        <v>43662</v>
      </c>
      <c r="C1046" s="1" t="n">
        <v>45353</v>
      </c>
      <c r="D1046" t="inlineStr">
        <is>
          <t>SÖDERMANLANDS LÄN</t>
        </is>
      </c>
      <c r="E1046" t="inlineStr">
        <is>
          <t>ESKILSTUNA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35432-2019</t>
        </is>
      </c>
      <c r="B1047" s="1" t="n">
        <v>43663</v>
      </c>
      <c r="C1047" s="1" t="n">
        <v>45353</v>
      </c>
      <c r="D1047" t="inlineStr">
        <is>
          <t>SÖDERMANLANDS LÄN</t>
        </is>
      </c>
      <c r="E1047" t="inlineStr">
        <is>
          <t>KATRINEHOLM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35591-2019</t>
        </is>
      </c>
      <c r="B1048" s="1" t="n">
        <v>43664</v>
      </c>
      <c r="C1048" s="1" t="n">
        <v>45353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35702-2019</t>
        </is>
      </c>
      <c r="B1049" s="1" t="n">
        <v>43664</v>
      </c>
      <c r="C1049" s="1" t="n">
        <v>45353</v>
      </c>
      <c r="D1049" t="inlineStr">
        <is>
          <t>SÖDERMANLANDS LÄN</t>
        </is>
      </c>
      <c r="E1049" t="inlineStr">
        <is>
          <t>FLEN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35590-2019</t>
        </is>
      </c>
      <c r="B1050" s="1" t="n">
        <v>43664</v>
      </c>
      <c r="C1050" s="1" t="n">
        <v>45353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36449-2019</t>
        </is>
      </c>
      <c r="B1051" s="1" t="n">
        <v>43664</v>
      </c>
      <c r="C1051" s="1" t="n">
        <v>45353</v>
      </c>
      <c r="D1051" t="inlineStr">
        <is>
          <t>SÖDERMANLANDS LÄN</t>
        </is>
      </c>
      <c r="E1051" t="inlineStr">
        <is>
          <t>STRÄNGNÄS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36478-2019</t>
        </is>
      </c>
      <c r="B1052" s="1" t="n">
        <v>43664</v>
      </c>
      <c r="C1052" s="1" t="n">
        <v>45353</v>
      </c>
      <c r="D1052" t="inlineStr">
        <is>
          <t>SÖDERMANLANDS LÄN</t>
        </is>
      </c>
      <c r="E1052" t="inlineStr">
        <is>
          <t>ESKILSTUNA</t>
        </is>
      </c>
      <c r="G1052" t="n">
        <v>16.6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35773-2019</t>
        </is>
      </c>
      <c r="B1053" s="1" t="n">
        <v>43665</v>
      </c>
      <c r="C1053" s="1" t="n">
        <v>45353</v>
      </c>
      <c r="D1053" t="inlineStr">
        <is>
          <t>SÖDERMANLANDS LÄN</t>
        </is>
      </c>
      <c r="E1053" t="inlineStr">
        <is>
          <t>VINGÅKER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35784-2019</t>
        </is>
      </c>
      <c r="B1054" s="1" t="n">
        <v>43665</v>
      </c>
      <c r="C1054" s="1" t="n">
        <v>45353</v>
      </c>
      <c r="D1054" t="inlineStr">
        <is>
          <t>SÖDERMANLANDS LÄN</t>
        </is>
      </c>
      <c r="E1054" t="inlineStr">
        <is>
          <t>KATRINEHOLM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35982-2019</t>
        </is>
      </c>
      <c r="B1055" s="1" t="n">
        <v>43667</v>
      </c>
      <c r="C1055" s="1" t="n">
        <v>45353</v>
      </c>
      <c r="D1055" t="inlineStr">
        <is>
          <t>SÖDERMANLANDS LÄN</t>
        </is>
      </c>
      <c r="E1055" t="inlineStr">
        <is>
          <t>ESKILSTUNA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35985-2019</t>
        </is>
      </c>
      <c r="B1056" s="1" t="n">
        <v>43667</v>
      </c>
      <c r="C1056" s="1" t="n">
        <v>45353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36098-2019</t>
        </is>
      </c>
      <c r="B1057" s="1" t="n">
        <v>43668</v>
      </c>
      <c r="C1057" s="1" t="n">
        <v>45353</v>
      </c>
      <c r="D1057" t="inlineStr">
        <is>
          <t>SÖDERMANLANDS LÄN</t>
        </is>
      </c>
      <c r="E1057" t="inlineStr">
        <is>
          <t>STRÄNGNÄS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36152-2019</t>
        </is>
      </c>
      <c r="B1058" s="1" t="n">
        <v>43668</v>
      </c>
      <c r="C1058" s="1" t="n">
        <v>45353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36613-2019</t>
        </is>
      </c>
      <c r="B1059" s="1" t="n">
        <v>43669</v>
      </c>
      <c r="C1059" s="1" t="n">
        <v>45353</v>
      </c>
      <c r="D1059" t="inlineStr">
        <is>
          <t>SÖDERMANLANDS LÄN</t>
        </is>
      </c>
      <c r="E1059" t="inlineStr">
        <is>
          <t>KATRINEHOLM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36582-2019</t>
        </is>
      </c>
      <c r="B1060" s="1" t="n">
        <v>43669</v>
      </c>
      <c r="C1060" s="1" t="n">
        <v>45353</v>
      </c>
      <c r="D1060" t="inlineStr">
        <is>
          <t>SÖDERMANLANDS LÄN</t>
        </is>
      </c>
      <c r="E1060" t="inlineStr">
        <is>
          <t>NYKÖPING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36223-2019</t>
        </is>
      </c>
      <c r="B1061" s="1" t="n">
        <v>43669</v>
      </c>
      <c r="C1061" s="1" t="n">
        <v>45353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36612-2019</t>
        </is>
      </c>
      <c r="B1062" s="1" t="n">
        <v>43669</v>
      </c>
      <c r="C1062" s="1" t="n">
        <v>45353</v>
      </c>
      <c r="D1062" t="inlineStr">
        <is>
          <t>SÖDERMANLANDS LÄN</t>
        </is>
      </c>
      <c r="E1062" t="inlineStr">
        <is>
          <t>FLEN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36603-2019</t>
        </is>
      </c>
      <c r="B1063" s="1" t="n">
        <v>43669</v>
      </c>
      <c r="C1063" s="1" t="n">
        <v>45353</v>
      </c>
      <c r="D1063" t="inlineStr">
        <is>
          <t>SÖDERMANLANDS LÄN</t>
        </is>
      </c>
      <c r="E1063" t="inlineStr">
        <is>
          <t>KATRINEHOLM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36225-2019</t>
        </is>
      </c>
      <c r="B1064" s="1" t="n">
        <v>43669</v>
      </c>
      <c r="C1064" s="1" t="n">
        <v>45353</v>
      </c>
      <c r="D1064" t="inlineStr">
        <is>
          <t>SÖDERMANLANDS LÄN</t>
        </is>
      </c>
      <c r="E1064" t="inlineStr">
        <is>
          <t>FLEN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36619-2019</t>
        </is>
      </c>
      <c r="B1065" s="1" t="n">
        <v>43669</v>
      </c>
      <c r="C1065" s="1" t="n">
        <v>45353</v>
      </c>
      <c r="D1065" t="inlineStr">
        <is>
          <t>SÖDERMANLANDS LÄN</t>
        </is>
      </c>
      <c r="E1065" t="inlineStr">
        <is>
          <t>FLEN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36479-2019</t>
        </is>
      </c>
      <c r="B1066" s="1" t="n">
        <v>43670</v>
      </c>
      <c r="C1066" s="1" t="n">
        <v>45353</v>
      </c>
      <c r="D1066" t="inlineStr">
        <is>
          <t>SÖDERMANLANDS LÄN</t>
        </is>
      </c>
      <c r="E1066" t="inlineStr">
        <is>
          <t>VINGÅKER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36408-2019</t>
        </is>
      </c>
      <c r="B1067" s="1" t="n">
        <v>43670</v>
      </c>
      <c r="C1067" s="1" t="n">
        <v>45353</v>
      </c>
      <c r="D1067" t="inlineStr">
        <is>
          <t>SÖDERMANLANDS LÄN</t>
        </is>
      </c>
      <c r="E1067" t="inlineStr">
        <is>
          <t>KATRINEHOLM</t>
        </is>
      </c>
      <c r="G1067" t="n">
        <v>13.6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36780-2019</t>
        </is>
      </c>
      <c r="B1068" s="1" t="n">
        <v>43672</v>
      </c>
      <c r="C1068" s="1" t="n">
        <v>45353</v>
      </c>
      <c r="D1068" t="inlineStr">
        <is>
          <t>SÖDERMANLANDS LÄN</t>
        </is>
      </c>
      <c r="E1068" t="inlineStr">
        <is>
          <t>KATRINEHOLM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36901-2019</t>
        </is>
      </c>
      <c r="B1069" s="1" t="n">
        <v>43675</v>
      </c>
      <c r="C1069" s="1" t="n">
        <v>45353</v>
      </c>
      <c r="D1069" t="inlineStr">
        <is>
          <t>SÖDERMANLANDS LÄN</t>
        </is>
      </c>
      <c r="E1069" t="inlineStr">
        <is>
          <t>FLEN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36978-2019</t>
        </is>
      </c>
      <c r="B1070" s="1" t="n">
        <v>43676</v>
      </c>
      <c r="C1070" s="1" t="n">
        <v>45353</v>
      </c>
      <c r="D1070" t="inlineStr">
        <is>
          <t>SÖDERMANLANDS LÄN</t>
        </is>
      </c>
      <c r="E1070" t="inlineStr">
        <is>
          <t>FLEN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37062-2019</t>
        </is>
      </c>
      <c r="B1071" s="1" t="n">
        <v>43676</v>
      </c>
      <c r="C1071" s="1" t="n">
        <v>45353</v>
      </c>
      <c r="D1071" t="inlineStr">
        <is>
          <t>SÖDERMANLANDS LÄN</t>
        </is>
      </c>
      <c r="E1071" t="inlineStr">
        <is>
          <t>VINGÅKER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36994-2019</t>
        </is>
      </c>
      <c r="B1072" s="1" t="n">
        <v>43676</v>
      </c>
      <c r="C1072" s="1" t="n">
        <v>45353</v>
      </c>
      <c r="D1072" t="inlineStr">
        <is>
          <t>SÖDERMANLANDS LÄN</t>
        </is>
      </c>
      <c r="E1072" t="inlineStr">
        <is>
          <t>FLEN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37255-2019</t>
        </is>
      </c>
      <c r="B1073" s="1" t="n">
        <v>43677</v>
      </c>
      <c r="C1073" s="1" t="n">
        <v>45353</v>
      </c>
      <c r="D1073" t="inlineStr">
        <is>
          <t>SÖDERMANLANDS LÄN</t>
        </is>
      </c>
      <c r="E1073" t="inlineStr">
        <is>
          <t>ESKILSTUNA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37504-2019</t>
        </is>
      </c>
      <c r="B1074" s="1" t="n">
        <v>43678</v>
      </c>
      <c r="C1074" s="1" t="n">
        <v>45353</v>
      </c>
      <c r="D1074" t="inlineStr">
        <is>
          <t>SÖDERMANLANDS LÄN</t>
        </is>
      </c>
      <c r="E1074" t="inlineStr">
        <is>
          <t>ESKILSTUNA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37416-2019</t>
        </is>
      </c>
      <c r="B1075" s="1" t="n">
        <v>43678</v>
      </c>
      <c r="C1075" s="1" t="n">
        <v>45353</v>
      </c>
      <c r="D1075" t="inlineStr">
        <is>
          <t>SÖDERMANLANDS LÄN</t>
        </is>
      </c>
      <c r="E1075" t="inlineStr">
        <is>
          <t>NYKÖPING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37321-2019</t>
        </is>
      </c>
      <c r="B1076" s="1" t="n">
        <v>43678</v>
      </c>
      <c r="C1076" s="1" t="n">
        <v>45353</v>
      </c>
      <c r="D1076" t="inlineStr">
        <is>
          <t>SÖDERMANLANDS LÄN</t>
        </is>
      </c>
      <c r="E1076" t="inlineStr">
        <is>
          <t>KATRINEHOLM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37462-2019</t>
        </is>
      </c>
      <c r="B1077" s="1" t="n">
        <v>43678</v>
      </c>
      <c r="C1077" s="1" t="n">
        <v>45353</v>
      </c>
      <c r="D1077" t="inlineStr">
        <is>
          <t>SÖDERMANLANDS LÄN</t>
        </is>
      </c>
      <c r="E1077" t="inlineStr">
        <is>
          <t>KATRINEHOLM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37337-2019</t>
        </is>
      </c>
      <c r="B1078" s="1" t="n">
        <v>43678</v>
      </c>
      <c r="C1078" s="1" t="n">
        <v>45353</v>
      </c>
      <c r="D1078" t="inlineStr">
        <is>
          <t>SÖDERMANLANDS LÄN</t>
        </is>
      </c>
      <c r="E1078" t="inlineStr">
        <is>
          <t>FLEN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37344-2019</t>
        </is>
      </c>
      <c r="B1079" s="1" t="n">
        <v>43678</v>
      </c>
      <c r="C1079" s="1" t="n">
        <v>45353</v>
      </c>
      <c r="D1079" t="inlineStr">
        <is>
          <t>SÖDERMANLANDS LÄN</t>
        </is>
      </c>
      <c r="E1079" t="inlineStr">
        <is>
          <t>NYKÖPING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37420-2019</t>
        </is>
      </c>
      <c r="B1080" s="1" t="n">
        <v>43678</v>
      </c>
      <c r="C1080" s="1" t="n">
        <v>45353</v>
      </c>
      <c r="D1080" t="inlineStr">
        <is>
          <t>SÖDERMANLANDS LÄN</t>
        </is>
      </c>
      <c r="E1080" t="inlineStr">
        <is>
          <t>KATRINEHOLM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37574-2019</t>
        </is>
      </c>
      <c r="B1081" s="1" t="n">
        <v>43679</v>
      </c>
      <c r="C1081" s="1" t="n">
        <v>45353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37560-2019</t>
        </is>
      </c>
      <c r="B1082" s="1" t="n">
        <v>43679</v>
      </c>
      <c r="C1082" s="1" t="n">
        <v>45353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37571-2019</t>
        </is>
      </c>
      <c r="B1083" s="1" t="n">
        <v>43679</v>
      </c>
      <c r="C1083" s="1" t="n">
        <v>45353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37627-2019</t>
        </is>
      </c>
      <c r="B1084" s="1" t="n">
        <v>43679</v>
      </c>
      <c r="C1084" s="1" t="n">
        <v>45353</v>
      </c>
      <c r="D1084" t="inlineStr">
        <is>
          <t>SÖDERMANLANDS LÄN</t>
        </is>
      </c>
      <c r="E1084" t="inlineStr">
        <is>
          <t>ESKILSTUNA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37562-2019</t>
        </is>
      </c>
      <c r="B1085" s="1" t="n">
        <v>43679</v>
      </c>
      <c r="C1085" s="1" t="n">
        <v>45353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37572-2019</t>
        </is>
      </c>
      <c r="B1086" s="1" t="n">
        <v>43679</v>
      </c>
      <c r="C1086" s="1" t="n">
        <v>45353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37742-2019</t>
        </is>
      </c>
      <c r="B1087" s="1" t="n">
        <v>43679</v>
      </c>
      <c r="C1087" s="1" t="n">
        <v>45353</v>
      </c>
      <c r="D1087" t="inlineStr">
        <is>
          <t>SÖDERMANLANDS LÄN</t>
        </is>
      </c>
      <c r="E1087" t="inlineStr">
        <is>
          <t>VINGÅKER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37744-2019</t>
        </is>
      </c>
      <c r="B1088" s="1" t="n">
        <v>43682</v>
      </c>
      <c r="C1088" s="1" t="n">
        <v>45353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37715-2019</t>
        </is>
      </c>
      <c r="B1089" s="1" t="n">
        <v>43682</v>
      </c>
      <c r="C1089" s="1" t="n">
        <v>45353</v>
      </c>
      <c r="D1089" t="inlineStr">
        <is>
          <t>SÖDERMANLANDS LÄN</t>
        </is>
      </c>
      <c r="E1089" t="inlineStr">
        <is>
          <t>GNESTA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37712-2019</t>
        </is>
      </c>
      <c r="B1090" s="1" t="n">
        <v>43682</v>
      </c>
      <c r="C1090" s="1" t="n">
        <v>45353</v>
      </c>
      <c r="D1090" t="inlineStr">
        <is>
          <t>SÖDERMANLANDS LÄN</t>
        </is>
      </c>
      <c r="E1090" t="inlineStr">
        <is>
          <t>GNESTA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37769-2019</t>
        </is>
      </c>
      <c r="B1091" s="1" t="n">
        <v>43682</v>
      </c>
      <c r="C1091" s="1" t="n">
        <v>45353</v>
      </c>
      <c r="D1091" t="inlineStr">
        <is>
          <t>SÖDERMANLANDS LÄN</t>
        </is>
      </c>
      <c r="E1091" t="inlineStr">
        <is>
          <t>FLEN</t>
        </is>
      </c>
      <c r="F1091" t="inlineStr">
        <is>
          <t>Övriga statliga verk och myndigheter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38107-2019</t>
        </is>
      </c>
      <c r="B1092" s="1" t="n">
        <v>43683</v>
      </c>
      <c r="C1092" s="1" t="n">
        <v>45353</v>
      </c>
      <c r="D1092" t="inlineStr">
        <is>
          <t>SÖDERMANLANDS LÄN</t>
        </is>
      </c>
      <c r="E1092" t="inlineStr">
        <is>
          <t>ESKILSTUNA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38177-2019</t>
        </is>
      </c>
      <c r="B1093" s="1" t="n">
        <v>43683</v>
      </c>
      <c r="C1093" s="1" t="n">
        <v>45353</v>
      </c>
      <c r="D1093" t="inlineStr">
        <is>
          <t>SÖDERMANLANDS LÄN</t>
        </is>
      </c>
      <c r="E1093" t="inlineStr">
        <is>
          <t>ESKILSTUNA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38409-2019</t>
        </is>
      </c>
      <c r="B1094" s="1" t="n">
        <v>43683</v>
      </c>
      <c r="C1094" s="1" t="n">
        <v>45353</v>
      </c>
      <c r="D1094" t="inlineStr">
        <is>
          <t>SÖDERMANLANDS LÄN</t>
        </is>
      </c>
      <c r="E1094" t="inlineStr">
        <is>
          <t>STRÄNGNÄS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38046-2019</t>
        </is>
      </c>
      <c r="B1095" s="1" t="n">
        <v>43683</v>
      </c>
      <c r="C1095" s="1" t="n">
        <v>45353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38008-2019</t>
        </is>
      </c>
      <c r="B1096" s="1" t="n">
        <v>43683</v>
      </c>
      <c r="C1096" s="1" t="n">
        <v>45353</v>
      </c>
      <c r="D1096" t="inlineStr">
        <is>
          <t>SÖDERMANLANDS LÄN</t>
        </is>
      </c>
      <c r="E1096" t="inlineStr">
        <is>
          <t>ESKILSTUNA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37940-2019</t>
        </is>
      </c>
      <c r="B1097" s="1" t="n">
        <v>43683</v>
      </c>
      <c r="C1097" s="1" t="n">
        <v>45353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38213-2019</t>
        </is>
      </c>
      <c r="B1098" s="1" t="n">
        <v>43684</v>
      </c>
      <c r="C1098" s="1" t="n">
        <v>45353</v>
      </c>
      <c r="D1098" t="inlineStr">
        <is>
          <t>SÖDERMANLANDS LÄN</t>
        </is>
      </c>
      <c r="E1098" t="inlineStr">
        <is>
          <t>ESKILSTUNA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38217-2019</t>
        </is>
      </c>
      <c r="B1099" s="1" t="n">
        <v>43684</v>
      </c>
      <c r="C1099" s="1" t="n">
        <v>45353</v>
      </c>
      <c r="D1099" t="inlineStr">
        <is>
          <t>SÖDERMANLANDS LÄN</t>
        </is>
      </c>
      <c r="E1099" t="inlineStr">
        <is>
          <t>ESKILSTUNA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38241-2019</t>
        </is>
      </c>
      <c r="B1100" s="1" t="n">
        <v>43684</v>
      </c>
      <c r="C1100" s="1" t="n">
        <v>45353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38288-2019</t>
        </is>
      </c>
      <c r="B1101" s="1" t="n">
        <v>43684</v>
      </c>
      <c r="C1101" s="1" t="n">
        <v>45353</v>
      </c>
      <c r="D1101" t="inlineStr">
        <is>
          <t>SÖDERMANLANDS LÄN</t>
        </is>
      </c>
      <c r="E1101" t="inlineStr">
        <is>
          <t>TROSA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38303-2019</t>
        </is>
      </c>
      <c r="B1102" s="1" t="n">
        <v>43684</v>
      </c>
      <c r="C1102" s="1" t="n">
        <v>45353</v>
      </c>
      <c r="D1102" t="inlineStr">
        <is>
          <t>SÖDERMANLANDS LÄN</t>
        </is>
      </c>
      <c r="E1102" t="inlineStr">
        <is>
          <t>ESKILSTUNA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38589-2019</t>
        </is>
      </c>
      <c r="B1103" s="1" t="n">
        <v>43684</v>
      </c>
      <c r="C1103" s="1" t="n">
        <v>45353</v>
      </c>
      <c r="D1103" t="inlineStr">
        <is>
          <t>SÖDERMANLANDS LÄN</t>
        </is>
      </c>
      <c r="E1103" t="inlineStr">
        <is>
          <t>ESKILSTUNA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38436-2019</t>
        </is>
      </c>
      <c r="B1104" s="1" t="n">
        <v>43685</v>
      </c>
      <c r="C1104" s="1" t="n">
        <v>45353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38593-2019</t>
        </is>
      </c>
      <c r="B1105" s="1" t="n">
        <v>43686</v>
      </c>
      <c r="C1105" s="1" t="n">
        <v>45353</v>
      </c>
      <c r="D1105" t="inlineStr">
        <is>
          <t>SÖDERMANLANDS LÄN</t>
        </is>
      </c>
      <c r="E1105" t="inlineStr">
        <is>
          <t>NYKÖPING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38736-2019</t>
        </is>
      </c>
      <c r="B1106" s="1" t="n">
        <v>43686</v>
      </c>
      <c r="C1106" s="1" t="n">
        <v>45353</v>
      </c>
      <c r="D1106" t="inlineStr">
        <is>
          <t>SÖDERMANLANDS LÄN</t>
        </is>
      </c>
      <c r="E1106" t="inlineStr">
        <is>
          <t>NYKÖPING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38795-2019</t>
        </is>
      </c>
      <c r="B1107" s="1" t="n">
        <v>43688</v>
      </c>
      <c r="C1107" s="1" t="n">
        <v>45353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38796-2019</t>
        </is>
      </c>
      <c r="B1108" s="1" t="n">
        <v>43688</v>
      </c>
      <c r="C1108" s="1" t="n">
        <v>45353</v>
      </c>
      <c r="D1108" t="inlineStr">
        <is>
          <t>SÖDERMANLANDS LÄN</t>
        </is>
      </c>
      <c r="E1108" t="inlineStr">
        <is>
          <t>FLEN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38812-2019</t>
        </is>
      </c>
      <c r="B1109" s="1" t="n">
        <v>43689</v>
      </c>
      <c r="C1109" s="1" t="n">
        <v>45353</v>
      </c>
      <c r="D1109" t="inlineStr">
        <is>
          <t>SÖDERMANLANDS LÄN</t>
        </is>
      </c>
      <c r="E1109" t="inlineStr">
        <is>
          <t>GNESTA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38875-2019</t>
        </is>
      </c>
      <c r="B1110" s="1" t="n">
        <v>43689</v>
      </c>
      <c r="C1110" s="1" t="n">
        <v>45353</v>
      </c>
      <c r="D1110" t="inlineStr">
        <is>
          <t>SÖDERMANLANDS LÄN</t>
        </is>
      </c>
      <c r="E1110" t="inlineStr">
        <is>
          <t>VINGÅKER</t>
        </is>
      </c>
      <c r="F1110" t="inlineStr">
        <is>
          <t>Kommuner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38977-2019</t>
        </is>
      </c>
      <c r="B1111" s="1" t="n">
        <v>43689</v>
      </c>
      <c r="C1111" s="1" t="n">
        <v>45353</v>
      </c>
      <c r="D1111" t="inlineStr">
        <is>
          <t>SÖDERMANLANDS LÄN</t>
        </is>
      </c>
      <c r="E1111" t="inlineStr">
        <is>
          <t>GNESTA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39247-2019</t>
        </is>
      </c>
      <c r="B1112" s="1" t="n">
        <v>43690</v>
      </c>
      <c r="C1112" s="1" t="n">
        <v>45353</v>
      </c>
      <c r="D1112" t="inlineStr">
        <is>
          <t>SÖDERMANLANDS LÄN</t>
        </is>
      </c>
      <c r="E1112" t="inlineStr">
        <is>
          <t>NYKÖPING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39328-2019</t>
        </is>
      </c>
      <c r="B1113" s="1" t="n">
        <v>43690</v>
      </c>
      <c r="C1113" s="1" t="n">
        <v>45353</v>
      </c>
      <c r="D1113" t="inlineStr">
        <is>
          <t>SÖDERMANLANDS LÄN</t>
        </is>
      </c>
      <c r="E1113" t="inlineStr">
        <is>
          <t>STRÄNGNÄS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39335-2019</t>
        </is>
      </c>
      <c r="B1114" s="1" t="n">
        <v>43690</v>
      </c>
      <c r="C1114" s="1" t="n">
        <v>45353</v>
      </c>
      <c r="D1114" t="inlineStr">
        <is>
          <t>SÖDERMANLANDS LÄN</t>
        </is>
      </c>
      <c r="E1114" t="inlineStr">
        <is>
          <t>NYKÖPING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39334-2019</t>
        </is>
      </c>
      <c r="B1115" s="1" t="n">
        <v>43690</v>
      </c>
      <c r="C1115" s="1" t="n">
        <v>45353</v>
      </c>
      <c r="D1115" t="inlineStr">
        <is>
          <t>SÖDERMANLANDS LÄN</t>
        </is>
      </c>
      <c r="E1115" t="inlineStr">
        <is>
          <t>STRÄNGNÄS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39219-2019</t>
        </is>
      </c>
      <c r="B1116" s="1" t="n">
        <v>43690</v>
      </c>
      <c r="C1116" s="1" t="n">
        <v>45353</v>
      </c>
      <c r="D1116" t="inlineStr">
        <is>
          <t>SÖDERMANLANDS LÄN</t>
        </is>
      </c>
      <c r="E1116" t="inlineStr">
        <is>
          <t>ESKILSTUNA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39228-2019</t>
        </is>
      </c>
      <c r="B1117" s="1" t="n">
        <v>43690</v>
      </c>
      <c r="C1117" s="1" t="n">
        <v>45353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39245-2019</t>
        </is>
      </c>
      <c r="B1118" s="1" t="n">
        <v>43690</v>
      </c>
      <c r="C1118" s="1" t="n">
        <v>45353</v>
      </c>
      <c r="D1118" t="inlineStr">
        <is>
          <t>SÖDERMANLANDS LÄN</t>
        </is>
      </c>
      <c r="E1118" t="inlineStr">
        <is>
          <t>NYKÖPING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39942-2019</t>
        </is>
      </c>
      <c r="B1119" s="1" t="n">
        <v>43690</v>
      </c>
      <c r="C1119" s="1" t="n">
        <v>45353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39166-2019</t>
        </is>
      </c>
      <c r="B1120" s="1" t="n">
        <v>43690</v>
      </c>
      <c r="C1120" s="1" t="n">
        <v>45353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39424-2019</t>
        </is>
      </c>
      <c r="B1121" s="1" t="n">
        <v>43690</v>
      </c>
      <c r="C1121" s="1" t="n">
        <v>45353</v>
      </c>
      <c r="D1121" t="inlineStr">
        <is>
          <t>SÖDERMANLANDS LÄN</t>
        </is>
      </c>
      <c r="E1121" t="inlineStr">
        <is>
          <t>KATRINEHOLM</t>
        </is>
      </c>
      <c r="G1121" t="n">
        <v>25.1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39441-2019</t>
        </is>
      </c>
      <c r="B1122" s="1" t="n">
        <v>43691</v>
      </c>
      <c r="C1122" s="1" t="n">
        <v>45353</v>
      </c>
      <c r="D1122" t="inlineStr">
        <is>
          <t>SÖDERMANLANDS LÄN</t>
        </is>
      </c>
      <c r="E1122" t="inlineStr">
        <is>
          <t>FLEN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39691-2019</t>
        </is>
      </c>
      <c r="B1123" s="1" t="n">
        <v>43691</v>
      </c>
      <c r="C1123" s="1" t="n">
        <v>45353</v>
      </c>
      <c r="D1123" t="inlineStr">
        <is>
          <t>SÖDERMANLANDS LÄN</t>
        </is>
      </c>
      <c r="E1123" t="inlineStr">
        <is>
          <t>STRÄNGNÄS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41126-2019</t>
        </is>
      </c>
      <c r="B1124" s="1" t="n">
        <v>43691</v>
      </c>
      <c r="C1124" s="1" t="n">
        <v>45353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39731-2019</t>
        </is>
      </c>
      <c r="B1125" s="1" t="n">
        <v>43691</v>
      </c>
      <c r="C1125" s="1" t="n">
        <v>45353</v>
      </c>
      <c r="D1125" t="inlineStr">
        <is>
          <t>SÖDERMANLANDS LÄN</t>
        </is>
      </c>
      <c r="E1125" t="inlineStr">
        <is>
          <t>STRÄNGNÄS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41114-2019</t>
        </is>
      </c>
      <c r="B1126" s="1" t="n">
        <v>43691</v>
      </c>
      <c r="C1126" s="1" t="n">
        <v>45353</v>
      </c>
      <c r="D1126" t="inlineStr">
        <is>
          <t>SÖDERMANLANDS LÄN</t>
        </is>
      </c>
      <c r="E1126" t="inlineStr">
        <is>
          <t>FLEN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39736-2019</t>
        </is>
      </c>
      <c r="B1127" s="1" t="n">
        <v>43691</v>
      </c>
      <c r="C1127" s="1" t="n">
        <v>45353</v>
      </c>
      <c r="D1127" t="inlineStr">
        <is>
          <t>SÖDERMANLANDS LÄN</t>
        </is>
      </c>
      <c r="E1127" t="inlineStr">
        <is>
          <t>VINGÅKER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40620-2019</t>
        </is>
      </c>
      <c r="B1128" s="1" t="n">
        <v>43691</v>
      </c>
      <c r="C1128" s="1" t="n">
        <v>45353</v>
      </c>
      <c r="D1128" t="inlineStr">
        <is>
          <t>SÖDERMANLANDS LÄN</t>
        </is>
      </c>
      <c r="E1128" t="inlineStr">
        <is>
          <t>NYKÖPING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39982-2019</t>
        </is>
      </c>
      <c r="B1129" s="1" t="n">
        <v>43692</v>
      </c>
      <c r="C1129" s="1" t="n">
        <v>45353</v>
      </c>
      <c r="D1129" t="inlineStr">
        <is>
          <t>SÖDERMANLANDS LÄN</t>
        </is>
      </c>
      <c r="E1129" t="inlineStr">
        <is>
          <t>GNESTA</t>
        </is>
      </c>
      <c r="F1129" t="inlineStr">
        <is>
          <t>Kommuner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39771-2019</t>
        </is>
      </c>
      <c r="B1130" s="1" t="n">
        <v>43692</v>
      </c>
      <c r="C1130" s="1" t="n">
        <v>45353</v>
      </c>
      <c r="D1130" t="inlineStr">
        <is>
          <t>SÖDERMANLANDS LÄN</t>
        </is>
      </c>
      <c r="E1130" t="inlineStr">
        <is>
          <t>VINGÅKER</t>
        </is>
      </c>
      <c r="F1130" t="inlineStr">
        <is>
          <t>Kyrkan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40020-2019</t>
        </is>
      </c>
      <c r="B1131" s="1" t="n">
        <v>43693</v>
      </c>
      <c r="C1131" s="1" t="n">
        <v>45353</v>
      </c>
      <c r="D1131" t="inlineStr">
        <is>
          <t>SÖDERMANLANDS LÄN</t>
        </is>
      </c>
      <c r="E1131" t="inlineStr">
        <is>
          <t>ESKILSTUNA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40017-2019</t>
        </is>
      </c>
      <c r="B1132" s="1" t="n">
        <v>43693</v>
      </c>
      <c r="C1132" s="1" t="n">
        <v>45353</v>
      </c>
      <c r="D1132" t="inlineStr">
        <is>
          <t>SÖDERMANLANDS LÄN</t>
        </is>
      </c>
      <c r="E1132" t="inlineStr">
        <is>
          <t>ESKILSTUNA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40552-2019</t>
        </is>
      </c>
      <c r="B1133" s="1" t="n">
        <v>43696</v>
      </c>
      <c r="C1133" s="1" t="n">
        <v>45353</v>
      </c>
      <c r="D1133" t="inlineStr">
        <is>
          <t>SÖDERMANLANDS LÄN</t>
        </is>
      </c>
      <c r="E1133" t="inlineStr">
        <is>
          <t>ESKILSTUNA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40314-2019</t>
        </is>
      </c>
      <c r="B1134" s="1" t="n">
        <v>43696</v>
      </c>
      <c r="C1134" s="1" t="n">
        <v>45353</v>
      </c>
      <c r="D1134" t="inlineStr">
        <is>
          <t>SÖDERMANLANDS LÄN</t>
        </is>
      </c>
      <c r="E1134" t="inlineStr">
        <is>
          <t>FLEN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40455-2019</t>
        </is>
      </c>
      <c r="B1135" s="1" t="n">
        <v>43696</v>
      </c>
      <c r="C1135" s="1" t="n">
        <v>45353</v>
      </c>
      <c r="D1135" t="inlineStr">
        <is>
          <t>SÖDERMANLANDS LÄN</t>
        </is>
      </c>
      <c r="E1135" t="inlineStr">
        <is>
          <t>KATRINEHOLM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41476-2019</t>
        </is>
      </c>
      <c r="B1136" s="1" t="n">
        <v>43696</v>
      </c>
      <c r="C1136" s="1" t="n">
        <v>45353</v>
      </c>
      <c r="D1136" t="inlineStr">
        <is>
          <t>SÖDERMANLANDS LÄN</t>
        </is>
      </c>
      <c r="E1136" t="inlineStr">
        <is>
          <t>ESKILSTUNA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41481-2019</t>
        </is>
      </c>
      <c r="B1137" s="1" t="n">
        <v>43696</v>
      </c>
      <c r="C1137" s="1" t="n">
        <v>45353</v>
      </c>
      <c r="D1137" t="inlineStr">
        <is>
          <t>SÖDERMANLANDS LÄN</t>
        </is>
      </c>
      <c r="E1137" t="inlineStr">
        <is>
          <t>ESKILSTUNA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40824-2019</t>
        </is>
      </c>
      <c r="B1138" s="1" t="n">
        <v>43697</v>
      </c>
      <c r="C1138" s="1" t="n">
        <v>45353</v>
      </c>
      <c r="D1138" t="inlineStr">
        <is>
          <t>SÖDERMANLANDS LÄN</t>
        </is>
      </c>
      <c r="E1138" t="inlineStr">
        <is>
          <t>KATRINEHOLM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40781-2019</t>
        </is>
      </c>
      <c r="B1139" s="1" t="n">
        <v>43697</v>
      </c>
      <c r="C1139" s="1" t="n">
        <v>45353</v>
      </c>
      <c r="D1139" t="inlineStr">
        <is>
          <t>SÖDERMANLANDS LÄN</t>
        </is>
      </c>
      <c r="E1139" t="inlineStr">
        <is>
          <t>GNESTA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40800-2019</t>
        </is>
      </c>
      <c r="B1140" s="1" t="n">
        <v>43697</v>
      </c>
      <c r="C1140" s="1" t="n">
        <v>45353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40778-2019</t>
        </is>
      </c>
      <c r="B1141" s="1" t="n">
        <v>43697</v>
      </c>
      <c r="C1141" s="1" t="n">
        <v>45353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40798-2019</t>
        </is>
      </c>
      <c r="B1142" s="1" t="n">
        <v>43697</v>
      </c>
      <c r="C1142" s="1" t="n">
        <v>45353</v>
      </c>
      <c r="D1142" t="inlineStr">
        <is>
          <t>SÖDERMANLANDS LÄN</t>
        </is>
      </c>
      <c r="E1142" t="inlineStr">
        <is>
          <t>KATRINEHOLM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40812-2019</t>
        </is>
      </c>
      <c r="B1143" s="1" t="n">
        <v>43697</v>
      </c>
      <c r="C1143" s="1" t="n">
        <v>45353</v>
      </c>
      <c r="D1143" t="inlineStr">
        <is>
          <t>SÖDERMANLANDS LÄN</t>
        </is>
      </c>
      <c r="E1143" t="inlineStr">
        <is>
          <t>KATRINEHOLM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40773-2019</t>
        </is>
      </c>
      <c r="B1144" s="1" t="n">
        <v>43697</v>
      </c>
      <c r="C1144" s="1" t="n">
        <v>45353</v>
      </c>
      <c r="D1144" t="inlineStr">
        <is>
          <t>SÖDERMANLANDS LÄN</t>
        </is>
      </c>
      <c r="E1144" t="inlineStr">
        <is>
          <t>KATRINEHOLM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41847-2019</t>
        </is>
      </c>
      <c r="B1145" s="1" t="n">
        <v>43697</v>
      </c>
      <c r="C1145" s="1" t="n">
        <v>45353</v>
      </c>
      <c r="D1145" t="inlineStr">
        <is>
          <t>SÖDERMANLANDS LÄN</t>
        </is>
      </c>
      <c r="E1145" t="inlineStr">
        <is>
          <t>FLEN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40775-2019</t>
        </is>
      </c>
      <c r="B1146" s="1" t="n">
        <v>43697</v>
      </c>
      <c r="C1146" s="1" t="n">
        <v>45353</v>
      </c>
      <c r="D1146" t="inlineStr">
        <is>
          <t>SÖDERMANLANDS LÄN</t>
        </is>
      </c>
      <c r="E1146" t="inlineStr">
        <is>
          <t>KATRINEHOLM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40891-2019</t>
        </is>
      </c>
      <c r="B1147" s="1" t="n">
        <v>43697</v>
      </c>
      <c r="C1147" s="1" t="n">
        <v>45353</v>
      </c>
      <c r="D1147" t="inlineStr">
        <is>
          <t>SÖDERMANLANDS LÄN</t>
        </is>
      </c>
      <c r="E1147" t="inlineStr">
        <is>
          <t>KATRINEHOLM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40820-2019</t>
        </is>
      </c>
      <c r="B1148" s="1" t="n">
        <v>43697</v>
      </c>
      <c r="C1148" s="1" t="n">
        <v>45353</v>
      </c>
      <c r="D1148" t="inlineStr">
        <is>
          <t>SÖDERMANLANDS LÄN</t>
        </is>
      </c>
      <c r="E1148" t="inlineStr">
        <is>
          <t>KATRINEHOLM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41149-2019</t>
        </is>
      </c>
      <c r="B1149" s="1" t="n">
        <v>43698</v>
      </c>
      <c r="C1149" s="1" t="n">
        <v>45353</v>
      </c>
      <c r="D1149" t="inlineStr">
        <is>
          <t>SÖDERMANLANDS LÄN</t>
        </is>
      </c>
      <c r="E1149" t="inlineStr">
        <is>
          <t>NYKÖPING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41154-2019</t>
        </is>
      </c>
      <c r="B1150" s="1" t="n">
        <v>43698</v>
      </c>
      <c r="C1150" s="1" t="n">
        <v>45353</v>
      </c>
      <c r="D1150" t="inlineStr">
        <is>
          <t>SÖDERMANLANDS LÄN</t>
        </is>
      </c>
      <c r="E1150" t="inlineStr">
        <is>
          <t>NYKÖPING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41293-2019</t>
        </is>
      </c>
      <c r="B1151" s="1" t="n">
        <v>43698</v>
      </c>
      <c r="C1151" s="1" t="n">
        <v>45353</v>
      </c>
      <c r="D1151" t="inlineStr">
        <is>
          <t>SÖDERMANLANDS LÄN</t>
        </is>
      </c>
      <c r="E1151" t="inlineStr">
        <is>
          <t>VINGÅKER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41442-2019</t>
        </is>
      </c>
      <c r="B1152" s="1" t="n">
        <v>43698</v>
      </c>
      <c r="C1152" s="1" t="n">
        <v>45353</v>
      </c>
      <c r="D1152" t="inlineStr">
        <is>
          <t>SÖDERMANLANDS LÄN</t>
        </is>
      </c>
      <c r="E1152" t="inlineStr">
        <is>
          <t>ESKILSTUNA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41244-2019</t>
        </is>
      </c>
      <c r="B1153" s="1" t="n">
        <v>43698</v>
      </c>
      <c r="C1153" s="1" t="n">
        <v>45353</v>
      </c>
      <c r="D1153" t="inlineStr">
        <is>
          <t>SÖDERMANLANDS LÄN</t>
        </is>
      </c>
      <c r="E1153" t="inlineStr">
        <is>
          <t>NYKÖPING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41167-2019</t>
        </is>
      </c>
      <c r="B1154" s="1" t="n">
        <v>43698</v>
      </c>
      <c r="C1154" s="1" t="n">
        <v>45353</v>
      </c>
      <c r="D1154" t="inlineStr">
        <is>
          <t>SÖDERMANLANDS LÄN</t>
        </is>
      </c>
      <c r="E1154" t="inlineStr">
        <is>
          <t>NYKÖPING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41718-2019</t>
        </is>
      </c>
      <c r="B1155" s="1" t="n">
        <v>43699</v>
      </c>
      <c r="C1155" s="1" t="n">
        <v>45353</v>
      </c>
      <c r="D1155" t="inlineStr">
        <is>
          <t>SÖDERMANLANDS LÄN</t>
        </is>
      </c>
      <c r="E1155" t="inlineStr">
        <is>
          <t>STRÄNGNÄS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42618-2019</t>
        </is>
      </c>
      <c r="B1156" s="1" t="n">
        <v>43699</v>
      </c>
      <c r="C1156" s="1" t="n">
        <v>45353</v>
      </c>
      <c r="D1156" t="inlineStr">
        <is>
          <t>SÖDERMANLANDS LÄN</t>
        </is>
      </c>
      <c r="E1156" t="inlineStr">
        <is>
          <t>KATRINEHOLM</t>
        </is>
      </c>
      <c r="G1156" t="n">
        <v>24.1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41877-2019</t>
        </is>
      </c>
      <c r="B1157" s="1" t="n">
        <v>43700</v>
      </c>
      <c r="C1157" s="1" t="n">
        <v>45353</v>
      </c>
      <c r="D1157" t="inlineStr">
        <is>
          <t>SÖDERMANLANDS LÄN</t>
        </is>
      </c>
      <c r="E1157" t="inlineStr">
        <is>
          <t>TROSA</t>
        </is>
      </c>
      <c r="F1157" t="inlineStr">
        <is>
          <t>Övriga Aktiebolag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41893-2019</t>
        </is>
      </c>
      <c r="B1158" s="1" t="n">
        <v>43700</v>
      </c>
      <c r="C1158" s="1" t="n">
        <v>45353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41830-2019</t>
        </is>
      </c>
      <c r="B1159" s="1" t="n">
        <v>43700</v>
      </c>
      <c r="C1159" s="1" t="n">
        <v>45353</v>
      </c>
      <c r="D1159" t="inlineStr">
        <is>
          <t>SÖDERMANLANDS LÄN</t>
        </is>
      </c>
      <c r="E1159" t="inlineStr">
        <is>
          <t>TROSA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41869-2019</t>
        </is>
      </c>
      <c r="B1160" s="1" t="n">
        <v>43700</v>
      </c>
      <c r="C1160" s="1" t="n">
        <v>45353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41902-2019</t>
        </is>
      </c>
      <c r="B1161" s="1" t="n">
        <v>43700</v>
      </c>
      <c r="C1161" s="1" t="n">
        <v>45353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42056-2019</t>
        </is>
      </c>
      <c r="B1162" s="1" t="n">
        <v>43700</v>
      </c>
      <c r="C1162" s="1" t="n">
        <v>45353</v>
      </c>
      <c r="D1162" t="inlineStr">
        <is>
          <t>SÖDERMANLANDS LÄN</t>
        </is>
      </c>
      <c r="E1162" t="inlineStr">
        <is>
          <t>ESKILSTUNA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41934-2019</t>
        </is>
      </c>
      <c r="B1163" s="1" t="n">
        <v>43700</v>
      </c>
      <c r="C1163" s="1" t="n">
        <v>45353</v>
      </c>
      <c r="D1163" t="inlineStr">
        <is>
          <t>SÖDERMANLANDS LÄN</t>
        </is>
      </c>
      <c r="E1163" t="inlineStr">
        <is>
          <t>VINGÅKER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41975-2019</t>
        </is>
      </c>
      <c r="B1164" s="1" t="n">
        <v>43700</v>
      </c>
      <c r="C1164" s="1" t="n">
        <v>45353</v>
      </c>
      <c r="D1164" t="inlineStr">
        <is>
          <t>SÖDERMANLANDS LÄN</t>
        </is>
      </c>
      <c r="E1164" t="inlineStr">
        <is>
          <t>STRÄNGNÄS</t>
        </is>
      </c>
      <c r="F1164" t="inlineStr">
        <is>
          <t>Övriga Aktiebolag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42234-2019</t>
        </is>
      </c>
      <c r="B1165" s="1" t="n">
        <v>43703</v>
      </c>
      <c r="C1165" s="1" t="n">
        <v>45353</v>
      </c>
      <c r="D1165" t="inlineStr">
        <is>
          <t>SÖDERMANLANDS LÄN</t>
        </is>
      </c>
      <c r="E1165" t="inlineStr">
        <is>
          <t>NYKÖPING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42397-2019</t>
        </is>
      </c>
      <c r="B1166" s="1" t="n">
        <v>43703</v>
      </c>
      <c r="C1166" s="1" t="n">
        <v>45353</v>
      </c>
      <c r="D1166" t="inlineStr">
        <is>
          <t>SÖDERMANLANDS LÄN</t>
        </is>
      </c>
      <c r="E1166" t="inlineStr">
        <is>
          <t>KATRINEHOLM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42324-2019</t>
        </is>
      </c>
      <c r="B1167" s="1" t="n">
        <v>43703</v>
      </c>
      <c r="C1167" s="1" t="n">
        <v>45353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42336-2019</t>
        </is>
      </c>
      <c r="B1168" s="1" t="n">
        <v>43703</v>
      </c>
      <c r="C1168" s="1" t="n">
        <v>45353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42343-2019</t>
        </is>
      </c>
      <c r="B1169" s="1" t="n">
        <v>43703</v>
      </c>
      <c r="C1169" s="1" t="n">
        <v>45353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42392-2019</t>
        </is>
      </c>
      <c r="B1170" s="1" t="n">
        <v>43703</v>
      </c>
      <c r="C1170" s="1" t="n">
        <v>45353</v>
      </c>
      <c r="D1170" t="inlineStr">
        <is>
          <t>SÖDERMANLANDS LÄN</t>
        </is>
      </c>
      <c r="E1170" t="inlineStr">
        <is>
          <t>KATRINEHOLM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42394-2019</t>
        </is>
      </c>
      <c r="B1171" s="1" t="n">
        <v>43703</v>
      </c>
      <c r="C1171" s="1" t="n">
        <v>45353</v>
      </c>
      <c r="D1171" t="inlineStr">
        <is>
          <t>SÖDERMANLANDS LÄN</t>
        </is>
      </c>
      <c r="E1171" t="inlineStr">
        <is>
          <t>KATRINEHOLM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42338-2019</t>
        </is>
      </c>
      <c r="B1172" s="1" t="n">
        <v>43703</v>
      </c>
      <c r="C1172" s="1" t="n">
        <v>45353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42328-2019</t>
        </is>
      </c>
      <c r="B1173" s="1" t="n">
        <v>43703</v>
      </c>
      <c r="C1173" s="1" t="n">
        <v>45353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42244-2019</t>
        </is>
      </c>
      <c r="B1174" s="1" t="n">
        <v>43703</v>
      </c>
      <c r="C1174" s="1" t="n">
        <v>45353</v>
      </c>
      <c r="D1174" t="inlineStr">
        <is>
          <t>SÖDERMANLANDS LÄN</t>
        </is>
      </c>
      <c r="E1174" t="inlineStr">
        <is>
          <t>KATRINEHOLM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42488-2019</t>
        </is>
      </c>
      <c r="B1175" s="1" t="n">
        <v>43704</v>
      </c>
      <c r="C1175" s="1" t="n">
        <v>45353</v>
      </c>
      <c r="D1175" t="inlineStr">
        <is>
          <t>SÖDERMANLANDS LÄN</t>
        </is>
      </c>
      <c r="E1175" t="inlineStr">
        <is>
          <t>NYKÖPING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42496-2019</t>
        </is>
      </c>
      <c r="B1176" s="1" t="n">
        <v>43704</v>
      </c>
      <c r="C1176" s="1" t="n">
        <v>45353</v>
      </c>
      <c r="D1176" t="inlineStr">
        <is>
          <t>SÖDERMANLANDS LÄN</t>
        </is>
      </c>
      <c r="E1176" t="inlineStr">
        <is>
          <t>NYKÖPING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42675-2019</t>
        </is>
      </c>
      <c r="B1177" s="1" t="n">
        <v>43704</v>
      </c>
      <c r="C1177" s="1" t="n">
        <v>45353</v>
      </c>
      <c r="D1177" t="inlineStr">
        <is>
          <t>SÖDERMANLANDS LÄN</t>
        </is>
      </c>
      <c r="E1177" t="inlineStr">
        <is>
          <t>VINGÅKER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42491-2019</t>
        </is>
      </c>
      <c r="B1178" s="1" t="n">
        <v>43704</v>
      </c>
      <c r="C1178" s="1" t="n">
        <v>45353</v>
      </c>
      <c r="D1178" t="inlineStr">
        <is>
          <t>SÖDERMANLANDS LÄN</t>
        </is>
      </c>
      <c r="E1178" t="inlineStr">
        <is>
          <t>NYKÖPING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42516-2019</t>
        </is>
      </c>
      <c r="B1179" s="1" t="n">
        <v>43704</v>
      </c>
      <c r="C1179" s="1" t="n">
        <v>45353</v>
      </c>
      <c r="D1179" t="inlineStr">
        <is>
          <t>SÖDERMANLANDS LÄN</t>
        </is>
      </c>
      <c r="E1179" t="inlineStr">
        <is>
          <t>TROSA</t>
        </is>
      </c>
      <c r="F1179" t="inlineStr">
        <is>
          <t>Övriga Aktiebolag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42897-2019</t>
        </is>
      </c>
      <c r="B1180" s="1" t="n">
        <v>43705</v>
      </c>
      <c r="C1180" s="1" t="n">
        <v>45353</v>
      </c>
      <c r="D1180" t="inlineStr">
        <is>
          <t>SÖDERMANLANDS LÄN</t>
        </is>
      </c>
      <c r="E1180" t="inlineStr">
        <is>
          <t>KATRINEHOLM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43063-2019</t>
        </is>
      </c>
      <c r="B1181" s="1" t="n">
        <v>43705</v>
      </c>
      <c r="C1181" s="1" t="n">
        <v>45353</v>
      </c>
      <c r="D1181" t="inlineStr">
        <is>
          <t>SÖDERMANLANDS LÄN</t>
        </is>
      </c>
      <c r="E1181" t="inlineStr">
        <is>
          <t>NYKÖPING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43110-2019</t>
        </is>
      </c>
      <c r="B1182" s="1" t="n">
        <v>43705</v>
      </c>
      <c r="C1182" s="1" t="n">
        <v>45353</v>
      </c>
      <c r="D1182" t="inlineStr">
        <is>
          <t>SÖDERMANLANDS LÄN</t>
        </is>
      </c>
      <c r="E1182" t="inlineStr">
        <is>
          <t>VINGÅKER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44364-2019</t>
        </is>
      </c>
      <c r="B1183" s="1" t="n">
        <v>43705</v>
      </c>
      <c r="C1183" s="1" t="n">
        <v>45353</v>
      </c>
      <c r="D1183" t="inlineStr">
        <is>
          <t>SÖDERMANLANDS LÄN</t>
        </is>
      </c>
      <c r="E1183" t="inlineStr">
        <is>
          <t>ESKILSTUNA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44403-2019</t>
        </is>
      </c>
      <c r="B1184" s="1" t="n">
        <v>43705</v>
      </c>
      <c r="C1184" s="1" t="n">
        <v>45353</v>
      </c>
      <c r="D1184" t="inlineStr">
        <is>
          <t>SÖDERMANLANDS LÄN</t>
        </is>
      </c>
      <c r="E1184" t="inlineStr">
        <is>
          <t>KATRINEHOLM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42946-2019</t>
        </is>
      </c>
      <c r="B1185" s="1" t="n">
        <v>43705</v>
      </c>
      <c r="C1185" s="1" t="n">
        <v>45353</v>
      </c>
      <c r="D1185" t="inlineStr">
        <is>
          <t>SÖDERMANLANDS LÄN</t>
        </is>
      </c>
      <c r="E1185" t="inlineStr">
        <is>
          <t>GNESTA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43312-2019</t>
        </is>
      </c>
      <c r="B1186" s="1" t="n">
        <v>43706</v>
      </c>
      <c r="C1186" s="1" t="n">
        <v>45353</v>
      </c>
      <c r="D1186" t="inlineStr">
        <is>
          <t>SÖDERMANLANDS LÄN</t>
        </is>
      </c>
      <c r="E1186" t="inlineStr">
        <is>
          <t>ESKILSTUNA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43301-2019</t>
        </is>
      </c>
      <c r="B1187" s="1" t="n">
        <v>43706</v>
      </c>
      <c r="C1187" s="1" t="n">
        <v>45353</v>
      </c>
      <c r="D1187" t="inlineStr">
        <is>
          <t>SÖDERMANLANDS LÄN</t>
        </is>
      </c>
      <c r="E1187" t="inlineStr">
        <is>
          <t>ESKILSTUNA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43579-2019</t>
        </is>
      </c>
      <c r="B1188" s="1" t="n">
        <v>43706</v>
      </c>
      <c r="C1188" s="1" t="n">
        <v>45353</v>
      </c>
      <c r="D1188" t="inlineStr">
        <is>
          <t>SÖDERMANLANDS LÄN</t>
        </is>
      </c>
      <c r="E1188" t="inlineStr">
        <is>
          <t>KATRINEHOLM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43571-2019</t>
        </is>
      </c>
      <c r="B1189" s="1" t="n">
        <v>43706</v>
      </c>
      <c r="C1189" s="1" t="n">
        <v>45353</v>
      </c>
      <c r="D1189" t="inlineStr">
        <is>
          <t>SÖDERMANLANDS LÄN</t>
        </is>
      </c>
      <c r="E1189" t="inlineStr">
        <is>
          <t>STRÄNGNÄS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43580-2019</t>
        </is>
      </c>
      <c r="B1190" s="1" t="n">
        <v>43706</v>
      </c>
      <c r="C1190" s="1" t="n">
        <v>45353</v>
      </c>
      <c r="D1190" t="inlineStr">
        <is>
          <t>SÖDERMANLANDS LÄN</t>
        </is>
      </c>
      <c r="E1190" t="inlineStr">
        <is>
          <t>KATRINEHOLM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43575-2019</t>
        </is>
      </c>
      <c r="B1191" s="1" t="n">
        <v>43706</v>
      </c>
      <c r="C1191" s="1" t="n">
        <v>45353</v>
      </c>
      <c r="D1191" t="inlineStr">
        <is>
          <t>SÖDERMANLANDS LÄN</t>
        </is>
      </c>
      <c r="E1191" t="inlineStr">
        <is>
          <t>KATRINEHOLM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43577-2019</t>
        </is>
      </c>
      <c r="B1192" s="1" t="n">
        <v>43706</v>
      </c>
      <c r="C1192" s="1" t="n">
        <v>45353</v>
      </c>
      <c r="D1192" t="inlineStr">
        <is>
          <t>SÖDERMANLANDS LÄN</t>
        </is>
      </c>
      <c r="E1192" t="inlineStr">
        <is>
          <t>KATRINEHOLM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43679-2019</t>
        </is>
      </c>
      <c r="B1193" s="1" t="n">
        <v>43707</v>
      </c>
      <c r="C1193" s="1" t="n">
        <v>45353</v>
      </c>
      <c r="D1193" t="inlineStr">
        <is>
          <t>SÖDERMANLANDS LÄN</t>
        </is>
      </c>
      <c r="E1193" t="inlineStr">
        <is>
          <t>NYKÖPING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45332-2019</t>
        </is>
      </c>
      <c r="B1194" s="1" t="n">
        <v>43709</v>
      </c>
      <c r="C1194" s="1" t="n">
        <v>45353</v>
      </c>
      <c r="D1194" t="inlineStr">
        <is>
          <t>SÖDERMANLANDS LÄN</t>
        </is>
      </c>
      <c r="E1194" t="inlineStr">
        <is>
          <t>KATRINEHOLM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45326-2019</t>
        </is>
      </c>
      <c r="B1195" s="1" t="n">
        <v>43709</v>
      </c>
      <c r="C1195" s="1" t="n">
        <v>45353</v>
      </c>
      <c r="D1195" t="inlineStr">
        <is>
          <t>SÖDERMANLANDS LÄN</t>
        </is>
      </c>
      <c r="E1195" t="inlineStr">
        <is>
          <t>KATRINEHOLM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44215-2019</t>
        </is>
      </c>
      <c r="B1196" s="1" t="n">
        <v>43710</v>
      </c>
      <c r="C1196" s="1" t="n">
        <v>45353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44276-2019</t>
        </is>
      </c>
      <c r="B1197" s="1" t="n">
        <v>43710</v>
      </c>
      <c r="C1197" s="1" t="n">
        <v>45353</v>
      </c>
      <c r="D1197" t="inlineStr">
        <is>
          <t>SÖDERMANLANDS LÄN</t>
        </is>
      </c>
      <c r="E1197" t="inlineStr">
        <is>
          <t>KATRINEHOLM</t>
        </is>
      </c>
      <c r="G1197" t="n">
        <v>14.2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44283-2019</t>
        </is>
      </c>
      <c r="B1198" s="1" t="n">
        <v>43710</v>
      </c>
      <c r="C1198" s="1" t="n">
        <v>45353</v>
      </c>
      <c r="D1198" t="inlineStr">
        <is>
          <t>SÖDERMANLANDS LÄN</t>
        </is>
      </c>
      <c r="E1198" t="inlineStr">
        <is>
          <t>KATRINEHOLM</t>
        </is>
      </c>
      <c r="G1198" t="n">
        <v>10.5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44184-2019</t>
        </is>
      </c>
      <c r="B1199" s="1" t="n">
        <v>43710</v>
      </c>
      <c r="C1199" s="1" t="n">
        <v>45353</v>
      </c>
      <c r="D1199" t="inlineStr">
        <is>
          <t>SÖDERMANLANDS LÄN</t>
        </is>
      </c>
      <c r="E1199" t="inlineStr">
        <is>
          <t>KATRINEHOLM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44286-2019</t>
        </is>
      </c>
      <c r="B1200" s="1" t="n">
        <v>43710</v>
      </c>
      <c r="C1200" s="1" t="n">
        <v>45353</v>
      </c>
      <c r="D1200" t="inlineStr">
        <is>
          <t>SÖDERMANLANDS LÄN</t>
        </is>
      </c>
      <c r="E1200" t="inlineStr">
        <is>
          <t>KATRINEHOLM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44309-2019</t>
        </is>
      </c>
      <c r="B1201" s="1" t="n">
        <v>43710</v>
      </c>
      <c r="C1201" s="1" t="n">
        <v>45353</v>
      </c>
      <c r="D1201" t="inlineStr">
        <is>
          <t>SÖDERMANLANDS LÄN</t>
        </is>
      </c>
      <c r="E1201" t="inlineStr">
        <is>
          <t>NYKÖPING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45318-2019</t>
        </is>
      </c>
      <c r="B1202" s="1" t="n">
        <v>43710</v>
      </c>
      <c r="C1202" s="1" t="n">
        <v>45353</v>
      </c>
      <c r="D1202" t="inlineStr">
        <is>
          <t>SÖDERMANLANDS LÄN</t>
        </is>
      </c>
      <c r="E1202" t="inlineStr">
        <is>
          <t>KATRINEHOLM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45642-2019</t>
        </is>
      </c>
      <c r="B1203" s="1" t="n">
        <v>43711</v>
      </c>
      <c r="C1203" s="1" t="n">
        <v>45353</v>
      </c>
      <c r="D1203" t="inlineStr">
        <is>
          <t>SÖDERMANLANDS LÄN</t>
        </is>
      </c>
      <c r="E1203" t="inlineStr">
        <is>
          <t>KATRINEHOLM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45780-2019</t>
        </is>
      </c>
      <c r="B1204" s="1" t="n">
        <v>43711</v>
      </c>
      <c r="C1204" s="1" t="n">
        <v>45353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Övriga Aktiebolag</t>
        </is>
      </c>
      <c r="G1204" t="n">
        <v>16.5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44504-2019</t>
        </is>
      </c>
      <c r="B1205" s="1" t="n">
        <v>43711</v>
      </c>
      <c r="C1205" s="1" t="n">
        <v>45353</v>
      </c>
      <c r="D1205" t="inlineStr">
        <is>
          <t>SÖDERMANLANDS LÄN</t>
        </is>
      </c>
      <c r="E1205" t="inlineStr">
        <is>
          <t>GNESTA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44742-2019</t>
        </is>
      </c>
      <c r="B1206" s="1" t="n">
        <v>43712</v>
      </c>
      <c r="C1206" s="1" t="n">
        <v>45353</v>
      </c>
      <c r="D1206" t="inlineStr">
        <is>
          <t>SÖDERMANLANDS LÄN</t>
        </is>
      </c>
      <c r="E1206" t="inlineStr">
        <is>
          <t>ESKILSTUNA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44698-2019</t>
        </is>
      </c>
      <c r="B1207" s="1" t="n">
        <v>43712</v>
      </c>
      <c r="C1207" s="1" t="n">
        <v>45353</v>
      </c>
      <c r="D1207" t="inlineStr">
        <is>
          <t>SÖDERMANLANDS LÄN</t>
        </is>
      </c>
      <c r="E1207" t="inlineStr">
        <is>
          <t>ESKILSTUNA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44764-2019</t>
        </is>
      </c>
      <c r="B1208" s="1" t="n">
        <v>43712</v>
      </c>
      <c r="C1208" s="1" t="n">
        <v>45353</v>
      </c>
      <c r="D1208" t="inlineStr">
        <is>
          <t>SÖDERMANLANDS LÄN</t>
        </is>
      </c>
      <c r="E1208" t="inlineStr">
        <is>
          <t>VINGÅKER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44862-2019</t>
        </is>
      </c>
      <c r="B1209" s="1" t="n">
        <v>43712</v>
      </c>
      <c r="C1209" s="1" t="n">
        <v>45353</v>
      </c>
      <c r="D1209" t="inlineStr">
        <is>
          <t>SÖDERMANLANDS LÄN</t>
        </is>
      </c>
      <c r="E1209" t="inlineStr">
        <is>
          <t>KATRINEHOLM</t>
        </is>
      </c>
      <c r="G1209" t="n">
        <v>26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44859-2019</t>
        </is>
      </c>
      <c r="B1210" s="1" t="n">
        <v>43712</v>
      </c>
      <c r="C1210" s="1" t="n">
        <v>45353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45181-2019</t>
        </is>
      </c>
      <c r="B1211" s="1" t="n">
        <v>43713</v>
      </c>
      <c r="C1211" s="1" t="n">
        <v>45353</v>
      </c>
      <c r="D1211" t="inlineStr">
        <is>
          <t>SÖDERMANLANDS LÄN</t>
        </is>
      </c>
      <c r="E1211" t="inlineStr">
        <is>
          <t>ESKILSTUNA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45246-2019</t>
        </is>
      </c>
      <c r="B1212" s="1" t="n">
        <v>43713</v>
      </c>
      <c r="C1212" s="1" t="n">
        <v>45353</v>
      </c>
      <c r="D1212" t="inlineStr">
        <is>
          <t>SÖDERMANLANDS LÄN</t>
        </is>
      </c>
      <c r="E1212" t="inlineStr">
        <is>
          <t>KATRINEHOLM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45248-2019</t>
        </is>
      </c>
      <c r="B1213" s="1" t="n">
        <v>43713</v>
      </c>
      <c r="C1213" s="1" t="n">
        <v>45353</v>
      </c>
      <c r="D1213" t="inlineStr">
        <is>
          <t>SÖDERMANLANDS LÄN</t>
        </is>
      </c>
      <c r="E1213" t="inlineStr">
        <is>
          <t>KATRINEHOLM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46419-2019</t>
        </is>
      </c>
      <c r="B1214" s="1" t="n">
        <v>43716</v>
      </c>
      <c r="C1214" s="1" t="n">
        <v>45353</v>
      </c>
      <c r="D1214" t="inlineStr">
        <is>
          <t>SÖDERMANLANDS LÄN</t>
        </is>
      </c>
      <c r="E1214" t="inlineStr">
        <is>
          <t>VINGÅKER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46504-2019</t>
        </is>
      </c>
      <c r="B1215" s="1" t="n">
        <v>43717</v>
      </c>
      <c r="C1215" s="1" t="n">
        <v>45353</v>
      </c>
      <c r="D1215" t="inlineStr">
        <is>
          <t>SÖDERMANLANDS LÄN</t>
        </is>
      </c>
      <c r="E1215" t="inlineStr">
        <is>
          <t>NYKÖPING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46634-2019</t>
        </is>
      </c>
      <c r="B1216" s="1" t="n">
        <v>43717</v>
      </c>
      <c r="C1216" s="1" t="n">
        <v>45353</v>
      </c>
      <c r="D1216" t="inlineStr">
        <is>
          <t>SÖDERMANLANDS LÄN</t>
        </is>
      </c>
      <c r="E1216" t="inlineStr">
        <is>
          <t>GNESTA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46628-2019</t>
        </is>
      </c>
      <c r="B1217" s="1" t="n">
        <v>43717</v>
      </c>
      <c r="C1217" s="1" t="n">
        <v>45353</v>
      </c>
      <c r="D1217" t="inlineStr">
        <is>
          <t>SÖDERMANLANDS LÄN</t>
        </is>
      </c>
      <c r="E1217" t="inlineStr">
        <is>
          <t>FLEN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46078-2019</t>
        </is>
      </c>
      <c r="B1218" s="1" t="n">
        <v>43718</v>
      </c>
      <c r="C1218" s="1" t="n">
        <v>45353</v>
      </c>
      <c r="D1218" t="inlineStr">
        <is>
          <t>SÖDERMANLANDS LÄN</t>
        </is>
      </c>
      <c r="E1218" t="inlineStr">
        <is>
          <t>NYKÖPING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45988-2019</t>
        </is>
      </c>
      <c r="B1219" s="1" t="n">
        <v>43718</v>
      </c>
      <c r="C1219" s="1" t="n">
        <v>45353</v>
      </c>
      <c r="D1219" t="inlineStr">
        <is>
          <t>SÖDERMANLANDS LÄN</t>
        </is>
      </c>
      <c r="E1219" t="inlineStr">
        <is>
          <t>ESKILSTUNA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47034-2019</t>
        </is>
      </c>
      <c r="B1220" s="1" t="n">
        <v>43720</v>
      </c>
      <c r="C1220" s="1" t="n">
        <v>45353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Övriga Aktiebolag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47115-2019</t>
        </is>
      </c>
      <c r="B1221" s="1" t="n">
        <v>43720</v>
      </c>
      <c r="C1221" s="1" t="n">
        <v>45353</v>
      </c>
      <c r="D1221" t="inlineStr">
        <is>
          <t>SÖDERMANLANDS LÄN</t>
        </is>
      </c>
      <c r="E1221" t="inlineStr">
        <is>
          <t>GNESTA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47113-2019</t>
        </is>
      </c>
      <c r="B1222" s="1" t="n">
        <v>43720</v>
      </c>
      <c r="C1222" s="1" t="n">
        <v>45353</v>
      </c>
      <c r="D1222" t="inlineStr">
        <is>
          <t>SÖDERMANLANDS LÄN</t>
        </is>
      </c>
      <c r="E1222" t="inlineStr">
        <is>
          <t>GNESTA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47122-2019</t>
        </is>
      </c>
      <c r="B1223" s="1" t="n">
        <v>43721</v>
      </c>
      <c r="C1223" s="1" t="n">
        <v>45353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47127-2019</t>
        </is>
      </c>
      <c r="B1224" s="1" t="n">
        <v>43721</v>
      </c>
      <c r="C1224" s="1" t="n">
        <v>45353</v>
      </c>
      <c r="D1224" t="inlineStr">
        <is>
          <t>SÖDERMANLANDS LÄN</t>
        </is>
      </c>
      <c r="E1224" t="inlineStr">
        <is>
          <t>NYKÖPING</t>
        </is>
      </c>
      <c r="G1224" t="n">
        <v>49.7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47196-2019</t>
        </is>
      </c>
      <c r="B1225" s="1" t="n">
        <v>43721</v>
      </c>
      <c r="C1225" s="1" t="n">
        <v>45353</v>
      </c>
      <c r="D1225" t="inlineStr">
        <is>
          <t>SÖDERMANLANDS LÄN</t>
        </is>
      </c>
      <c r="E1225" t="inlineStr">
        <is>
          <t>GNESTA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47200-2019</t>
        </is>
      </c>
      <c r="B1226" s="1" t="n">
        <v>43721</v>
      </c>
      <c r="C1226" s="1" t="n">
        <v>45353</v>
      </c>
      <c r="D1226" t="inlineStr">
        <is>
          <t>SÖDERMANLANDS LÄN</t>
        </is>
      </c>
      <c r="E1226" t="inlineStr">
        <is>
          <t>VINGÅKER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47208-2019</t>
        </is>
      </c>
      <c r="B1227" s="1" t="n">
        <v>43721</v>
      </c>
      <c r="C1227" s="1" t="n">
        <v>45353</v>
      </c>
      <c r="D1227" t="inlineStr">
        <is>
          <t>SÖDERMANLANDS LÄN</t>
        </is>
      </c>
      <c r="E1227" t="inlineStr">
        <is>
          <t>VINGÅKER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47345-2019</t>
        </is>
      </c>
      <c r="B1228" s="1" t="n">
        <v>43721</v>
      </c>
      <c r="C1228" s="1" t="n">
        <v>45353</v>
      </c>
      <c r="D1228" t="inlineStr">
        <is>
          <t>SÖDERMANLANDS LÄN</t>
        </is>
      </c>
      <c r="E1228" t="inlineStr">
        <is>
          <t>FLEN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47128-2019</t>
        </is>
      </c>
      <c r="B1229" s="1" t="n">
        <v>43721</v>
      </c>
      <c r="C1229" s="1" t="n">
        <v>45353</v>
      </c>
      <c r="D1229" t="inlineStr">
        <is>
          <t>SÖDERMANLANDS LÄN</t>
        </is>
      </c>
      <c r="E1229" t="inlineStr">
        <is>
          <t>NYKÖPING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47280-2019</t>
        </is>
      </c>
      <c r="B1230" s="1" t="n">
        <v>43721</v>
      </c>
      <c r="C1230" s="1" t="n">
        <v>45353</v>
      </c>
      <c r="D1230" t="inlineStr">
        <is>
          <t>SÖDERMANLANDS LÄN</t>
        </is>
      </c>
      <c r="E1230" t="inlineStr">
        <is>
          <t>ESKILSTUNA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47431-2019</t>
        </is>
      </c>
      <c r="B1231" s="1" t="n">
        <v>43723</v>
      </c>
      <c r="C1231" s="1" t="n">
        <v>45353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47599-2019</t>
        </is>
      </c>
      <c r="B1232" s="1" t="n">
        <v>43724</v>
      </c>
      <c r="C1232" s="1" t="n">
        <v>45353</v>
      </c>
      <c r="D1232" t="inlineStr">
        <is>
          <t>SÖDERMANLANDS LÄN</t>
        </is>
      </c>
      <c r="E1232" t="inlineStr">
        <is>
          <t>VINGÅKER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47682-2019</t>
        </is>
      </c>
      <c r="B1233" s="1" t="n">
        <v>43724</v>
      </c>
      <c r="C1233" s="1" t="n">
        <v>45353</v>
      </c>
      <c r="D1233" t="inlineStr">
        <is>
          <t>SÖDERMANLANDS LÄN</t>
        </is>
      </c>
      <c r="E1233" t="inlineStr">
        <is>
          <t>GNESTA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47537-2019</t>
        </is>
      </c>
      <c r="B1234" s="1" t="n">
        <v>43724</v>
      </c>
      <c r="C1234" s="1" t="n">
        <v>45353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47770-2019</t>
        </is>
      </c>
      <c r="B1235" s="1" t="n">
        <v>43724</v>
      </c>
      <c r="C1235" s="1" t="n">
        <v>45353</v>
      </c>
      <c r="D1235" t="inlineStr">
        <is>
          <t>SÖDERMANLANDS LÄN</t>
        </is>
      </c>
      <c r="E1235" t="inlineStr">
        <is>
          <t>GNESTA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47553-2019</t>
        </is>
      </c>
      <c r="B1236" s="1" t="n">
        <v>43724</v>
      </c>
      <c r="C1236" s="1" t="n">
        <v>45353</v>
      </c>
      <c r="D1236" t="inlineStr">
        <is>
          <t>SÖDERMANLANDS LÄN</t>
        </is>
      </c>
      <c r="E1236" t="inlineStr">
        <is>
          <t>VINGÅKER</t>
        </is>
      </c>
      <c r="F1236" t="inlineStr">
        <is>
          <t>Övriga Aktiebolag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47935-2019</t>
        </is>
      </c>
      <c r="B1237" s="1" t="n">
        <v>43725</v>
      </c>
      <c r="C1237" s="1" t="n">
        <v>45353</v>
      </c>
      <c r="D1237" t="inlineStr">
        <is>
          <t>SÖDERMANLANDS LÄN</t>
        </is>
      </c>
      <c r="E1237" t="inlineStr">
        <is>
          <t>KATRINEHOLM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47825-2019</t>
        </is>
      </c>
      <c r="B1238" s="1" t="n">
        <v>43725</v>
      </c>
      <c r="C1238" s="1" t="n">
        <v>45353</v>
      </c>
      <c r="D1238" t="inlineStr">
        <is>
          <t>SÖDERMANLANDS LÄN</t>
        </is>
      </c>
      <c r="E1238" t="inlineStr">
        <is>
          <t>STRÄNGNÄS</t>
        </is>
      </c>
      <c r="F1238" t="inlineStr">
        <is>
          <t>Övriga Aktiebolag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48078-2019</t>
        </is>
      </c>
      <c r="B1239" s="1" t="n">
        <v>43725</v>
      </c>
      <c r="C1239" s="1" t="n">
        <v>45353</v>
      </c>
      <c r="D1239" t="inlineStr">
        <is>
          <t>SÖDERMANLANDS LÄN</t>
        </is>
      </c>
      <c r="E1239" t="inlineStr">
        <is>
          <t>FLEN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47866-2019</t>
        </is>
      </c>
      <c r="B1240" s="1" t="n">
        <v>43725</v>
      </c>
      <c r="C1240" s="1" t="n">
        <v>45353</v>
      </c>
      <c r="D1240" t="inlineStr">
        <is>
          <t>SÖDERMANLANDS LÄN</t>
        </is>
      </c>
      <c r="E1240" t="inlineStr">
        <is>
          <t>VINGÅKER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48240-2019</t>
        </is>
      </c>
      <c r="B1241" s="1" t="n">
        <v>43726</v>
      </c>
      <c r="C1241" s="1" t="n">
        <v>45353</v>
      </c>
      <c r="D1241" t="inlineStr">
        <is>
          <t>SÖDERMANLANDS LÄN</t>
        </is>
      </c>
      <c r="E1241" t="inlineStr">
        <is>
          <t>FLEN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48452-2019</t>
        </is>
      </c>
      <c r="B1242" s="1" t="n">
        <v>43727</v>
      </c>
      <c r="C1242" s="1" t="n">
        <v>45353</v>
      </c>
      <c r="D1242" t="inlineStr">
        <is>
          <t>SÖDERMANLANDS LÄN</t>
        </is>
      </c>
      <c r="E1242" t="inlineStr">
        <is>
          <t>NYKÖPING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48792-2019</t>
        </is>
      </c>
      <c r="B1243" s="1" t="n">
        <v>43727</v>
      </c>
      <c r="C1243" s="1" t="n">
        <v>45353</v>
      </c>
      <c r="D1243" t="inlineStr">
        <is>
          <t>SÖDERMANLANDS LÄN</t>
        </is>
      </c>
      <c r="E1243" t="inlineStr">
        <is>
          <t>STRÄNGNÄS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48581-2019</t>
        </is>
      </c>
      <c r="B1244" s="1" t="n">
        <v>43727</v>
      </c>
      <c r="C1244" s="1" t="n">
        <v>45353</v>
      </c>
      <c r="D1244" t="inlineStr">
        <is>
          <t>SÖDERMANLANDS LÄN</t>
        </is>
      </c>
      <c r="E1244" t="inlineStr">
        <is>
          <t>KATRINEHOLM</t>
        </is>
      </c>
      <c r="G1244" t="n">
        <v>14.3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48726-2019</t>
        </is>
      </c>
      <c r="B1245" s="1" t="n">
        <v>43728</v>
      </c>
      <c r="C1245" s="1" t="n">
        <v>45353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48829-2019</t>
        </is>
      </c>
      <c r="B1246" s="1" t="n">
        <v>43728</v>
      </c>
      <c r="C1246" s="1" t="n">
        <v>45353</v>
      </c>
      <c r="D1246" t="inlineStr">
        <is>
          <t>SÖDERMANLANDS LÄN</t>
        </is>
      </c>
      <c r="E1246" t="inlineStr">
        <is>
          <t>GNESTA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48827-2019</t>
        </is>
      </c>
      <c r="B1247" s="1" t="n">
        <v>43728</v>
      </c>
      <c r="C1247" s="1" t="n">
        <v>45353</v>
      </c>
      <c r="D1247" t="inlineStr">
        <is>
          <t>SÖDERMANLANDS LÄN</t>
        </is>
      </c>
      <c r="E1247" t="inlineStr">
        <is>
          <t>GNESTA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48848-2019</t>
        </is>
      </c>
      <c r="B1248" s="1" t="n">
        <v>43728</v>
      </c>
      <c r="C1248" s="1" t="n">
        <v>45353</v>
      </c>
      <c r="D1248" t="inlineStr">
        <is>
          <t>SÖDERMANLANDS LÄN</t>
        </is>
      </c>
      <c r="E1248" t="inlineStr">
        <is>
          <t>NYKÖPING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48943-2019</t>
        </is>
      </c>
      <c r="B1249" s="1" t="n">
        <v>43728</v>
      </c>
      <c r="C1249" s="1" t="n">
        <v>45353</v>
      </c>
      <c r="D1249" t="inlineStr">
        <is>
          <t>SÖDERMANLANDS LÄN</t>
        </is>
      </c>
      <c r="E1249" t="inlineStr">
        <is>
          <t>ESKILSTUNA</t>
        </is>
      </c>
      <c r="F1249" t="inlineStr">
        <is>
          <t>Naturvårdsverket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49342-2019</t>
        </is>
      </c>
      <c r="B1250" s="1" t="n">
        <v>43730</v>
      </c>
      <c r="C1250" s="1" t="n">
        <v>45353</v>
      </c>
      <c r="D1250" t="inlineStr">
        <is>
          <t>SÖDERMANLANDS LÄN</t>
        </is>
      </c>
      <c r="E1250" t="inlineStr">
        <is>
          <t>FLEN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49088-2019</t>
        </is>
      </c>
      <c r="B1251" s="1" t="n">
        <v>43731</v>
      </c>
      <c r="C1251" s="1" t="n">
        <v>45353</v>
      </c>
      <c r="D1251" t="inlineStr">
        <is>
          <t>SÖDERMANLANDS LÄN</t>
        </is>
      </c>
      <c r="E1251" t="inlineStr">
        <is>
          <t>VINGÅKER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49101-2019</t>
        </is>
      </c>
      <c r="B1252" s="1" t="n">
        <v>43731</v>
      </c>
      <c r="C1252" s="1" t="n">
        <v>45353</v>
      </c>
      <c r="D1252" t="inlineStr">
        <is>
          <t>SÖDERMANLANDS LÄN</t>
        </is>
      </c>
      <c r="E1252" t="inlineStr">
        <is>
          <t>VINGÅKER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49320-2019</t>
        </is>
      </c>
      <c r="B1253" s="1" t="n">
        <v>43731</v>
      </c>
      <c r="C1253" s="1" t="n">
        <v>45353</v>
      </c>
      <c r="D1253" t="inlineStr">
        <is>
          <t>SÖDERMANLANDS LÄN</t>
        </is>
      </c>
      <c r="E1253" t="inlineStr">
        <is>
          <t>VINGÅKER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49315-2019</t>
        </is>
      </c>
      <c r="B1254" s="1" t="n">
        <v>43731</v>
      </c>
      <c r="C1254" s="1" t="n">
        <v>45353</v>
      </c>
      <c r="D1254" t="inlineStr">
        <is>
          <t>SÖDERMANLANDS LÄN</t>
        </is>
      </c>
      <c r="E1254" t="inlineStr">
        <is>
          <t>VINGÅKER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49346-2019</t>
        </is>
      </c>
      <c r="B1255" s="1" t="n">
        <v>43731</v>
      </c>
      <c r="C1255" s="1" t="n">
        <v>45353</v>
      </c>
      <c r="D1255" t="inlineStr">
        <is>
          <t>SÖDERMANLANDS LÄN</t>
        </is>
      </c>
      <c r="E1255" t="inlineStr">
        <is>
          <t>KATRINEHOLM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49628-2019</t>
        </is>
      </c>
      <c r="B1256" s="1" t="n">
        <v>43732</v>
      </c>
      <c r="C1256" s="1" t="n">
        <v>45353</v>
      </c>
      <c r="D1256" t="inlineStr">
        <is>
          <t>SÖDERMANLANDS LÄN</t>
        </is>
      </c>
      <c r="E1256" t="inlineStr">
        <is>
          <t>ESKILSTUNA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49515-2019</t>
        </is>
      </c>
      <c r="B1257" s="1" t="n">
        <v>43732</v>
      </c>
      <c r="C1257" s="1" t="n">
        <v>45353</v>
      </c>
      <c r="D1257" t="inlineStr">
        <is>
          <t>SÖDERMANLANDS LÄN</t>
        </is>
      </c>
      <c r="E1257" t="inlineStr">
        <is>
          <t>TROSA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49630-2019</t>
        </is>
      </c>
      <c r="B1258" s="1" t="n">
        <v>43732</v>
      </c>
      <c r="C1258" s="1" t="n">
        <v>45353</v>
      </c>
      <c r="D1258" t="inlineStr">
        <is>
          <t>SÖDERMANLANDS LÄN</t>
        </is>
      </c>
      <c r="E1258" t="inlineStr">
        <is>
          <t>ESKILSTUNA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51122-2019</t>
        </is>
      </c>
      <c r="B1259" s="1" t="n">
        <v>43732</v>
      </c>
      <c r="C1259" s="1" t="n">
        <v>45353</v>
      </c>
      <c r="D1259" t="inlineStr">
        <is>
          <t>SÖDERMANLANDS LÄN</t>
        </is>
      </c>
      <c r="E1259" t="inlineStr">
        <is>
          <t>VINGÅKER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50184-2019</t>
        </is>
      </c>
      <c r="B1260" s="1" t="n">
        <v>43733</v>
      </c>
      <c r="C1260" s="1" t="n">
        <v>45353</v>
      </c>
      <c r="D1260" t="inlineStr">
        <is>
          <t>SÖDERMANLANDS LÄN</t>
        </is>
      </c>
      <c r="E1260" t="inlineStr">
        <is>
          <t>VINGÅKER</t>
        </is>
      </c>
      <c r="F1260" t="inlineStr">
        <is>
          <t>Övriga Aktiebolag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50192-2019</t>
        </is>
      </c>
      <c r="B1261" s="1" t="n">
        <v>43733</v>
      </c>
      <c r="C1261" s="1" t="n">
        <v>45353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50046-2019</t>
        </is>
      </c>
      <c r="B1262" s="1" t="n">
        <v>43733</v>
      </c>
      <c r="C1262" s="1" t="n">
        <v>45353</v>
      </c>
      <c r="D1262" t="inlineStr">
        <is>
          <t>SÖDERMANLANDS LÄN</t>
        </is>
      </c>
      <c r="E1262" t="inlineStr">
        <is>
          <t>NYKÖPING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51608-2019</t>
        </is>
      </c>
      <c r="B1263" s="1" t="n">
        <v>43733</v>
      </c>
      <c r="C1263" s="1" t="n">
        <v>45353</v>
      </c>
      <c r="D1263" t="inlineStr">
        <is>
          <t>SÖDERMANLANDS LÄN</t>
        </is>
      </c>
      <c r="E1263" t="inlineStr">
        <is>
          <t>ESKILSTUNA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50149-2019</t>
        </is>
      </c>
      <c r="B1264" s="1" t="n">
        <v>43734</v>
      </c>
      <c r="C1264" s="1" t="n">
        <v>45353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50176-2019</t>
        </is>
      </c>
      <c r="B1265" s="1" t="n">
        <v>43734</v>
      </c>
      <c r="C1265" s="1" t="n">
        <v>45353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50018-2019</t>
        </is>
      </c>
      <c r="B1266" s="1" t="n">
        <v>43734</v>
      </c>
      <c r="C1266" s="1" t="n">
        <v>45353</v>
      </c>
      <c r="D1266" t="inlineStr">
        <is>
          <t>SÖDERMANLANDS LÄN</t>
        </is>
      </c>
      <c r="E1266" t="inlineStr">
        <is>
          <t>GNESTA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50205-2019</t>
        </is>
      </c>
      <c r="B1267" s="1" t="n">
        <v>43734</v>
      </c>
      <c r="C1267" s="1" t="n">
        <v>45353</v>
      </c>
      <c r="D1267" t="inlineStr">
        <is>
          <t>SÖDERMANLANDS LÄN</t>
        </is>
      </c>
      <c r="E1267" t="inlineStr">
        <is>
          <t>STRÄNGNÄS</t>
        </is>
      </c>
      <c r="F1267" t="inlineStr">
        <is>
          <t>Allmännings- och besparingsskogar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50339-2019</t>
        </is>
      </c>
      <c r="B1268" s="1" t="n">
        <v>43735</v>
      </c>
      <c r="C1268" s="1" t="n">
        <v>45353</v>
      </c>
      <c r="D1268" t="inlineStr">
        <is>
          <t>SÖDERMANLANDS LÄN</t>
        </is>
      </c>
      <c r="E1268" t="inlineStr">
        <is>
          <t>ESKILSTUNA</t>
        </is>
      </c>
      <c r="F1268" t="inlineStr">
        <is>
          <t>Allmännings- och besparingsskogar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52086-2019</t>
        </is>
      </c>
      <c r="B1269" s="1" t="n">
        <v>43735</v>
      </c>
      <c r="C1269" s="1" t="n">
        <v>45353</v>
      </c>
      <c r="D1269" t="inlineStr">
        <is>
          <t>SÖDERMANLANDS LÄN</t>
        </is>
      </c>
      <c r="E1269" t="inlineStr">
        <is>
          <t>VINGÅKER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52147-2019</t>
        </is>
      </c>
      <c r="B1270" s="1" t="n">
        <v>43735</v>
      </c>
      <c r="C1270" s="1" t="n">
        <v>45353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50710-2019</t>
        </is>
      </c>
      <c r="B1271" s="1" t="n">
        <v>43738</v>
      </c>
      <c r="C1271" s="1" t="n">
        <v>45353</v>
      </c>
      <c r="D1271" t="inlineStr">
        <is>
          <t>SÖDERMANLANDS LÄN</t>
        </is>
      </c>
      <c r="E1271" t="inlineStr">
        <is>
          <t>FLEN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50869-2019</t>
        </is>
      </c>
      <c r="B1272" s="1" t="n">
        <v>43738</v>
      </c>
      <c r="C1272" s="1" t="n">
        <v>45353</v>
      </c>
      <c r="D1272" t="inlineStr">
        <is>
          <t>SÖDERMANLANDS LÄN</t>
        </is>
      </c>
      <c r="E1272" t="inlineStr">
        <is>
          <t>NYKÖPING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50951-2019</t>
        </is>
      </c>
      <c r="B1273" s="1" t="n">
        <v>43738</v>
      </c>
      <c r="C1273" s="1" t="n">
        <v>45353</v>
      </c>
      <c r="D1273" t="inlineStr">
        <is>
          <t>SÖDERMANLANDS LÄN</t>
        </is>
      </c>
      <c r="E1273" t="inlineStr">
        <is>
          <t>ESKILSTUNA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51151-2019</t>
        </is>
      </c>
      <c r="B1274" s="1" t="n">
        <v>43739</v>
      </c>
      <c r="C1274" s="1" t="n">
        <v>45353</v>
      </c>
      <c r="D1274" t="inlineStr">
        <is>
          <t>SÖDERMANLANDS LÄN</t>
        </is>
      </c>
      <c r="E1274" t="inlineStr">
        <is>
          <t>VINGÅKER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51170-2019</t>
        </is>
      </c>
      <c r="B1275" s="1" t="n">
        <v>43739</v>
      </c>
      <c r="C1275" s="1" t="n">
        <v>45353</v>
      </c>
      <c r="D1275" t="inlineStr">
        <is>
          <t>SÖDERMANLANDS LÄN</t>
        </is>
      </c>
      <c r="E1275" t="inlineStr">
        <is>
          <t>FLEN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51109-2019</t>
        </is>
      </c>
      <c r="B1276" s="1" t="n">
        <v>43739</v>
      </c>
      <c r="C1276" s="1" t="n">
        <v>45353</v>
      </c>
      <c r="D1276" t="inlineStr">
        <is>
          <t>SÖDERMANLANDS LÄN</t>
        </is>
      </c>
      <c r="E1276" t="inlineStr">
        <is>
          <t>KATRINEHOLM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51139-2019</t>
        </is>
      </c>
      <c r="B1277" s="1" t="n">
        <v>43739</v>
      </c>
      <c r="C1277" s="1" t="n">
        <v>45353</v>
      </c>
      <c r="D1277" t="inlineStr">
        <is>
          <t>SÖDERMANLANDS LÄN</t>
        </is>
      </c>
      <c r="E1277" t="inlineStr">
        <is>
          <t>VINGÅKER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51233-2019</t>
        </is>
      </c>
      <c r="B1278" s="1" t="n">
        <v>43739</v>
      </c>
      <c r="C1278" s="1" t="n">
        <v>45353</v>
      </c>
      <c r="D1278" t="inlineStr">
        <is>
          <t>SÖDERMANLANDS LÄN</t>
        </is>
      </c>
      <c r="E1278" t="inlineStr">
        <is>
          <t>KATRINEHOLM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51292-2019</t>
        </is>
      </c>
      <c r="B1279" s="1" t="n">
        <v>43739</v>
      </c>
      <c r="C1279" s="1" t="n">
        <v>45353</v>
      </c>
      <c r="D1279" t="inlineStr">
        <is>
          <t>SÖDERMANLANDS LÄN</t>
        </is>
      </c>
      <c r="E1279" t="inlineStr">
        <is>
          <t>ESKILSTUNA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51298-2019</t>
        </is>
      </c>
      <c r="B1280" s="1" t="n">
        <v>43739</v>
      </c>
      <c r="C1280" s="1" t="n">
        <v>45353</v>
      </c>
      <c r="D1280" t="inlineStr">
        <is>
          <t>SÖDERMANLANDS LÄN</t>
        </is>
      </c>
      <c r="E1280" t="inlineStr">
        <is>
          <t>NYKÖPING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51296-2019</t>
        </is>
      </c>
      <c r="B1281" s="1" t="n">
        <v>43739</v>
      </c>
      <c r="C1281" s="1" t="n">
        <v>45353</v>
      </c>
      <c r="D1281" t="inlineStr">
        <is>
          <t>SÖDERMANLANDS LÄN</t>
        </is>
      </c>
      <c r="E1281" t="inlineStr">
        <is>
          <t>NYKÖPING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51468-2019</t>
        </is>
      </c>
      <c r="B1282" s="1" t="n">
        <v>43740</v>
      </c>
      <c r="C1282" s="1" t="n">
        <v>45353</v>
      </c>
      <c r="D1282" t="inlineStr">
        <is>
          <t>SÖDERMANLANDS LÄN</t>
        </is>
      </c>
      <c r="E1282" t="inlineStr">
        <is>
          <t>STRÄNGNÄS</t>
        </is>
      </c>
      <c r="G1282" t="n">
        <v>16.5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51636-2019</t>
        </is>
      </c>
      <c r="B1283" s="1" t="n">
        <v>43740</v>
      </c>
      <c r="C1283" s="1" t="n">
        <v>45353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51648-2019</t>
        </is>
      </c>
      <c r="B1284" s="1" t="n">
        <v>43740</v>
      </c>
      <c r="C1284" s="1" t="n">
        <v>45353</v>
      </c>
      <c r="D1284" t="inlineStr">
        <is>
          <t>SÖDERMANLANDS LÄN</t>
        </is>
      </c>
      <c r="E1284" t="inlineStr">
        <is>
          <t>ESKILSTUNA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52889-2019</t>
        </is>
      </c>
      <c r="B1285" s="1" t="n">
        <v>43740</v>
      </c>
      <c r="C1285" s="1" t="n">
        <v>45353</v>
      </c>
      <c r="D1285" t="inlineStr">
        <is>
          <t>SÖDERMANLANDS LÄN</t>
        </is>
      </c>
      <c r="E1285" t="inlineStr">
        <is>
          <t>VINGÅKER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51637-2019</t>
        </is>
      </c>
      <c r="B1286" s="1" t="n">
        <v>43740</v>
      </c>
      <c r="C1286" s="1" t="n">
        <v>45353</v>
      </c>
      <c r="D1286" t="inlineStr">
        <is>
          <t>SÖDERMANLANDS LÄN</t>
        </is>
      </c>
      <c r="E1286" t="inlineStr">
        <is>
          <t>VINGÅKER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52892-2019</t>
        </is>
      </c>
      <c r="B1287" s="1" t="n">
        <v>43740</v>
      </c>
      <c r="C1287" s="1" t="n">
        <v>45353</v>
      </c>
      <c r="D1287" t="inlineStr">
        <is>
          <t>SÖDERMANLANDS LÄN</t>
        </is>
      </c>
      <c r="E1287" t="inlineStr">
        <is>
          <t>VINGÅKER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52894-2019</t>
        </is>
      </c>
      <c r="B1288" s="1" t="n">
        <v>43740</v>
      </c>
      <c r="C1288" s="1" t="n">
        <v>45353</v>
      </c>
      <c r="D1288" t="inlineStr">
        <is>
          <t>SÖDERMANLANDS LÄN</t>
        </is>
      </c>
      <c r="E1288" t="inlineStr">
        <is>
          <t>VINGÅKER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51738-2019</t>
        </is>
      </c>
      <c r="B1289" s="1" t="n">
        <v>43740</v>
      </c>
      <c r="C1289" s="1" t="n">
        <v>45353</v>
      </c>
      <c r="D1289" t="inlineStr">
        <is>
          <t>SÖDERMANLANDS LÄN</t>
        </is>
      </c>
      <c r="E1289" t="inlineStr">
        <is>
          <t>FLEN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51871-2019</t>
        </is>
      </c>
      <c r="B1290" s="1" t="n">
        <v>43741</v>
      </c>
      <c r="C1290" s="1" t="n">
        <v>45353</v>
      </c>
      <c r="D1290" t="inlineStr">
        <is>
          <t>SÖDERMANLANDS LÄN</t>
        </is>
      </c>
      <c r="E1290" t="inlineStr">
        <is>
          <t>KATRINEHOLM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51852-2019</t>
        </is>
      </c>
      <c r="B1291" s="1" t="n">
        <v>43741</v>
      </c>
      <c r="C1291" s="1" t="n">
        <v>45353</v>
      </c>
      <c r="D1291" t="inlineStr">
        <is>
          <t>SÖDERMANLANDS LÄN</t>
        </is>
      </c>
      <c r="E1291" t="inlineStr">
        <is>
          <t>KATRINEHOLM</t>
        </is>
      </c>
      <c r="G1291" t="n">
        <v>16.4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54024-2019</t>
        </is>
      </c>
      <c r="B1292" s="1" t="n">
        <v>43742</v>
      </c>
      <c r="C1292" s="1" t="n">
        <v>45353</v>
      </c>
      <c r="D1292" t="inlineStr">
        <is>
          <t>SÖDERMANLANDS LÄN</t>
        </is>
      </c>
      <c r="E1292" t="inlineStr">
        <is>
          <t>STRÄNGNÄS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54017-2019</t>
        </is>
      </c>
      <c r="B1293" s="1" t="n">
        <v>43742</v>
      </c>
      <c r="C1293" s="1" t="n">
        <v>45353</v>
      </c>
      <c r="D1293" t="inlineStr">
        <is>
          <t>SÖDERMANLANDS LÄN</t>
        </is>
      </c>
      <c r="E1293" t="inlineStr">
        <is>
          <t>STRÄNGNÄS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54028-2019</t>
        </is>
      </c>
      <c r="B1294" s="1" t="n">
        <v>43742</v>
      </c>
      <c r="C1294" s="1" t="n">
        <v>45353</v>
      </c>
      <c r="D1294" t="inlineStr">
        <is>
          <t>SÖDERMANLANDS LÄN</t>
        </is>
      </c>
      <c r="E1294" t="inlineStr">
        <is>
          <t>STRÄNGNÄS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52465-2019</t>
        </is>
      </c>
      <c r="B1295" s="1" t="n">
        <v>43745</v>
      </c>
      <c r="C1295" s="1" t="n">
        <v>45353</v>
      </c>
      <c r="D1295" t="inlineStr">
        <is>
          <t>SÖDERMANLANDS LÄN</t>
        </is>
      </c>
      <c r="E1295" t="inlineStr">
        <is>
          <t>TROSA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52550-2019</t>
        </is>
      </c>
      <c r="B1296" s="1" t="n">
        <v>43745</v>
      </c>
      <c r="C1296" s="1" t="n">
        <v>45353</v>
      </c>
      <c r="D1296" t="inlineStr">
        <is>
          <t>SÖDERMANLANDS LÄN</t>
        </is>
      </c>
      <c r="E1296" t="inlineStr">
        <is>
          <t>VINGÅKER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52314-2019</t>
        </is>
      </c>
      <c r="B1297" s="1" t="n">
        <v>43745</v>
      </c>
      <c r="C1297" s="1" t="n">
        <v>45353</v>
      </c>
      <c r="D1297" t="inlineStr">
        <is>
          <t>SÖDERMANLANDS LÄN</t>
        </is>
      </c>
      <c r="E1297" t="inlineStr">
        <is>
          <t>VINGÅKER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54175-2019</t>
        </is>
      </c>
      <c r="B1298" s="1" t="n">
        <v>43745</v>
      </c>
      <c r="C1298" s="1" t="n">
        <v>45353</v>
      </c>
      <c r="D1298" t="inlineStr">
        <is>
          <t>SÖDERMANLANDS LÄN</t>
        </is>
      </c>
      <c r="E1298" t="inlineStr">
        <is>
          <t>FLEN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54305-2019</t>
        </is>
      </c>
      <c r="B1299" s="1" t="n">
        <v>43745</v>
      </c>
      <c r="C1299" s="1" t="n">
        <v>45353</v>
      </c>
      <c r="D1299" t="inlineStr">
        <is>
          <t>SÖDERMANLANDS LÄN</t>
        </is>
      </c>
      <c r="E1299" t="inlineStr">
        <is>
          <t>KATRINEHOLM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54310-2019</t>
        </is>
      </c>
      <c r="B1300" s="1" t="n">
        <v>43745</v>
      </c>
      <c r="C1300" s="1" t="n">
        <v>45353</v>
      </c>
      <c r="D1300" t="inlineStr">
        <is>
          <t>SÖDERMANLANDS LÄN</t>
        </is>
      </c>
      <c r="E1300" t="inlineStr">
        <is>
          <t>KATRINEHOLM</t>
        </is>
      </c>
      <c r="F1300" t="inlineStr">
        <is>
          <t>Övriga Aktiebolag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54321-2019</t>
        </is>
      </c>
      <c r="B1301" s="1" t="n">
        <v>43745</v>
      </c>
      <c r="C1301" s="1" t="n">
        <v>45353</v>
      </c>
      <c r="D1301" t="inlineStr">
        <is>
          <t>SÖDERMANLANDS LÄN</t>
        </is>
      </c>
      <c r="E1301" t="inlineStr">
        <is>
          <t>KATRINEHOLM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52717-2019</t>
        </is>
      </c>
      <c r="B1302" s="1" t="n">
        <v>43746</v>
      </c>
      <c r="C1302" s="1" t="n">
        <v>45353</v>
      </c>
      <c r="D1302" t="inlineStr">
        <is>
          <t>SÖDERMANLANDS LÄN</t>
        </is>
      </c>
      <c r="E1302" t="inlineStr">
        <is>
          <t>ESKILSTUNA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52871-2019</t>
        </is>
      </c>
      <c r="B1303" s="1" t="n">
        <v>43746</v>
      </c>
      <c r="C1303" s="1" t="n">
        <v>45353</v>
      </c>
      <c r="D1303" t="inlineStr">
        <is>
          <t>SÖDERMANLANDS LÄN</t>
        </is>
      </c>
      <c r="E1303" t="inlineStr">
        <is>
          <t>FLEN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52720-2019</t>
        </is>
      </c>
      <c r="B1304" s="1" t="n">
        <v>43746</v>
      </c>
      <c r="C1304" s="1" t="n">
        <v>45353</v>
      </c>
      <c r="D1304" t="inlineStr">
        <is>
          <t>SÖDERMANLANDS LÄN</t>
        </is>
      </c>
      <c r="E1304" t="inlineStr">
        <is>
          <t>ESKILSTUNA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52676-2019</t>
        </is>
      </c>
      <c r="B1305" s="1" t="n">
        <v>43746</v>
      </c>
      <c r="C1305" s="1" t="n">
        <v>45353</v>
      </c>
      <c r="D1305" t="inlineStr">
        <is>
          <t>SÖDERMANLANDS LÄN</t>
        </is>
      </c>
      <c r="E1305" t="inlineStr">
        <is>
          <t>NYKÖPING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54412-2019</t>
        </is>
      </c>
      <c r="B1306" s="1" t="n">
        <v>43747</v>
      </c>
      <c r="C1306" s="1" t="n">
        <v>45353</v>
      </c>
      <c r="D1306" t="inlineStr">
        <is>
          <t>SÖDERMANLANDS LÄN</t>
        </is>
      </c>
      <c r="E1306" t="inlineStr">
        <is>
          <t>FLEN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53145-2019</t>
        </is>
      </c>
      <c r="B1307" s="1" t="n">
        <v>43747</v>
      </c>
      <c r="C1307" s="1" t="n">
        <v>45353</v>
      </c>
      <c r="D1307" t="inlineStr">
        <is>
          <t>SÖDERMANLANDS LÄN</t>
        </is>
      </c>
      <c r="E1307" t="inlineStr">
        <is>
          <t>VINGÅKER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53762-2019</t>
        </is>
      </c>
      <c r="B1308" s="1" t="n">
        <v>43750</v>
      </c>
      <c r="C1308" s="1" t="n">
        <v>45353</v>
      </c>
      <c r="D1308" t="inlineStr">
        <is>
          <t>SÖDERMANLANDS LÄN</t>
        </is>
      </c>
      <c r="E1308" t="inlineStr">
        <is>
          <t>KATRINEHOLM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53786-2019</t>
        </is>
      </c>
      <c r="B1309" s="1" t="n">
        <v>43751</v>
      </c>
      <c r="C1309" s="1" t="n">
        <v>45353</v>
      </c>
      <c r="D1309" t="inlineStr">
        <is>
          <t>SÖDERMANLANDS LÄN</t>
        </is>
      </c>
      <c r="E1309" t="inlineStr">
        <is>
          <t>NYKÖPING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53933-2019</t>
        </is>
      </c>
      <c r="B1310" s="1" t="n">
        <v>43752</v>
      </c>
      <c r="C1310" s="1" t="n">
        <v>45353</v>
      </c>
      <c r="D1310" t="inlineStr">
        <is>
          <t>SÖDERMANLANDS LÄN</t>
        </is>
      </c>
      <c r="E1310" t="inlineStr">
        <is>
          <t>GNESTA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53876-2019</t>
        </is>
      </c>
      <c r="B1311" s="1" t="n">
        <v>43752</v>
      </c>
      <c r="C1311" s="1" t="n">
        <v>45353</v>
      </c>
      <c r="D1311" t="inlineStr">
        <is>
          <t>SÖDERMANLANDS LÄN</t>
        </is>
      </c>
      <c r="E1311" t="inlineStr">
        <is>
          <t>ESKILSTUNA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53945-2019</t>
        </is>
      </c>
      <c r="B1312" s="1" t="n">
        <v>43752</v>
      </c>
      <c r="C1312" s="1" t="n">
        <v>45353</v>
      </c>
      <c r="D1312" t="inlineStr">
        <is>
          <t>SÖDERMANLANDS LÄN</t>
        </is>
      </c>
      <c r="E1312" t="inlineStr">
        <is>
          <t>GNESTA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55088-2019</t>
        </is>
      </c>
      <c r="B1313" s="1" t="n">
        <v>43752</v>
      </c>
      <c r="C1313" s="1" t="n">
        <v>45353</v>
      </c>
      <c r="D1313" t="inlineStr">
        <is>
          <t>SÖDERMANLANDS LÄN</t>
        </is>
      </c>
      <c r="E1313" t="inlineStr">
        <is>
          <t>FLEN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55122-2019</t>
        </is>
      </c>
      <c r="B1314" s="1" t="n">
        <v>43752</v>
      </c>
      <c r="C1314" s="1" t="n">
        <v>45353</v>
      </c>
      <c r="D1314" t="inlineStr">
        <is>
          <t>SÖDERMANLANDS LÄN</t>
        </is>
      </c>
      <c r="E1314" t="inlineStr">
        <is>
          <t>FLEN</t>
        </is>
      </c>
      <c r="F1314" t="inlineStr">
        <is>
          <t>Övriga statliga verk och myndigheter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53872-2019</t>
        </is>
      </c>
      <c r="B1315" s="1" t="n">
        <v>43752</v>
      </c>
      <c r="C1315" s="1" t="n">
        <v>45353</v>
      </c>
      <c r="D1315" t="inlineStr">
        <is>
          <t>SÖDERMANLANDS LÄN</t>
        </is>
      </c>
      <c r="E1315" t="inlineStr">
        <is>
          <t>ESKILSTUNA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54263-2019</t>
        </is>
      </c>
      <c r="B1316" s="1" t="n">
        <v>43753</v>
      </c>
      <c r="C1316" s="1" t="n">
        <v>45353</v>
      </c>
      <c r="D1316" t="inlineStr">
        <is>
          <t>SÖDERMANLANDS LÄN</t>
        </is>
      </c>
      <c r="E1316" t="inlineStr">
        <is>
          <t>KATRINEHOLM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54307-2019</t>
        </is>
      </c>
      <c r="B1317" s="1" t="n">
        <v>43753</v>
      </c>
      <c r="C1317" s="1" t="n">
        <v>45353</v>
      </c>
      <c r="D1317" t="inlineStr">
        <is>
          <t>SÖDERMANLANDS LÄN</t>
        </is>
      </c>
      <c r="E1317" t="inlineStr">
        <is>
          <t>FLEN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54244-2019</t>
        </is>
      </c>
      <c r="B1318" s="1" t="n">
        <v>43753</v>
      </c>
      <c r="C1318" s="1" t="n">
        <v>45353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55232-2019</t>
        </is>
      </c>
      <c r="B1319" s="1" t="n">
        <v>43753</v>
      </c>
      <c r="C1319" s="1" t="n">
        <v>45353</v>
      </c>
      <c r="D1319" t="inlineStr">
        <is>
          <t>SÖDERMANLANDS LÄN</t>
        </is>
      </c>
      <c r="E1319" t="inlineStr">
        <is>
          <t>KATRINEHOLM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54248-2019</t>
        </is>
      </c>
      <c r="B1320" s="1" t="n">
        <v>43753</v>
      </c>
      <c r="C1320" s="1" t="n">
        <v>45353</v>
      </c>
      <c r="D1320" t="inlineStr">
        <is>
          <t>SÖDERMANLANDS LÄN</t>
        </is>
      </c>
      <c r="E1320" t="inlineStr">
        <is>
          <t>KATRINEHOLM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54208-2019</t>
        </is>
      </c>
      <c r="B1321" s="1" t="n">
        <v>43753</v>
      </c>
      <c r="C1321" s="1" t="n">
        <v>45353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54686-2019</t>
        </is>
      </c>
      <c r="B1322" s="1" t="n">
        <v>43754</v>
      </c>
      <c r="C1322" s="1" t="n">
        <v>45353</v>
      </c>
      <c r="D1322" t="inlineStr">
        <is>
          <t>SÖDERMANLANDS LÄN</t>
        </is>
      </c>
      <c r="E1322" t="inlineStr">
        <is>
          <t>VINGÅKER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54527-2019</t>
        </is>
      </c>
      <c r="B1323" s="1" t="n">
        <v>43754</v>
      </c>
      <c r="C1323" s="1" t="n">
        <v>45353</v>
      </c>
      <c r="D1323" t="inlineStr">
        <is>
          <t>SÖDERMANLANDS LÄN</t>
        </is>
      </c>
      <c r="E1323" t="inlineStr">
        <is>
          <t>ESKILSTUNA</t>
        </is>
      </c>
      <c r="F1323" t="inlineStr">
        <is>
          <t>Allmännings- och besparingsskogar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54685-2019</t>
        </is>
      </c>
      <c r="B1324" s="1" t="n">
        <v>43754</v>
      </c>
      <c r="C1324" s="1" t="n">
        <v>45353</v>
      </c>
      <c r="D1324" t="inlineStr">
        <is>
          <t>SÖDERMANLANDS LÄN</t>
        </is>
      </c>
      <c r="E1324" t="inlineStr">
        <is>
          <t>VINGÅKER</t>
        </is>
      </c>
      <c r="G1324" t="n">
        <v>10.8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55333-2019</t>
        </is>
      </c>
      <c r="B1325" s="1" t="n">
        <v>43756</v>
      </c>
      <c r="C1325" s="1" t="n">
        <v>45353</v>
      </c>
      <c r="D1325" t="inlineStr">
        <is>
          <t>SÖDERMANLANDS LÄN</t>
        </is>
      </c>
      <c r="E1325" t="inlineStr">
        <is>
          <t>KATRINEHOLM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55330-2019</t>
        </is>
      </c>
      <c r="B1326" s="1" t="n">
        <v>43756</v>
      </c>
      <c r="C1326" s="1" t="n">
        <v>45353</v>
      </c>
      <c r="D1326" t="inlineStr">
        <is>
          <t>SÖDERMANLANDS LÄN</t>
        </is>
      </c>
      <c r="E1326" t="inlineStr">
        <is>
          <t>KATRINEHOLM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55346-2019</t>
        </is>
      </c>
      <c r="B1327" s="1" t="n">
        <v>43756</v>
      </c>
      <c r="C1327" s="1" t="n">
        <v>45353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56435-2019</t>
        </is>
      </c>
      <c r="B1328" s="1" t="n">
        <v>43756</v>
      </c>
      <c r="C1328" s="1" t="n">
        <v>45353</v>
      </c>
      <c r="D1328" t="inlineStr">
        <is>
          <t>SÖDERMANLANDS LÄN</t>
        </is>
      </c>
      <c r="E1328" t="inlineStr">
        <is>
          <t>ESKILSTUNA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55417-2019</t>
        </is>
      </c>
      <c r="B1329" s="1" t="n">
        <v>43758</v>
      </c>
      <c r="C1329" s="1" t="n">
        <v>45353</v>
      </c>
      <c r="D1329" t="inlineStr">
        <is>
          <t>SÖDERMANLANDS LÄN</t>
        </is>
      </c>
      <c r="E1329" t="inlineStr">
        <is>
          <t>FLEN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55421-2019</t>
        </is>
      </c>
      <c r="B1330" s="1" t="n">
        <v>43758</v>
      </c>
      <c r="C1330" s="1" t="n">
        <v>45353</v>
      </c>
      <c r="D1330" t="inlineStr">
        <is>
          <t>SÖDERMANLANDS LÄN</t>
        </is>
      </c>
      <c r="E1330" t="inlineStr">
        <is>
          <t>FLEN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55964-2019</t>
        </is>
      </c>
      <c r="B1331" s="1" t="n">
        <v>43759</v>
      </c>
      <c r="C1331" s="1" t="n">
        <v>45353</v>
      </c>
      <c r="D1331" t="inlineStr">
        <is>
          <t>SÖDERMANLANDS LÄN</t>
        </is>
      </c>
      <c r="E1331" t="inlineStr">
        <is>
          <t>VINGÅKER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55748-2019</t>
        </is>
      </c>
      <c r="B1332" s="1" t="n">
        <v>43759</v>
      </c>
      <c r="C1332" s="1" t="n">
        <v>45353</v>
      </c>
      <c r="D1332" t="inlineStr">
        <is>
          <t>SÖDERMANLANDS LÄN</t>
        </is>
      </c>
      <c r="E1332" t="inlineStr">
        <is>
          <t>VINGÅKER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56260-2019</t>
        </is>
      </c>
      <c r="B1333" s="1" t="n">
        <v>43762</v>
      </c>
      <c r="C1333" s="1" t="n">
        <v>45353</v>
      </c>
      <c r="D1333" t="inlineStr">
        <is>
          <t>SÖDERMANLANDS LÄN</t>
        </is>
      </c>
      <c r="E1333" t="inlineStr">
        <is>
          <t>ESKILSTUNA</t>
        </is>
      </c>
      <c r="G1333" t="n">
        <v>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57898-2019</t>
        </is>
      </c>
      <c r="B1334" s="1" t="n">
        <v>43762</v>
      </c>
      <c r="C1334" s="1" t="n">
        <v>45353</v>
      </c>
      <c r="D1334" t="inlineStr">
        <is>
          <t>SÖDERMANLANDS LÄN</t>
        </is>
      </c>
      <c r="E1334" t="inlineStr">
        <is>
          <t>FLEN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56658-2019</t>
        </is>
      </c>
      <c r="B1335" s="1" t="n">
        <v>43763</v>
      </c>
      <c r="C1335" s="1" t="n">
        <v>45353</v>
      </c>
      <c r="D1335" t="inlineStr">
        <is>
          <t>SÖDERMANLANDS LÄN</t>
        </is>
      </c>
      <c r="E1335" t="inlineStr">
        <is>
          <t>ESKILSTUNA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56745-2019</t>
        </is>
      </c>
      <c r="B1336" s="1" t="n">
        <v>43763</v>
      </c>
      <c r="C1336" s="1" t="n">
        <v>45353</v>
      </c>
      <c r="D1336" t="inlineStr">
        <is>
          <t>SÖDERMANLANDS LÄN</t>
        </is>
      </c>
      <c r="E1336" t="inlineStr">
        <is>
          <t>ESKILSTUNA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56759-2019</t>
        </is>
      </c>
      <c r="B1337" s="1" t="n">
        <v>43763</v>
      </c>
      <c r="C1337" s="1" t="n">
        <v>45353</v>
      </c>
      <c r="D1337" t="inlineStr">
        <is>
          <t>SÖDERMANLANDS LÄN</t>
        </is>
      </c>
      <c r="E1337" t="inlineStr">
        <is>
          <t>ESKILSTUNA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56842-2019</t>
        </is>
      </c>
      <c r="B1338" s="1" t="n">
        <v>43765</v>
      </c>
      <c r="C1338" s="1" t="n">
        <v>45353</v>
      </c>
      <c r="D1338" t="inlineStr">
        <is>
          <t>SÖDERMANLANDS LÄN</t>
        </is>
      </c>
      <c r="E1338" t="inlineStr">
        <is>
          <t>NYKÖPING</t>
        </is>
      </c>
      <c r="G1338" t="n">
        <v>10.8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56843-2019</t>
        </is>
      </c>
      <c r="B1339" s="1" t="n">
        <v>43765</v>
      </c>
      <c r="C1339" s="1" t="n">
        <v>45353</v>
      </c>
      <c r="D1339" t="inlineStr">
        <is>
          <t>SÖDERMANLANDS LÄN</t>
        </is>
      </c>
      <c r="E1339" t="inlineStr">
        <is>
          <t>NYKÖPING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57010-2019</t>
        </is>
      </c>
      <c r="B1340" s="1" t="n">
        <v>43766</v>
      </c>
      <c r="C1340" s="1" t="n">
        <v>45353</v>
      </c>
      <c r="D1340" t="inlineStr">
        <is>
          <t>SÖDERMANLANDS LÄN</t>
        </is>
      </c>
      <c r="E1340" t="inlineStr">
        <is>
          <t>VINGÅKER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57137-2019</t>
        </is>
      </c>
      <c r="B1341" s="1" t="n">
        <v>43766</v>
      </c>
      <c r="C1341" s="1" t="n">
        <v>45353</v>
      </c>
      <c r="D1341" t="inlineStr">
        <is>
          <t>SÖDERMANLANDS LÄN</t>
        </is>
      </c>
      <c r="E1341" t="inlineStr">
        <is>
          <t>ESKILSTUNA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58109-2019</t>
        </is>
      </c>
      <c r="B1342" s="1" t="n">
        <v>43766</v>
      </c>
      <c r="C1342" s="1" t="n">
        <v>45353</v>
      </c>
      <c r="D1342" t="inlineStr">
        <is>
          <t>SÖDERMANLANDS LÄN</t>
        </is>
      </c>
      <c r="E1342" t="inlineStr">
        <is>
          <t>NYKÖPING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58108-2019</t>
        </is>
      </c>
      <c r="B1343" s="1" t="n">
        <v>43766</v>
      </c>
      <c r="C1343" s="1" t="n">
        <v>45353</v>
      </c>
      <c r="D1343" t="inlineStr">
        <is>
          <t>SÖDERMANLANDS LÄN</t>
        </is>
      </c>
      <c r="E1343" t="inlineStr">
        <is>
          <t>NYKÖPING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57407-2019</t>
        </is>
      </c>
      <c r="B1344" s="1" t="n">
        <v>43767</v>
      </c>
      <c r="C1344" s="1" t="n">
        <v>45353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57286-2019</t>
        </is>
      </c>
      <c r="B1345" s="1" t="n">
        <v>43767</v>
      </c>
      <c r="C1345" s="1" t="n">
        <v>45353</v>
      </c>
      <c r="D1345" t="inlineStr">
        <is>
          <t>SÖDERMANLANDS LÄN</t>
        </is>
      </c>
      <c r="E1345" t="inlineStr">
        <is>
          <t>VINGÅKER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57787-2019</t>
        </is>
      </c>
      <c r="B1346" s="1" t="n">
        <v>43768</v>
      </c>
      <c r="C1346" s="1" t="n">
        <v>45353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57795-2019</t>
        </is>
      </c>
      <c r="B1347" s="1" t="n">
        <v>43768</v>
      </c>
      <c r="C1347" s="1" t="n">
        <v>45353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57725-2019</t>
        </is>
      </c>
      <c r="B1348" s="1" t="n">
        <v>43768</v>
      </c>
      <c r="C1348" s="1" t="n">
        <v>45353</v>
      </c>
      <c r="D1348" t="inlineStr">
        <is>
          <t>SÖDERMANLANDS LÄN</t>
        </is>
      </c>
      <c r="E1348" t="inlineStr">
        <is>
          <t>GNESTA</t>
        </is>
      </c>
      <c r="G1348" t="n">
        <v>18.4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57800-2019</t>
        </is>
      </c>
      <c r="B1349" s="1" t="n">
        <v>43768</v>
      </c>
      <c r="C1349" s="1" t="n">
        <v>45353</v>
      </c>
      <c r="D1349" t="inlineStr">
        <is>
          <t>SÖDERMANLANDS LÄN</t>
        </is>
      </c>
      <c r="E1349" t="inlineStr">
        <is>
          <t>ESKILSTUNA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59039-2019</t>
        </is>
      </c>
      <c r="B1350" s="1" t="n">
        <v>43768</v>
      </c>
      <c r="C1350" s="1" t="n">
        <v>45353</v>
      </c>
      <c r="D1350" t="inlineStr">
        <is>
          <t>SÖDERMANLANDS LÄN</t>
        </is>
      </c>
      <c r="E1350" t="inlineStr">
        <is>
          <t>KATRINEHOLM</t>
        </is>
      </c>
      <c r="G1350" t="n">
        <v>22.3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57793-2019</t>
        </is>
      </c>
      <c r="B1351" s="1" t="n">
        <v>43768</v>
      </c>
      <c r="C1351" s="1" t="n">
        <v>45353</v>
      </c>
      <c r="D1351" t="inlineStr">
        <is>
          <t>SÖDERMANLANDS LÄN</t>
        </is>
      </c>
      <c r="E1351" t="inlineStr">
        <is>
          <t>KATRINEHOLM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57992-2019</t>
        </is>
      </c>
      <c r="B1352" s="1" t="n">
        <v>43769</v>
      </c>
      <c r="C1352" s="1" t="n">
        <v>45353</v>
      </c>
      <c r="D1352" t="inlineStr">
        <is>
          <t>SÖDERMANLANDS LÄN</t>
        </is>
      </c>
      <c r="E1352" t="inlineStr">
        <is>
          <t>ESKILSTUNA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58159-2019</t>
        </is>
      </c>
      <c r="B1353" s="1" t="n">
        <v>43769</v>
      </c>
      <c r="C1353" s="1" t="n">
        <v>45353</v>
      </c>
      <c r="D1353" t="inlineStr">
        <is>
          <t>SÖDERMANLANDS LÄN</t>
        </is>
      </c>
      <c r="E1353" t="inlineStr">
        <is>
          <t>VINGÅKER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58938-2019</t>
        </is>
      </c>
      <c r="B1354" s="1" t="n">
        <v>43769</v>
      </c>
      <c r="C1354" s="1" t="n">
        <v>45353</v>
      </c>
      <c r="D1354" t="inlineStr">
        <is>
          <t>SÖDERMANLANDS LÄN</t>
        </is>
      </c>
      <c r="E1354" t="inlineStr">
        <is>
          <t>KATRINEHOLM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58909-2019</t>
        </is>
      </c>
      <c r="B1355" s="1" t="n">
        <v>43769</v>
      </c>
      <c r="C1355" s="1" t="n">
        <v>45353</v>
      </c>
      <c r="D1355" t="inlineStr">
        <is>
          <t>SÖDERMANLANDS LÄN</t>
        </is>
      </c>
      <c r="E1355" t="inlineStr">
        <is>
          <t>FLEN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58378-2019</t>
        </is>
      </c>
      <c r="B1356" s="1" t="n">
        <v>43771</v>
      </c>
      <c r="C1356" s="1" t="n">
        <v>45353</v>
      </c>
      <c r="D1356" t="inlineStr">
        <is>
          <t>SÖDERMANLANDS LÄN</t>
        </is>
      </c>
      <c r="E1356" t="inlineStr">
        <is>
          <t>ESKILSTUNA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59014-2019</t>
        </is>
      </c>
      <c r="B1357" s="1" t="n">
        <v>43774</v>
      </c>
      <c r="C1357" s="1" t="n">
        <v>45353</v>
      </c>
      <c r="D1357" t="inlineStr">
        <is>
          <t>SÖDERMANLANDS LÄN</t>
        </is>
      </c>
      <c r="E1357" t="inlineStr">
        <is>
          <t>FLEN</t>
        </is>
      </c>
      <c r="F1357" t="inlineStr">
        <is>
          <t>Kommuner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59220-2019</t>
        </is>
      </c>
      <c r="B1358" s="1" t="n">
        <v>43775</v>
      </c>
      <c r="C1358" s="1" t="n">
        <v>45353</v>
      </c>
      <c r="D1358" t="inlineStr">
        <is>
          <t>SÖDERMANLANDS LÄN</t>
        </is>
      </c>
      <c r="E1358" t="inlineStr">
        <is>
          <t>STRÄNGNÄS</t>
        </is>
      </c>
      <c r="G1358" t="n">
        <v>15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59224-2019</t>
        </is>
      </c>
      <c r="B1359" s="1" t="n">
        <v>43775</v>
      </c>
      <c r="C1359" s="1" t="n">
        <v>45353</v>
      </c>
      <c r="D1359" t="inlineStr">
        <is>
          <t>SÖDERMANLANDS LÄN</t>
        </is>
      </c>
      <c r="E1359" t="inlineStr">
        <is>
          <t>GNESTA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59454-2019</t>
        </is>
      </c>
      <c r="B1360" s="1" t="n">
        <v>43776</v>
      </c>
      <c r="C1360" s="1" t="n">
        <v>45353</v>
      </c>
      <c r="D1360" t="inlineStr">
        <is>
          <t>SÖDERMANLANDS LÄN</t>
        </is>
      </c>
      <c r="E1360" t="inlineStr">
        <is>
          <t>FLEN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59547-2019</t>
        </is>
      </c>
      <c r="B1361" s="1" t="n">
        <v>43776</v>
      </c>
      <c r="C1361" s="1" t="n">
        <v>45353</v>
      </c>
      <c r="D1361" t="inlineStr">
        <is>
          <t>SÖDERMANLANDS LÄN</t>
        </is>
      </c>
      <c r="E1361" t="inlineStr">
        <is>
          <t>ESKILSTUNA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59529-2019</t>
        </is>
      </c>
      <c r="B1362" s="1" t="n">
        <v>43776</v>
      </c>
      <c r="C1362" s="1" t="n">
        <v>45353</v>
      </c>
      <c r="D1362" t="inlineStr">
        <is>
          <t>SÖDERMANLANDS LÄN</t>
        </is>
      </c>
      <c r="E1362" t="inlineStr">
        <is>
          <t>ESKILSTUNA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59765-2019</t>
        </is>
      </c>
      <c r="B1363" s="1" t="n">
        <v>43776</v>
      </c>
      <c r="C1363" s="1" t="n">
        <v>45353</v>
      </c>
      <c r="D1363" t="inlineStr">
        <is>
          <t>SÖDERMANLANDS LÄN</t>
        </is>
      </c>
      <c r="E1363" t="inlineStr">
        <is>
          <t>VINGÅKER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59767-2019</t>
        </is>
      </c>
      <c r="B1364" s="1" t="n">
        <v>43776</v>
      </c>
      <c r="C1364" s="1" t="n">
        <v>45353</v>
      </c>
      <c r="D1364" t="inlineStr">
        <is>
          <t>SÖDERMANLANDS LÄN</t>
        </is>
      </c>
      <c r="E1364" t="inlineStr">
        <is>
          <t>VINGÅKER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59448-2019</t>
        </is>
      </c>
      <c r="B1365" s="1" t="n">
        <v>43776</v>
      </c>
      <c r="C1365" s="1" t="n">
        <v>45353</v>
      </c>
      <c r="D1365" t="inlineStr">
        <is>
          <t>SÖDERMANLANDS LÄN</t>
        </is>
      </c>
      <c r="E1365" t="inlineStr">
        <is>
          <t>FLEN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59750-2019</t>
        </is>
      </c>
      <c r="B1366" s="1" t="n">
        <v>43776</v>
      </c>
      <c r="C1366" s="1" t="n">
        <v>45353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59446-2019</t>
        </is>
      </c>
      <c r="B1367" s="1" t="n">
        <v>43776</v>
      </c>
      <c r="C1367" s="1" t="n">
        <v>45353</v>
      </c>
      <c r="D1367" t="inlineStr">
        <is>
          <t>SÖDERMANLANDS LÄN</t>
        </is>
      </c>
      <c r="E1367" t="inlineStr">
        <is>
          <t>FLEN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59913-2019</t>
        </is>
      </c>
      <c r="B1368" s="1" t="n">
        <v>43777</v>
      </c>
      <c r="C1368" s="1" t="n">
        <v>45353</v>
      </c>
      <c r="D1368" t="inlineStr">
        <is>
          <t>SÖDERMANLANDS LÄN</t>
        </is>
      </c>
      <c r="E1368" t="inlineStr">
        <is>
          <t>KATRINEHOLM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59905-2019</t>
        </is>
      </c>
      <c r="B1369" s="1" t="n">
        <v>43777</v>
      </c>
      <c r="C1369" s="1" t="n">
        <v>45353</v>
      </c>
      <c r="D1369" t="inlineStr">
        <is>
          <t>SÖDERMANLANDS LÄN</t>
        </is>
      </c>
      <c r="E1369" t="inlineStr">
        <is>
          <t>KATRINEHOLM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59981-2019</t>
        </is>
      </c>
      <c r="B1370" s="1" t="n">
        <v>43777</v>
      </c>
      <c r="C1370" s="1" t="n">
        <v>45353</v>
      </c>
      <c r="D1370" t="inlineStr">
        <is>
          <t>SÖDERMANLANDS LÄN</t>
        </is>
      </c>
      <c r="E1370" t="inlineStr">
        <is>
          <t>KATRINEHOLM</t>
        </is>
      </c>
      <c r="F1370" t="inlineStr">
        <is>
          <t>Kyrkan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60672-2019</t>
        </is>
      </c>
      <c r="B1371" s="1" t="n">
        <v>43777</v>
      </c>
      <c r="C1371" s="1" t="n">
        <v>45353</v>
      </c>
      <c r="D1371" t="inlineStr">
        <is>
          <t>SÖDERMANLANDS LÄN</t>
        </is>
      </c>
      <c r="E1371" t="inlineStr">
        <is>
          <t>KATRINEHOLM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60136-2019</t>
        </is>
      </c>
      <c r="B1372" s="1" t="n">
        <v>43779</v>
      </c>
      <c r="C1372" s="1" t="n">
        <v>45353</v>
      </c>
      <c r="D1372" t="inlineStr">
        <is>
          <t>SÖDERMANLANDS LÄN</t>
        </is>
      </c>
      <c r="E1372" t="inlineStr">
        <is>
          <t>KATRINEHOLM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60466-2019</t>
        </is>
      </c>
      <c r="B1373" s="1" t="n">
        <v>43780</v>
      </c>
      <c r="C1373" s="1" t="n">
        <v>45353</v>
      </c>
      <c r="D1373" t="inlineStr">
        <is>
          <t>SÖDERMANLANDS LÄN</t>
        </is>
      </c>
      <c r="E1373" t="inlineStr">
        <is>
          <t>STRÄNGNÄS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60408-2019</t>
        </is>
      </c>
      <c r="B1374" s="1" t="n">
        <v>43780</v>
      </c>
      <c r="C1374" s="1" t="n">
        <v>45353</v>
      </c>
      <c r="D1374" t="inlineStr">
        <is>
          <t>SÖDERMANLANDS LÄN</t>
        </is>
      </c>
      <c r="E1374" t="inlineStr">
        <is>
          <t>VINGÅKER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60431-2019</t>
        </is>
      </c>
      <c r="B1375" s="1" t="n">
        <v>43780</v>
      </c>
      <c r="C1375" s="1" t="n">
        <v>45353</v>
      </c>
      <c r="D1375" t="inlineStr">
        <is>
          <t>SÖDERMANLANDS LÄN</t>
        </is>
      </c>
      <c r="E1375" t="inlineStr">
        <is>
          <t>VINGÅKER</t>
        </is>
      </c>
      <c r="G1375" t="n">
        <v>14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60675-2019</t>
        </is>
      </c>
      <c r="B1376" s="1" t="n">
        <v>43781</v>
      </c>
      <c r="C1376" s="1" t="n">
        <v>45353</v>
      </c>
      <c r="D1376" t="inlineStr">
        <is>
          <t>SÖDERMANLANDS LÄN</t>
        </is>
      </c>
      <c r="E1376" t="inlineStr">
        <is>
          <t>KATRINEHOLM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60731-2019</t>
        </is>
      </c>
      <c r="B1377" s="1" t="n">
        <v>43781</v>
      </c>
      <c r="C1377" s="1" t="n">
        <v>45353</v>
      </c>
      <c r="D1377" t="inlineStr">
        <is>
          <t>SÖDERMANLANDS LÄN</t>
        </is>
      </c>
      <c r="E1377" t="inlineStr">
        <is>
          <t>ESKILSTUNA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60860-2019</t>
        </is>
      </c>
      <c r="B1378" s="1" t="n">
        <v>43781</v>
      </c>
      <c r="C1378" s="1" t="n">
        <v>45353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17.5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61999-2019</t>
        </is>
      </c>
      <c r="B1379" s="1" t="n">
        <v>43781</v>
      </c>
      <c r="C1379" s="1" t="n">
        <v>45353</v>
      </c>
      <c r="D1379" t="inlineStr">
        <is>
          <t>SÖDERMANLANDS LÄN</t>
        </is>
      </c>
      <c r="E1379" t="inlineStr">
        <is>
          <t>KATRINEHOLM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60852-2019</t>
        </is>
      </c>
      <c r="B1380" s="1" t="n">
        <v>43781</v>
      </c>
      <c r="C1380" s="1" t="n">
        <v>45353</v>
      </c>
      <c r="D1380" t="inlineStr">
        <is>
          <t>SÖDERMANLANDS LÄN</t>
        </is>
      </c>
      <c r="E1380" t="inlineStr">
        <is>
          <t>ESKILSTUNA</t>
        </is>
      </c>
      <c r="F1380" t="inlineStr">
        <is>
          <t>Allmännings- och besparingsskogar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61161-2019</t>
        </is>
      </c>
      <c r="B1381" s="1" t="n">
        <v>43782</v>
      </c>
      <c r="C1381" s="1" t="n">
        <v>45353</v>
      </c>
      <c r="D1381" t="inlineStr">
        <is>
          <t>SÖDERMANLANDS LÄN</t>
        </is>
      </c>
      <c r="E1381" t="inlineStr">
        <is>
          <t>KATRINEHOLM</t>
        </is>
      </c>
      <c r="F1381" t="inlineStr">
        <is>
          <t>Kyrkan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61402-2019</t>
        </is>
      </c>
      <c r="B1382" s="1" t="n">
        <v>43783</v>
      </c>
      <c r="C1382" s="1" t="n">
        <v>45353</v>
      </c>
      <c r="D1382" t="inlineStr">
        <is>
          <t>SÖDERMANLANDS LÄN</t>
        </is>
      </c>
      <c r="E1382" t="inlineStr">
        <is>
          <t>STRÄNGNÄS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61432-2019</t>
        </is>
      </c>
      <c r="B1383" s="1" t="n">
        <v>43783</v>
      </c>
      <c r="C1383" s="1" t="n">
        <v>45353</v>
      </c>
      <c r="D1383" t="inlineStr">
        <is>
          <t>SÖDERMANLANDS LÄN</t>
        </is>
      </c>
      <c r="E1383" t="inlineStr">
        <is>
          <t>STRÄNGNÄS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61653-2019</t>
        </is>
      </c>
      <c r="B1384" s="1" t="n">
        <v>43784</v>
      </c>
      <c r="C1384" s="1" t="n">
        <v>45353</v>
      </c>
      <c r="D1384" t="inlineStr">
        <is>
          <t>SÖDERMANLANDS LÄN</t>
        </is>
      </c>
      <c r="E1384" t="inlineStr">
        <is>
          <t>ESKILSTUNA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61867-2019</t>
        </is>
      </c>
      <c r="B1385" s="1" t="n">
        <v>43784</v>
      </c>
      <c r="C1385" s="1" t="n">
        <v>45353</v>
      </c>
      <c r="D1385" t="inlineStr">
        <is>
          <t>SÖDERMANLANDS LÄN</t>
        </is>
      </c>
      <c r="E1385" t="inlineStr">
        <is>
          <t>KATRINEHOLM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62954-2019</t>
        </is>
      </c>
      <c r="B1386" s="1" t="n">
        <v>43784</v>
      </c>
      <c r="C1386" s="1" t="n">
        <v>45353</v>
      </c>
      <c r="D1386" t="inlineStr">
        <is>
          <t>SÖDERMANLANDS LÄN</t>
        </is>
      </c>
      <c r="E1386" t="inlineStr">
        <is>
          <t>GNESTA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61713-2019</t>
        </is>
      </c>
      <c r="B1387" s="1" t="n">
        <v>43784</v>
      </c>
      <c r="C1387" s="1" t="n">
        <v>45353</v>
      </c>
      <c r="D1387" t="inlineStr">
        <is>
          <t>SÖDERMANLANDS LÄN</t>
        </is>
      </c>
      <c r="E1387" t="inlineStr">
        <is>
          <t>ESKILSTUNA</t>
        </is>
      </c>
      <c r="F1387" t="inlineStr">
        <is>
          <t>Holmen skog AB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61809-2019</t>
        </is>
      </c>
      <c r="B1388" s="1" t="n">
        <v>43786</v>
      </c>
      <c r="C1388" s="1" t="n">
        <v>45353</v>
      </c>
      <c r="D1388" t="inlineStr">
        <is>
          <t>SÖDERMANLANDS LÄN</t>
        </is>
      </c>
      <c r="E1388" t="inlineStr">
        <is>
          <t>ESKILSTUNA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61821-2019</t>
        </is>
      </c>
      <c r="B1389" s="1" t="n">
        <v>43786</v>
      </c>
      <c r="C1389" s="1" t="n">
        <v>45353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61843-2019</t>
        </is>
      </c>
      <c r="B1390" s="1" t="n">
        <v>43786</v>
      </c>
      <c r="C1390" s="1" t="n">
        <v>45353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61822-2019</t>
        </is>
      </c>
      <c r="B1391" s="1" t="n">
        <v>43786</v>
      </c>
      <c r="C1391" s="1" t="n">
        <v>45353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61863-2019</t>
        </is>
      </c>
      <c r="B1392" s="1" t="n">
        <v>43787</v>
      </c>
      <c r="C1392" s="1" t="n">
        <v>45353</v>
      </c>
      <c r="D1392" t="inlineStr">
        <is>
          <t>SÖDERMANLANDS LÄN</t>
        </is>
      </c>
      <c r="E1392" t="inlineStr">
        <is>
          <t>ESKILSTUNA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61980-2019</t>
        </is>
      </c>
      <c r="B1393" s="1" t="n">
        <v>43787</v>
      </c>
      <c r="C1393" s="1" t="n">
        <v>45353</v>
      </c>
      <c r="D1393" t="inlineStr">
        <is>
          <t>SÖDERMANLANDS LÄN</t>
        </is>
      </c>
      <c r="E1393" t="inlineStr">
        <is>
          <t>ESKILSTUNA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62158-2019</t>
        </is>
      </c>
      <c r="B1394" s="1" t="n">
        <v>43787</v>
      </c>
      <c r="C1394" s="1" t="n">
        <v>45353</v>
      </c>
      <c r="D1394" t="inlineStr">
        <is>
          <t>SÖDERMANLANDS LÄN</t>
        </is>
      </c>
      <c r="E1394" t="inlineStr">
        <is>
          <t>VINGÅKER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62161-2019</t>
        </is>
      </c>
      <c r="B1395" s="1" t="n">
        <v>43787</v>
      </c>
      <c r="C1395" s="1" t="n">
        <v>45353</v>
      </c>
      <c r="D1395" t="inlineStr">
        <is>
          <t>SÖDERMANLANDS LÄN</t>
        </is>
      </c>
      <c r="E1395" t="inlineStr">
        <is>
          <t>STRÄNGNÄS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61876-2019</t>
        </is>
      </c>
      <c r="B1396" s="1" t="n">
        <v>43787</v>
      </c>
      <c r="C1396" s="1" t="n">
        <v>45353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Kommuner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61889-2019</t>
        </is>
      </c>
      <c r="B1397" s="1" t="n">
        <v>43787</v>
      </c>
      <c r="C1397" s="1" t="n">
        <v>45353</v>
      </c>
      <c r="D1397" t="inlineStr">
        <is>
          <t>SÖDERMANLANDS LÄN</t>
        </is>
      </c>
      <c r="E1397" t="inlineStr">
        <is>
          <t>FLEN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62271-2019</t>
        </is>
      </c>
      <c r="B1398" s="1" t="n">
        <v>43788</v>
      </c>
      <c r="C1398" s="1" t="n">
        <v>45353</v>
      </c>
      <c r="D1398" t="inlineStr">
        <is>
          <t>SÖDERMANLANDS LÄN</t>
        </is>
      </c>
      <c r="E1398" t="inlineStr">
        <is>
          <t>ESKILSTUNA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62257-2019</t>
        </is>
      </c>
      <c r="B1399" s="1" t="n">
        <v>43788</v>
      </c>
      <c r="C1399" s="1" t="n">
        <v>45353</v>
      </c>
      <c r="D1399" t="inlineStr">
        <is>
          <t>SÖDERMANLANDS LÄN</t>
        </is>
      </c>
      <c r="E1399" t="inlineStr">
        <is>
          <t>ESKILSTUNA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62272-2019</t>
        </is>
      </c>
      <c r="B1400" s="1" t="n">
        <v>43788</v>
      </c>
      <c r="C1400" s="1" t="n">
        <v>45353</v>
      </c>
      <c r="D1400" t="inlineStr">
        <is>
          <t>SÖDERMANLANDS LÄN</t>
        </is>
      </c>
      <c r="E1400" t="inlineStr">
        <is>
          <t>NYKÖPING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62315-2019</t>
        </is>
      </c>
      <c r="B1401" s="1" t="n">
        <v>43788</v>
      </c>
      <c r="C1401" s="1" t="n">
        <v>45353</v>
      </c>
      <c r="D1401" t="inlineStr">
        <is>
          <t>SÖDERMANLANDS LÄN</t>
        </is>
      </c>
      <c r="E1401" t="inlineStr">
        <is>
          <t>ESKILSTUNA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62324-2019</t>
        </is>
      </c>
      <c r="B1402" s="1" t="n">
        <v>43788</v>
      </c>
      <c r="C1402" s="1" t="n">
        <v>45353</v>
      </c>
      <c r="D1402" t="inlineStr">
        <is>
          <t>SÖDERMANLANDS LÄN</t>
        </is>
      </c>
      <c r="E1402" t="inlineStr">
        <is>
          <t>NYKÖPING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62471-2019</t>
        </is>
      </c>
      <c r="B1403" s="1" t="n">
        <v>43788</v>
      </c>
      <c r="C1403" s="1" t="n">
        <v>45353</v>
      </c>
      <c r="D1403" t="inlineStr">
        <is>
          <t>SÖDERMANLANDS LÄN</t>
        </is>
      </c>
      <c r="E1403" t="inlineStr">
        <is>
          <t>ESKILSTUNA</t>
        </is>
      </c>
      <c r="G1403" t="n">
        <v>11.7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62510-2019</t>
        </is>
      </c>
      <c r="B1404" s="1" t="n">
        <v>43788</v>
      </c>
      <c r="C1404" s="1" t="n">
        <v>45353</v>
      </c>
      <c r="D1404" t="inlineStr">
        <is>
          <t>SÖDERMANLANDS LÄN</t>
        </is>
      </c>
      <c r="E1404" t="inlineStr">
        <is>
          <t>ESKILSTUNA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62467-2019</t>
        </is>
      </c>
      <c r="B1405" s="1" t="n">
        <v>43788</v>
      </c>
      <c r="C1405" s="1" t="n">
        <v>45353</v>
      </c>
      <c r="D1405" t="inlineStr">
        <is>
          <t>SÖDERMANLANDS LÄN</t>
        </is>
      </c>
      <c r="E1405" t="inlineStr">
        <is>
          <t>ESKILSTUNA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62469-2019</t>
        </is>
      </c>
      <c r="B1406" s="1" t="n">
        <v>43788</v>
      </c>
      <c r="C1406" s="1" t="n">
        <v>45353</v>
      </c>
      <c r="D1406" t="inlineStr">
        <is>
          <t>SÖDERMANLANDS LÄN</t>
        </is>
      </c>
      <c r="E1406" t="inlineStr">
        <is>
          <t>ESKILSTUNA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62566-2019</t>
        </is>
      </c>
      <c r="B1407" s="1" t="n">
        <v>43789</v>
      </c>
      <c r="C1407" s="1" t="n">
        <v>45353</v>
      </c>
      <c r="D1407" t="inlineStr">
        <is>
          <t>SÖDERMANLANDS LÄN</t>
        </is>
      </c>
      <c r="E1407" t="inlineStr">
        <is>
          <t>STRÄNGNÄS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62676-2019</t>
        </is>
      </c>
      <c r="B1408" s="1" t="n">
        <v>43789</v>
      </c>
      <c r="C1408" s="1" t="n">
        <v>45353</v>
      </c>
      <c r="D1408" t="inlineStr">
        <is>
          <t>SÖDERMANLANDS LÄN</t>
        </is>
      </c>
      <c r="E1408" t="inlineStr">
        <is>
          <t>ESKILSTUNA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62874-2019</t>
        </is>
      </c>
      <c r="B1409" s="1" t="n">
        <v>43790</v>
      </c>
      <c r="C1409" s="1" t="n">
        <v>45353</v>
      </c>
      <c r="D1409" t="inlineStr">
        <is>
          <t>SÖDERMANLANDS LÄN</t>
        </is>
      </c>
      <c r="E1409" t="inlineStr">
        <is>
          <t>STRÄNGNÄS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62962-2019</t>
        </is>
      </c>
      <c r="B1410" s="1" t="n">
        <v>43790</v>
      </c>
      <c r="C1410" s="1" t="n">
        <v>45353</v>
      </c>
      <c r="D1410" t="inlineStr">
        <is>
          <t>SÖDERMANLANDS LÄN</t>
        </is>
      </c>
      <c r="E1410" t="inlineStr">
        <is>
          <t>GNESTA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62977-2019</t>
        </is>
      </c>
      <c r="B1411" s="1" t="n">
        <v>43790</v>
      </c>
      <c r="C1411" s="1" t="n">
        <v>45353</v>
      </c>
      <c r="D1411" t="inlineStr">
        <is>
          <t>SÖDERMANLANDS LÄN</t>
        </is>
      </c>
      <c r="E1411" t="inlineStr">
        <is>
          <t>ESKILSTUNA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62982-2019</t>
        </is>
      </c>
      <c r="B1412" s="1" t="n">
        <v>43790</v>
      </c>
      <c r="C1412" s="1" t="n">
        <v>45353</v>
      </c>
      <c r="D1412" t="inlineStr">
        <is>
          <t>SÖDERMANLANDS LÄN</t>
        </is>
      </c>
      <c r="E1412" t="inlineStr">
        <is>
          <t>ESKILSTUNA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63001-2019</t>
        </is>
      </c>
      <c r="B1413" s="1" t="n">
        <v>43790</v>
      </c>
      <c r="C1413" s="1" t="n">
        <v>45353</v>
      </c>
      <c r="D1413" t="inlineStr">
        <is>
          <t>SÖDERMANLANDS LÄN</t>
        </is>
      </c>
      <c r="E1413" t="inlineStr">
        <is>
          <t>ESKILSTUNA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63732-2019</t>
        </is>
      </c>
      <c r="B1414" s="1" t="n">
        <v>43790</v>
      </c>
      <c r="C1414" s="1" t="n">
        <v>45353</v>
      </c>
      <c r="D1414" t="inlineStr">
        <is>
          <t>SÖDERMANLANDS LÄN</t>
        </is>
      </c>
      <c r="E1414" t="inlineStr">
        <is>
          <t>TROSA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62995-2019</t>
        </is>
      </c>
      <c r="B1415" s="1" t="n">
        <v>43790</v>
      </c>
      <c r="C1415" s="1" t="n">
        <v>45353</v>
      </c>
      <c r="D1415" t="inlineStr">
        <is>
          <t>SÖDERMANLANDS LÄN</t>
        </is>
      </c>
      <c r="E1415" t="inlineStr">
        <is>
          <t>ESKILSTUNA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63058-2019</t>
        </is>
      </c>
      <c r="B1416" s="1" t="n">
        <v>43791</v>
      </c>
      <c r="C1416" s="1" t="n">
        <v>45353</v>
      </c>
      <c r="D1416" t="inlineStr">
        <is>
          <t>SÖDERMANLANDS LÄN</t>
        </is>
      </c>
      <c r="E1416" t="inlineStr">
        <is>
          <t>STRÄNGNÄS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63120-2019</t>
        </is>
      </c>
      <c r="B1417" s="1" t="n">
        <v>43791</v>
      </c>
      <c r="C1417" s="1" t="n">
        <v>45353</v>
      </c>
      <c r="D1417" t="inlineStr">
        <is>
          <t>SÖDERMANLANDS LÄN</t>
        </is>
      </c>
      <c r="E1417" t="inlineStr">
        <is>
          <t>ESKILSTUNA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64409-2019</t>
        </is>
      </c>
      <c r="B1418" s="1" t="n">
        <v>43793</v>
      </c>
      <c r="C1418" s="1" t="n">
        <v>45353</v>
      </c>
      <c r="D1418" t="inlineStr">
        <is>
          <t>SÖDERMANLANDS LÄN</t>
        </is>
      </c>
      <c r="E1418" t="inlineStr">
        <is>
          <t>KATRINEHOLM</t>
        </is>
      </c>
      <c r="G1418" t="n">
        <v>15.8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64364-2019</t>
        </is>
      </c>
      <c r="B1419" s="1" t="n">
        <v>43793</v>
      </c>
      <c r="C1419" s="1" t="n">
        <v>45353</v>
      </c>
      <c r="D1419" t="inlineStr">
        <is>
          <t>SÖDERMANLANDS LÄN</t>
        </is>
      </c>
      <c r="E1419" t="inlineStr">
        <is>
          <t>KATRINEHOLM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63275-2019</t>
        </is>
      </c>
      <c r="B1420" s="1" t="n">
        <v>43794</v>
      </c>
      <c r="C1420" s="1" t="n">
        <v>45353</v>
      </c>
      <c r="D1420" t="inlineStr">
        <is>
          <t>SÖDERMANLANDS LÄN</t>
        </is>
      </c>
      <c r="E1420" t="inlineStr">
        <is>
          <t>KATRINEHOLM</t>
        </is>
      </c>
      <c r="G1420" t="n">
        <v>13.2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63343-2019</t>
        </is>
      </c>
      <c r="B1421" s="1" t="n">
        <v>43794</v>
      </c>
      <c r="C1421" s="1" t="n">
        <v>45353</v>
      </c>
      <c r="D1421" t="inlineStr">
        <is>
          <t>SÖDERMANLANDS LÄN</t>
        </is>
      </c>
      <c r="E1421" t="inlineStr">
        <is>
          <t>TROSA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63377-2019</t>
        </is>
      </c>
      <c r="B1422" s="1" t="n">
        <v>43794</v>
      </c>
      <c r="C1422" s="1" t="n">
        <v>45353</v>
      </c>
      <c r="D1422" t="inlineStr">
        <is>
          <t>SÖDERMANLANDS LÄN</t>
        </is>
      </c>
      <c r="E1422" t="inlineStr">
        <is>
          <t>VINGÅKER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64580-2019</t>
        </is>
      </c>
      <c r="B1423" s="1" t="n">
        <v>43794</v>
      </c>
      <c r="C1423" s="1" t="n">
        <v>45353</v>
      </c>
      <c r="D1423" t="inlineStr">
        <is>
          <t>SÖDERMANLANDS LÄN</t>
        </is>
      </c>
      <c r="E1423" t="inlineStr">
        <is>
          <t>FLEN</t>
        </is>
      </c>
      <c r="F1423" t="inlineStr">
        <is>
          <t>Övriga statliga verk och myndigheter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63541-2019</t>
        </is>
      </c>
      <c r="B1424" s="1" t="n">
        <v>43794</v>
      </c>
      <c r="C1424" s="1" t="n">
        <v>45353</v>
      </c>
      <c r="D1424" t="inlineStr">
        <is>
          <t>SÖDERMANLANDS LÄN</t>
        </is>
      </c>
      <c r="E1424" t="inlineStr">
        <is>
          <t>VINGÅKER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63566-2019</t>
        </is>
      </c>
      <c r="B1425" s="1" t="n">
        <v>43795</v>
      </c>
      <c r="C1425" s="1" t="n">
        <v>45353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63580-2019</t>
        </is>
      </c>
      <c r="B1426" s="1" t="n">
        <v>43795</v>
      </c>
      <c r="C1426" s="1" t="n">
        <v>45353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63575-2019</t>
        </is>
      </c>
      <c r="B1427" s="1" t="n">
        <v>43795</v>
      </c>
      <c r="C1427" s="1" t="n">
        <v>45353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63696-2019</t>
        </is>
      </c>
      <c r="B1428" s="1" t="n">
        <v>43795</v>
      </c>
      <c r="C1428" s="1" t="n">
        <v>45353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63586-2019</t>
        </is>
      </c>
      <c r="B1429" s="1" t="n">
        <v>43795</v>
      </c>
      <c r="C1429" s="1" t="n">
        <v>45353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9.199999999999999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63712-2019</t>
        </is>
      </c>
      <c r="B1430" s="1" t="n">
        <v>43795</v>
      </c>
      <c r="C1430" s="1" t="n">
        <v>45353</v>
      </c>
      <c r="D1430" t="inlineStr">
        <is>
          <t>SÖDERMANLANDS LÄN</t>
        </is>
      </c>
      <c r="E1430" t="inlineStr">
        <is>
          <t>KATRINEHOLM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63822-2019</t>
        </is>
      </c>
      <c r="B1431" s="1" t="n">
        <v>43795</v>
      </c>
      <c r="C1431" s="1" t="n">
        <v>45353</v>
      </c>
      <c r="D1431" t="inlineStr">
        <is>
          <t>SÖDERMANLANDS LÄN</t>
        </is>
      </c>
      <c r="E1431" t="inlineStr">
        <is>
          <t>NYKÖPING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63758-2019</t>
        </is>
      </c>
      <c r="B1432" s="1" t="n">
        <v>43795</v>
      </c>
      <c r="C1432" s="1" t="n">
        <v>45353</v>
      </c>
      <c r="D1432" t="inlineStr">
        <is>
          <t>SÖDERMANLANDS LÄN</t>
        </is>
      </c>
      <c r="E1432" t="inlineStr">
        <is>
          <t>FLEN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64222-2019</t>
        </is>
      </c>
      <c r="B1433" s="1" t="n">
        <v>43797</v>
      </c>
      <c r="C1433" s="1" t="n">
        <v>45353</v>
      </c>
      <c r="D1433" t="inlineStr">
        <is>
          <t>SÖDERMANLANDS LÄN</t>
        </is>
      </c>
      <c r="E1433" t="inlineStr">
        <is>
          <t>ESKILSTUNA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64167-2019</t>
        </is>
      </c>
      <c r="B1434" s="1" t="n">
        <v>43797</v>
      </c>
      <c r="C1434" s="1" t="n">
        <v>45353</v>
      </c>
      <c r="D1434" t="inlineStr">
        <is>
          <t>SÖDERMANLANDS LÄN</t>
        </is>
      </c>
      <c r="E1434" t="inlineStr">
        <is>
          <t>STRÄNGNÄS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65370-2019</t>
        </is>
      </c>
      <c r="B1435" s="1" t="n">
        <v>43797</v>
      </c>
      <c r="C1435" s="1" t="n">
        <v>45353</v>
      </c>
      <c r="D1435" t="inlineStr">
        <is>
          <t>SÖDERMANLANDS LÄN</t>
        </is>
      </c>
      <c r="E1435" t="inlineStr">
        <is>
          <t>TROSA</t>
        </is>
      </c>
      <c r="G1435" t="n">
        <v>52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64576-2019</t>
        </is>
      </c>
      <c r="B1436" s="1" t="n">
        <v>43798</v>
      </c>
      <c r="C1436" s="1" t="n">
        <v>45353</v>
      </c>
      <c r="D1436" t="inlineStr">
        <is>
          <t>SÖDERMANLANDS LÄN</t>
        </is>
      </c>
      <c r="E1436" t="inlineStr">
        <is>
          <t>FLEN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64711-2019</t>
        </is>
      </c>
      <c r="B1437" s="1" t="n">
        <v>43798</v>
      </c>
      <c r="C1437" s="1" t="n">
        <v>45353</v>
      </c>
      <c r="D1437" t="inlineStr">
        <is>
          <t>SÖDERMANLANDS LÄN</t>
        </is>
      </c>
      <c r="E1437" t="inlineStr">
        <is>
          <t>KATRINEHOLM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64737-2019</t>
        </is>
      </c>
      <c r="B1438" s="1" t="n">
        <v>43800</v>
      </c>
      <c r="C1438" s="1" t="n">
        <v>45353</v>
      </c>
      <c r="D1438" t="inlineStr">
        <is>
          <t>SÖDERMANLANDS LÄN</t>
        </is>
      </c>
      <c r="E1438" t="inlineStr">
        <is>
          <t>NYKÖPING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64795-2019</t>
        </is>
      </c>
      <c r="B1439" s="1" t="n">
        <v>43801</v>
      </c>
      <c r="C1439" s="1" t="n">
        <v>45353</v>
      </c>
      <c r="D1439" t="inlineStr">
        <is>
          <t>SÖDERMANLANDS LÄN</t>
        </is>
      </c>
      <c r="E1439" t="inlineStr">
        <is>
          <t>STRÄNGNÄS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64977-2019</t>
        </is>
      </c>
      <c r="B1440" s="1" t="n">
        <v>43801</v>
      </c>
      <c r="C1440" s="1" t="n">
        <v>45353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Sveaskog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65305-2019</t>
        </is>
      </c>
      <c r="B1441" s="1" t="n">
        <v>43802</v>
      </c>
      <c r="C1441" s="1" t="n">
        <v>45353</v>
      </c>
      <c r="D1441" t="inlineStr">
        <is>
          <t>SÖDERMANLANDS LÄN</t>
        </is>
      </c>
      <c r="E1441" t="inlineStr">
        <is>
          <t>KATRINEHOLM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65301-2019</t>
        </is>
      </c>
      <c r="B1442" s="1" t="n">
        <v>43802</v>
      </c>
      <c r="C1442" s="1" t="n">
        <v>45353</v>
      </c>
      <c r="D1442" t="inlineStr">
        <is>
          <t>SÖDERMANLANDS LÄN</t>
        </is>
      </c>
      <c r="E1442" t="inlineStr">
        <is>
          <t>KATRINEHOLM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65245-2019</t>
        </is>
      </c>
      <c r="B1443" s="1" t="n">
        <v>43802</v>
      </c>
      <c r="C1443" s="1" t="n">
        <v>45353</v>
      </c>
      <c r="D1443" t="inlineStr">
        <is>
          <t>SÖDERMANLANDS LÄN</t>
        </is>
      </c>
      <c r="E1443" t="inlineStr">
        <is>
          <t>KATRINEHOLM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65307-2019</t>
        </is>
      </c>
      <c r="B1444" s="1" t="n">
        <v>43802</v>
      </c>
      <c r="C1444" s="1" t="n">
        <v>45353</v>
      </c>
      <c r="D1444" t="inlineStr">
        <is>
          <t>SÖDERMANLANDS LÄN</t>
        </is>
      </c>
      <c r="E1444" t="inlineStr">
        <is>
          <t>KATRINEHOLM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65523-2019</t>
        </is>
      </c>
      <c r="B1445" s="1" t="n">
        <v>43803</v>
      </c>
      <c r="C1445" s="1" t="n">
        <v>45353</v>
      </c>
      <c r="D1445" t="inlineStr">
        <is>
          <t>SÖDERMANLANDS LÄN</t>
        </is>
      </c>
      <c r="E1445" t="inlineStr">
        <is>
          <t>ESKILSTUNA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65346-2019</t>
        </is>
      </c>
      <c r="B1446" s="1" t="n">
        <v>43803</v>
      </c>
      <c r="C1446" s="1" t="n">
        <v>45353</v>
      </c>
      <c r="D1446" t="inlineStr">
        <is>
          <t>SÖDERMANLANDS LÄN</t>
        </is>
      </c>
      <c r="E1446" t="inlineStr">
        <is>
          <t>FLEN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65575-2019</t>
        </is>
      </c>
      <c r="B1447" s="1" t="n">
        <v>43803</v>
      </c>
      <c r="C1447" s="1" t="n">
        <v>45353</v>
      </c>
      <c r="D1447" t="inlineStr">
        <is>
          <t>SÖDERMANLANDS LÄN</t>
        </is>
      </c>
      <c r="E1447" t="inlineStr">
        <is>
          <t>GNESTA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65657-2019</t>
        </is>
      </c>
      <c r="B1448" s="1" t="n">
        <v>43804</v>
      </c>
      <c r="C1448" s="1" t="n">
        <v>45353</v>
      </c>
      <c r="D1448" t="inlineStr">
        <is>
          <t>SÖDERMANLANDS LÄN</t>
        </is>
      </c>
      <c r="E1448" t="inlineStr">
        <is>
          <t>ESKILSTUNA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65747-2019</t>
        </is>
      </c>
      <c r="B1449" s="1" t="n">
        <v>43804</v>
      </c>
      <c r="C1449" s="1" t="n">
        <v>45353</v>
      </c>
      <c r="D1449" t="inlineStr">
        <is>
          <t>SÖDERMANLANDS LÄN</t>
        </is>
      </c>
      <c r="E1449" t="inlineStr">
        <is>
          <t>ESKILSTUNA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65588-2019</t>
        </is>
      </c>
      <c r="B1450" s="1" t="n">
        <v>43804</v>
      </c>
      <c r="C1450" s="1" t="n">
        <v>45353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65766-2019</t>
        </is>
      </c>
      <c r="B1451" s="1" t="n">
        <v>43804</v>
      </c>
      <c r="C1451" s="1" t="n">
        <v>45353</v>
      </c>
      <c r="D1451" t="inlineStr">
        <is>
          <t>SÖDERMANLANDS LÄN</t>
        </is>
      </c>
      <c r="E1451" t="inlineStr">
        <is>
          <t>ESKILSTUNA</t>
        </is>
      </c>
      <c r="F1451" t="inlineStr">
        <is>
          <t>Kyrkan</t>
        </is>
      </c>
      <c r="G1451" t="n">
        <v>14.9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66876-2019</t>
        </is>
      </c>
      <c r="B1452" s="1" t="n">
        <v>43804</v>
      </c>
      <c r="C1452" s="1" t="n">
        <v>45353</v>
      </c>
      <c r="D1452" t="inlineStr">
        <is>
          <t>SÖDERMANLANDS LÄN</t>
        </is>
      </c>
      <c r="E1452" t="inlineStr">
        <is>
          <t>ESKILSTUNA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65773-2019</t>
        </is>
      </c>
      <c r="B1453" s="1" t="n">
        <v>43804</v>
      </c>
      <c r="C1453" s="1" t="n">
        <v>45353</v>
      </c>
      <c r="D1453" t="inlineStr">
        <is>
          <t>SÖDERMANLANDS LÄN</t>
        </is>
      </c>
      <c r="E1453" t="inlineStr">
        <is>
          <t>NYKÖPING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65680-2019</t>
        </is>
      </c>
      <c r="B1454" s="1" t="n">
        <v>43804</v>
      </c>
      <c r="C1454" s="1" t="n">
        <v>45353</v>
      </c>
      <c r="D1454" t="inlineStr">
        <is>
          <t>SÖDERMANLANDS LÄN</t>
        </is>
      </c>
      <c r="E1454" t="inlineStr">
        <is>
          <t>VINGÅKER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67164-2019</t>
        </is>
      </c>
      <c r="B1455" s="1" t="n">
        <v>43804</v>
      </c>
      <c r="C1455" s="1" t="n">
        <v>45353</v>
      </c>
      <c r="D1455" t="inlineStr">
        <is>
          <t>SÖDERMANLANDS LÄN</t>
        </is>
      </c>
      <c r="E1455" t="inlineStr">
        <is>
          <t>ESKILSTUNA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65961-2019</t>
        </is>
      </c>
      <c r="B1456" s="1" t="n">
        <v>43805</v>
      </c>
      <c r="C1456" s="1" t="n">
        <v>45353</v>
      </c>
      <c r="D1456" t="inlineStr">
        <is>
          <t>SÖDERMANLANDS LÄN</t>
        </is>
      </c>
      <c r="E1456" t="inlineStr">
        <is>
          <t>ESKILSTUNA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65978-2019</t>
        </is>
      </c>
      <c r="B1457" s="1" t="n">
        <v>43805</v>
      </c>
      <c r="C1457" s="1" t="n">
        <v>45353</v>
      </c>
      <c r="D1457" t="inlineStr">
        <is>
          <t>SÖDERMANLANDS LÄN</t>
        </is>
      </c>
      <c r="E1457" t="inlineStr">
        <is>
          <t>NYKÖPING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66901-2019</t>
        </is>
      </c>
      <c r="B1458" s="1" t="n">
        <v>43805</v>
      </c>
      <c r="C1458" s="1" t="n">
        <v>45353</v>
      </c>
      <c r="D1458" t="inlineStr">
        <is>
          <t>SÖDERMANLANDS LÄN</t>
        </is>
      </c>
      <c r="E1458" t="inlineStr">
        <is>
          <t>ESKILSTUNA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66226-2019</t>
        </is>
      </c>
      <c r="B1459" s="1" t="n">
        <v>43808</v>
      </c>
      <c r="C1459" s="1" t="n">
        <v>45353</v>
      </c>
      <c r="D1459" t="inlineStr">
        <is>
          <t>SÖDERMANLANDS LÄN</t>
        </is>
      </c>
      <c r="E1459" t="inlineStr">
        <is>
          <t>NYKÖPING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66285-2019</t>
        </is>
      </c>
      <c r="B1460" s="1" t="n">
        <v>43808</v>
      </c>
      <c r="C1460" s="1" t="n">
        <v>45353</v>
      </c>
      <c r="D1460" t="inlineStr">
        <is>
          <t>SÖDERMANLANDS LÄN</t>
        </is>
      </c>
      <c r="E1460" t="inlineStr">
        <is>
          <t>ESKILSTUNA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66363-2019</t>
        </is>
      </c>
      <c r="B1461" s="1" t="n">
        <v>43808</v>
      </c>
      <c r="C1461" s="1" t="n">
        <v>45353</v>
      </c>
      <c r="D1461" t="inlineStr">
        <is>
          <t>SÖDERMANLANDS LÄN</t>
        </is>
      </c>
      <c r="E1461" t="inlineStr">
        <is>
          <t>ESKILSTUNA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67320-2019</t>
        </is>
      </c>
      <c r="B1462" s="1" t="n">
        <v>43808</v>
      </c>
      <c r="C1462" s="1" t="n">
        <v>45353</v>
      </c>
      <c r="D1462" t="inlineStr">
        <is>
          <t>SÖDERMANLANDS LÄN</t>
        </is>
      </c>
      <c r="E1462" t="inlineStr">
        <is>
          <t>ESKILSTUNA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66360-2019</t>
        </is>
      </c>
      <c r="B1463" s="1" t="n">
        <v>43808</v>
      </c>
      <c r="C1463" s="1" t="n">
        <v>45353</v>
      </c>
      <c r="D1463" t="inlineStr">
        <is>
          <t>SÖDERMANLANDS LÄN</t>
        </is>
      </c>
      <c r="E1463" t="inlineStr">
        <is>
          <t>ESKILSTUNA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67307-2019</t>
        </is>
      </c>
      <c r="B1464" s="1" t="n">
        <v>43808</v>
      </c>
      <c r="C1464" s="1" t="n">
        <v>45353</v>
      </c>
      <c r="D1464" t="inlineStr">
        <is>
          <t>SÖDERMANLANDS LÄN</t>
        </is>
      </c>
      <c r="E1464" t="inlineStr">
        <is>
          <t>ESKILSTUNA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66407-2019</t>
        </is>
      </c>
      <c r="B1465" s="1" t="n">
        <v>43809</v>
      </c>
      <c r="C1465" s="1" t="n">
        <v>45353</v>
      </c>
      <c r="D1465" t="inlineStr">
        <is>
          <t>SÖDERMANLANDS LÄN</t>
        </is>
      </c>
      <c r="E1465" t="inlineStr">
        <is>
          <t>KATRINEHOLM</t>
        </is>
      </c>
      <c r="F1465" t="inlineStr">
        <is>
          <t>Övriga Aktiebolag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66587-2019</t>
        </is>
      </c>
      <c r="B1466" s="1" t="n">
        <v>43809</v>
      </c>
      <c r="C1466" s="1" t="n">
        <v>45353</v>
      </c>
      <c r="D1466" t="inlineStr">
        <is>
          <t>SÖDERMANLANDS LÄN</t>
        </is>
      </c>
      <c r="E1466" t="inlineStr">
        <is>
          <t>NYKÖPING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66647-2019</t>
        </is>
      </c>
      <c r="B1467" s="1" t="n">
        <v>43809</v>
      </c>
      <c r="C1467" s="1" t="n">
        <v>45353</v>
      </c>
      <c r="D1467" t="inlineStr">
        <is>
          <t>SÖDERMANLANDS LÄN</t>
        </is>
      </c>
      <c r="E1467" t="inlineStr">
        <is>
          <t>TROSA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66636-2019</t>
        </is>
      </c>
      <c r="B1468" s="1" t="n">
        <v>43809</v>
      </c>
      <c r="C1468" s="1" t="n">
        <v>45353</v>
      </c>
      <c r="D1468" t="inlineStr">
        <is>
          <t>SÖDERMANLANDS LÄN</t>
        </is>
      </c>
      <c r="E1468" t="inlineStr">
        <is>
          <t>NYKÖPING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66676-2019</t>
        </is>
      </c>
      <c r="B1469" s="1" t="n">
        <v>43809</v>
      </c>
      <c r="C1469" s="1" t="n">
        <v>45353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66686-2019</t>
        </is>
      </c>
      <c r="B1470" s="1" t="n">
        <v>43809</v>
      </c>
      <c r="C1470" s="1" t="n">
        <v>45353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67661-2019</t>
        </is>
      </c>
      <c r="B1471" s="1" t="n">
        <v>43809</v>
      </c>
      <c r="C1471" s="1" t="n">
        <v>45353</v>
      </c>
      <c r="D1471" t="inlineStr">
        <is>
          <t>SÖDERMANLANDS LÄN</t>
        </is>
      </c>
      <c r="E1471" t="inlineStr">
        <is>
          <t>STRÄNGNÄS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66860-2019</t>
        </is>
      </c>
      <c r="B1472" s="1" t="n">
        <v>43810</v>
      </c>
      <c r="C1472" s="1" t="n">
        <v>45353</v>
      </c>
      <c r="D1472" t="inlineStr">
        <is>
          <t>SÖDERMANLANDS LÄN</t>
        </is>
      </c>
      <c r="E1472" t="inlineStr">
        <is>
          <t>KATRINEHOLM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66826-2019</t>
        </is>
      </c>
      <c r="B1473" s="1" t="n">
        <v>43810</v>
      </c>
      <c r="C1473" s="1" t="n">
        <v>45353</v>
      </c>
      <c r="D1473" t="inlineStr">
        <is>
          <t>SÖDERMANLANDS LÄN</t>
        </is>
      </c>
      <c r="E1473" t="inlineStr">
        <is>
          <t>KATRINEHOLM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66879-2019</t>
        </is>
      </c>
      <c r="B1474" s="1" t="n">
        <v>43810</v>
      </c>
      <c r="C1474" s="1" t="n">
        <v>45353</v>
      </c>
      <c r="D1474" t="inlineStr">
        <is>
          <t>SÖDERMANLANDS LÄN</t>
        </is>
      </c>
      <c r="E1474" t="inlineStr">
        <is>
          <t>KATRINEHOLM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66790-2019</t>
        </is>
      </c>
      <c r="B1475" s="1" t="n">
        <v>43810</v>
      </c>
      <c r="C1475" s="1" t="n">
        <v>45353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66821-2019</t>
        </is>
      </c>
      <c r="B1476" s="1" t="n">
        <v>43810</v>
      </c>
      <c r="C1476" s="1" t="n">
        <v>45353</v>
      </c>
      <c r="D1476" t="inlineStr">
        <is>
          <t>SÖDERMANLANDS LÄN</t>
        </is>
      </c>
      <c r="E1476" t="inlineStr">
        <is>
          <t>KATRINEHOLM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66851-2019</t>
        </is>
      </c>
      <c r="B1477" s="1" t="n">
        <v>43810</v>
      </c>
      <c r="C1477" s="1" t="n">
        <v>45353</v>
      </c>
      <c r="D1477" t="inlineStr">
        <is>
          <t>SÖDERMANLANDS LÄN</t>
        </is>
      </c>
      <c r="E1477" t="inlineStr">
        <is>
          <t>KATRINEHOLM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67405-2019</t>
        </is>
      </c>
      <c r="B1478" s="1" t="n">
        <v>43811</v>
      </c>
      <c r="C1478" s="1" t="n">
        <v>45353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68476-2019</t>
        </is>
      </c>
      <c r="B1479" s="1" t="n">
        <v>43811</v>
      </c>
      <c r="C1479" s="1" t="n">
        <v>45353</v>
      </c>
      <c r="D1479" t="inlineStr">
        <is>
          <t>SÖDERMANLANDS LÄN</t>
        </is>
      </c>
      <c r="E1479" t="inlineStr">
        <is>
          <t>FLEN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67393-2019</t>
        </is>
      </c>
      <c r="B1480" s="1" t="n">
        <v>43811</v>
      </c>
      <c r="C1480" s="1" t="n">
        <v>45353</v>
      </c>
      <c r="D1480" t="inlineStr">
        <is>
          <t>SÖDERMANLANDS LÄN</t>
        </is>
      </c>
      <c r="E1480" t="inlineStr">
        <is>
          <t>NYKÖPING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68491-2019</t>
        </is>
      </c>
      <c r="B1481" s="1" t="n">
        <v>43811</v>
      </c>
      <c r="C1481" s="1" t="n">
        <v>45353</v>
      </c>
      <c r="D1481" t="inlineStr">
        <is>
          <t>SÖDERMANLANDS LÄN</t>
        </is>
      </c>
      <c r="E1481" t="inlineStr">
        <is>
          <t>FLEN</t>
        </is>
      </c>
      <c r="F1481" t="inlineStr">
        <is>
          <t>Övriga statliga verk och myndigheter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68481-2019</t>
        </is>
      </c>
      <c r="B1482" s="1" t="n">
        <v>43811</v>
      </c>
      <c r="C1482" s="1" t="n">
        <v>45353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67311-2019</t>
        </is>
      </c>
      <c r="B1483" s="1" t="n">
        <v>43812</v>
      </c>
      <c r="C1483" s="1" t="n">
        <v>45353</v>
      </c>
      <c r="D1483" t="inlineStr">
        <is>
          <t>SÖDERMANLANDS LÄN</t>
        </is>
      </c>
      <c r="E1483" t="inlineStr">
        <is>
          <t>ESKILSTUNA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67327-2019</t>
        </is>
      </c>
      <c r="B1484" s="1" t="n">
        <v>43812</v>
      </c>
      <c r="C1484" s="1" t="n">
        <v>45353</v>
      </c>
      <c r="D1484" t="inlineStr">
        <is>
          <t>SÖDERMANLANDS LÄN</t>
        </is>
      </c>
      <c r="E1484" t="inlineStr">
        <is>
          <t>ESKILSTUNA</t>
        </is>
      </c>
      <c r="G1484" t="n">
        <v>14.1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67306-2019</t>
        </is>
      </c>
      <c r="B1485" s="1" t="n">
        <v>43812</v>
      </c>
      <c r="C1485" s="1" t="n">
        <v>45353</v>
      </c>
      <c r="D1485" t="inlineStr">
        <is>
          <t>SÖDERMANLANDS LÄN</t>
        </is>
      </c>
      <c r="E1485" t="inlineStr">
        <is>
          <t>ESKILSTUNA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67321-2019</t>
        </is>
      </c>
      <c r="B1486" s="1" t="n">
        <v>43812</v>
      </c>
      <c r="C1486" s="1" t="n">
        <v>45353</v>
      </c>
      <c r="D1486" t="inlineStr">
        <is>
          <t>SÖDERMANLANDS LÄN</t>
        </is>
      </c>
      <c r="E1486" t="inlineStr">
        <is>
          <t>ESKILSTUNA</t>
        </is>
      </c>
      <c r="G1486" t="n">
        <v>13.7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67270-2019</t>
        </is>
      </c>
      <c r="B1487" s="1" t="n">
        <v>43812</v>
      </c>
      <c r="C1487" s="1" t="n">
        <v>45353</v>
      </c>
      <c r="D1487" t="inlineStr">
        <is>
          <t>SÖDERMANLANDS LÄN</t>
        </is>
      </c>
      <c r="E1487" t="inlineStr">
        <is>
          <t>KATRINEHOLM</t>
        </is>
      </c>
      <c r="F1487" t="inlineStr">
        <is>
          <t>Kyrkan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67401-2019</t>
        </is>
      </c>
      <c r="B1488" s="1" t="n">
        <v>43812</v>
      </c>
      <c r="C1488" s="1" t="n">
        <v>45353</v>
      </c>
      <c r="D1488" t="inlineStr">
        <is>
          <t>SÖDERMANLANDS LÄN</t>
        </is>
      </c>
      <c r="E1488" t="inlineStr">
        <is>
          <t>STRÄNGNÄS</t>
        </is>
      </c>
      <c r="F1488" t="inlineStr">
        <is>
          <t>Övriga Aktiebolag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67340-2019</t>
        </is>
      </c>
      <c r="B1489" s="1" t="n">
        <v>43812</v>
      </c>
      <c r="C1489" s="1" t="n">
        <v>45353</v>
      </c>
      <c r="D1489" t="inlineStr">
        <is>
          <t>SÖDERMANLANDS LÄN</t>
        </is>
      </c>
      <c r="E1489" t="inlineStr">
        <is>
          <t>VINGÅKER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67955-2019</t>
        </is>
      </c>
      <c r="B1490" s="1" t="n">
        <v>43816</v>
      </c>
      <c r="C1490" s="1" t="n">
        <v>45353</v>
      </c>
      <c r="D1490" t="inlineStr">
        <is>
          <t>SÖDERMANLANDS LÄN</t>
        </is>
      </c>
      <c r="E1490" t="inlineStr">
        <is>
          <t>ESKILSTUNA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769-2020</t>
        </is>
      </c>
      <c r="B1491" s="1" t="n">
        <v>43817</v>
      </c>
      <c r="C1491" s="1" t="n">
        <v>45353</v>
      </c>
      <c r="D1491" t="inlineStr">
        <is>
          <t>SÖDERMANLANDS LÄN</t>
        </is>
      </c>
      <c r="E1491" t="inlineStr">
        <is>
          <t>VINGÅKER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859-2020</t>
        </is>
      </c>
      <c r="B1492" s="1" t="n">
        <v>43818</v>
      </c>
      <c r="C1492" s="1" t="n">
        <v>45353</v>
      </c>
      <c r="D1492" t="inlineStr">
        <is>
          <t>SÖDERMANLANDS LÄN</t>
        </is>
      </c>
      <c r="E1492" t="inlineStr">
        <is>
          <t>NYKÖPING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68651-2019</t>
        </is>
      </c>
      <c r="B1493" s="1" t="n">
        <v>43819</v>
      </c>
      <c r="C1493" s="1" t="n">
        <v>45353</v>
      </c>
      <c r="D1493" t="inlineStr">
        <is>
          <t>SÖDERMANLANDS LÄN</t>
        </is>
      </c>
      <c r="E1493" t="inlineStr">
        <is>
          <t>NYKÖPING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1367-2020</t>
        </is>
      </c>
      <c r="B1494" s="1" t="n">
        <v>43822</v>
      </c>
      <c r="C1494" s="1" t="n">
        <v>45353</v>
      </c>
      <c r="D1494" t="inlineStr">
        <is>
          <t>SÖDERMANLANDS LÄN</t>
        </is>
      </c>
      <c r="E1494" t="inlineStr">
        <is>
          <t>KATRINEHOLM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68976-2019</t>
        </is>
      </c>
      <c r="B1495" s="1" t="n">
        <v>43823</v>
      </c>
      <c r="C1495" s="1" t="n">
        <v>45353</v>
      </c>
      <c r="D1495" t="inlineStr">
        <is>
          <t>SÖDERMANLANDS LÄN</t>
        </is>
      </c>
      <c r="E1495" t="inlineStr">
        <is>
          <t>FLEN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68984-2019</t>
        </is>
      </c>
      <c r="B1496" s="1" t="n">
        <v>43825</v>
      </c>
      <c r="C1496" s="1" t="n">
        <v>45353</v>
      </c>
      <c r="D1496" t="inlineStr">
        <is>
          <t>SÖDERMANLANDS LÄN</t>
        </is>
      </c>
      <c r="E1496" t="inlineStr">
        <is>
          <t>ESKILSTUNA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82-2020</t>
        </is>
      </c>
      <c r="B1497" s="1" t="n">
        <v>43832</v>
      </c>
      <c r="C1497" s="1" t="n">
        <v>45353</v>
      </c>
      <c r="D1497" t="inlineStr">
        <is>
          <t>SÖDERMANLANDS LÄN</t>
        </is>
      </c>
      <c r="E1497" t="inlineStr">
        <is>
          <t>FLEN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235-2020</t>
        </is>
      </c>
      <c r="B1498" s="1" t="n">
        <v>43834</v>
      </c>
      <c r="C1498" s="1" t="n">
        <v>45353</v>
      </c>
      <c r="D1498" t="inlineStr">
        <is>
          <t>SÖDERMANLANDS LÄN</t>
        </is>
      </c>
      <c r="E1498" t="inlineStr">
        <is>
          <t>FLEN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236-2020</t>
        </is>
      </c>
      <c r="B1499" s="1" t="n">
        <v>43834</v>
      </c>
      <c r="C1499" s="1" t="n">
        <v>45353</v>
      </c>
      <c r="D1499" t="inlineStr">
        <is>
          <t>SÖDERMANLANDS LÄN</t>
        </is>
      </c>
      <c r="E1499" t="inlineStr">
        <is>
          <t>FLEN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520-2020</t>
        </is>
      </c>
      <c r="B1500" s="1" t="n">
        <v>43837</v>
      </c>
      <c r="C1500" s="1" t="n">
        <v>45353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613-2020</t>
        </is>
      </c>
      <c r="B1501" s="1" t="n">
        <v>43838</v>
      </c>
      <c r="C1501" s="1" t="n">
        <v>45353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883-2020</t>
        </is>
      </c>
      <c r="B1502" s="1" t="n">
        <v>43839</v>
      </c>
      <c r="C1502" s="1" t="n">
        <v>45353</v>
      </c>
      <c r="D1502" t="inlineStr">
        <is>
          <t>SÖDERMANLANDS LÄN</t>
        </is>
      </c>
      <c r="E1502" t="inlineStr">
        <is>
          <t>STRÄNGNÄS</t>
        </is>
      </c>
      <c r="F1502" t="inlineStr">
        <is>
          <t>Övriga statliga verk och myndigheter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2048-2020</t>
        </is>
      </c>
      <c r="B1503" s="1" t="n">
        <v>43839</v>
      </c>
      <c r="C1503" s="1" t="n">
        <v>45353</v>
      </c>
      <c r="D1503" t="inlineStr">
        <is>
          <t>SÖDERMANLANDS LÄN</t>
        </is>
      </c>
      <c r="E1503" t="inlineStr">
        <is>
          <t>NYKÖPING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981-2020</t>
        </is>
      </c>
      <c r="B1504" s="1" t="n">
        <v>43839</v>
      </c>
      <c r="C1504" s="1" t="n">
        <v>45353</v>
      </c>
      <c r="D1504" t="inlineStr">
        <is>
          <t>SÖDERMANLANDS LÄN</t>
        </is>
      </c>
      <c r="E1504" t="inlineStr">
        <is>
          <t>NYKÖPING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1007-2020</t>
        </is>
      </c>
      <c r="B1505" s="1" t="n">
        <v>43839</v>
      </c>
      <c r="C1505" s="1" t="n">
        <v>45353</v>
      </c>
      <c r="D1505" t="inlineStr">
        <is>
          <t>SÖDERMANLANDS LÄN</t>
        </is>
      </c>
      <c r="E1505" t="inlineStr">
        <is>
          <t>FLEN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1283-2020</t>
        </is>
      </c>
      <c r="B1506" s="1" t="n">
        <v>43842</v>
      </c>
      <c r="C1506" s="1" t="n">
        <v>45353</v>
      </c>
      <c r="D1506" t="inlineStr">
        <is>
          <t>SÖDERMANLANDS LÄN</t>
        </is>
      </c>
      <c r="E1506" t="inlineStr">
        <is>
          <t>GNESTA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1720-2020</t>
        </is>
      </c>
      <c r="B1507" s="1" t="n">
        <v>43844</v>
      </c>
      <c r="C1507" s="1" t="n">
        <v>45353</v>
      </c>
      <c r="D1507" t="inlineStr">
        <is>
          <t>SÖDERMANLANDS LÄN</t>
        </is>
      </c>
      <c r="E1507" t="inlineStr">
        <is>
          <t>ESKILSTUNA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1879-2020</t>
        </is>
      </c>
      <c r="B1508" s="1" t="n">
        <v>43845</v>
      </c>
      <c r="C1508" s="1" t="n">
        <v>45353</v>
      </c>
      <c r="D1508" t="inlineStr">
        <is>
          <t>SÖDERMANLANDS LÄN</t>
        </is>
      </c>
      <c r="E1508" t="inlineStr">
        <is>
          <t>NYKÖPING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3687-2020</t>
        </is>
      </c>
      <c r="B1509" s="1" t="n">
        <v>43845</v>
      </c>
      <c r="C1509" s="1" t="n">
        <v>45353</v>
      </c>
      <c r="D1509" t="inlineStr">
        <is>
          <t>SÖDERMANLANDS LÄN</t>
        </is>
      </c>
      <c r="E1509" t="inlineStr">
        <is>
          <t>ESKILSTUNA</t>
        </is>
      </c>
      <c r="G1509" t="n">
        <v>17.8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2229-2020</t>
        </is>
      </c>
      <c r="B1510" s="1" t="n">
        <v>43846</v>
      </c>
      <c r="C1510" s="1" t="n">
        <v>45353</v>
      </c>
      <c r="D1510" t="inlineStr">
        <is>
          <t>SÖDERMANLANDS LÄN</t>
        </is>
      </c>
      <c r="E1510" t="inlineStr">
        <is>
          <t>VINGÅKER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4033-2020</t>
        </is>
      </c>
      <c r="B1511" s="1" t="n">
        <v>43846</v>
      </c>
      <c r="C1511" s="1" t="n">
        <v>45353</v>
      </c>
      <c r="D1511" t="inlineStr">
        <is>
          <t>SÖDERMANLANDS LÄN</t>
        </is>
      </c>
      <c r="E1511" t="inlineStr">
        <is>
          <t>FLEN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2319-2020</t>
        </is>
      </c>
      <c r="B1512" s="1" t="n">
        <v>43846</v>
      </c>
      <c r="C1512" s="1" t="n">
        <v>45353</v>
      </c>
      <c r="D1512" t="inlineStr">
        <is>
          <t>SÖDERMANLANDS LÄN</t>
        </is>
      </c>
      <c r="E1512" t="inlineStr">
        <is>
          <t>KATRINEHOLM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2113-2020</t>
        </is>
      </c>
      <c r="B1513" s="1" t="n">
        <v>43846</v>
      </c>
      <c r="C1513" s="1" t="n">
        <v>45353</v>
      </c>
      <c r="D1513" t="inlineStr">
        <is>
          <t>SÖDERMANLANDS LÄN</t>
        </is>
      </c>
      <c r="E1513" t="inlineStr">
        <is>
          <t>ESKILSTUNA</t>
        </is>
      </c>
      <c r="F1513" t="inlineStr">
        <is>
          <t>Kyrkan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2385-2020</t>
        </is>
      </c>
      <c r="B1514" s="1" t="n">
        <v>43847</v>
      </c>
      <c r="C1514" s="1" t="n">
        <v>45353</v>
      </c>
      <c r="D1514" t="inlineStr">
        <is>
          <t>SÖDERMANLANDS LÄN</t>
        </is>
      </c>
      <c r="E1514" t="inlineStr">
        <is>
          <t>STRÄNGNÄS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2411-2020</t>
        </is>
      </c>
      <c r="B1515" s="1" t="n">
        <v>43847</v>
      </c>
      <c r="C1515" s="1" t="n">
        <v>45353</v>
      </c>
      <c r="D1515" t="inlineStr">
        <is>
          <t>SÖDERMANLANDS LÄN</t>
        </is>
      </c>
      <c r="E1515" t="inlineStr">
        <is>
          <t>VINGÅKER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2486-2020</t>
        </is>
      </c>
      <c r="B1516" s="1" t="n">
        <v>43847</v>
      </c>
      <c r="C1516" s="1" t="n">
        <v>45353</v>
      </c>
      <c r="D1516" t="inlineStr">
        <is>
          <t>SÖDERMANLANDS LÄN</t>
        </is>
      </c>
      <c r="E1516" t="inlineStr">
        <is>
          <t>ESKILSTUNA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2502-2020</t>
        </is>
      </c>
      <c r="B1517" s="1" t="n">
        <v>43847</v>
      </c>
      <c r="C1517" s="1" t="n">
        <v>45353</v>
      </c>
      <c r="D1517" t="inlineStr">
        <is>
          <t>SÖDERMANLANDS LÄN</t>
        </is>
      </c>
      <c r="E1517" t="inlineStr">
        <is>
          <t>ESKILSTUNA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2526-2020</t>
        </is>
      </c>
      <c r="B1518" s="1" t="n">
        <v>43847</v>
      </c>
      <c r="C1518" s="1" t="n">
        <v>45353</v>
      </c>
      <c r="D1518" t="inlineStr">
        <is>
          <t>SÖDERMANLANDS LÄN</t>
        </is>
      </c>
      <c r="E1518" t="inlineStr">
        <is>
          <t>STRÄNGNÄS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2509-2020</t>
        </is>
      </c>
      <c r="B1519" s="1" t="n">
        <v>43847</v>
      </c>
      <c r="C1519" s="1" t="n">
        <v>45353</v>
      </c>
      <c r="D1519" t="inlineStr">
        <is>
          <t>SÖDERMANLANDS LÄN</t>
        </is>
      </c>
      <c r="E1519" t="inlineStr">
        <is>
          <t>ESKILSTUNA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2538-2020</t>
        </is>
      </c>
      <c r="B1520" s="1" t="n">
        <v>43847</v>
      </c>
      <c r="C1520" s="1" t="n">
        <v>45353</v>
      </c>
      <c r="D1520" t="inlineStr">
        <is>
          <t>SÖDERMANLANDS LÄN</t>
        </is>
      </c>
      <c r="E1520" t="inlineStr">
        <is>
          <t>FLEN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3831-2020</t>
        </is>
      </c>
      <c r="B1521" s="1" t="n">
        <v>43847</v>
      </c>
      <c r="C1521" s="1" t="n">
        <v>45353</v>
      </c>
      <c r="D1521" t="inlineStr">
        <is>
          <t>SÖDERMANLANDS LÄN</t>
        </is>
      </c>
      <c r="E1521" t="inlineStr">
        <is>
          <t>FLEN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2661-2020</t>
        </is>
      </c>
      <c r="B1522" s="1" t="n">
        <v>43848</v>
      </c>
      <c r="C1522" s="1" t="n">
        <v>45353</v>
      </c>
      <c r="D1522" t="inlineStr">
        <is>
          <t>SÖDERMANLANDS LÄN</t>
        </is>
      </c>
      <c r="E1522" t="inlineStr">
        <is>
          <t>ESKILSTUNA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2879-2020</t>
        </is>
      </c>
      <c r="B1523" s="1" t="n">
        <v>43850</v>
      </c>
      <c r="C1523" s="1" t="n">
        <v>45353</v>
      </c>
      <c r="D1523" t="inlineStr">
        <is>
          <t>SÖDERMANLANDS LÄN</t>
        </is>
      </c>
      <c r="E1523" t="inlineStr">
        <is>
          <t>ESKILSTUNA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2975-2020</t>
        </is>
      </c>
      <c r="B1524" s="1" t="n">
        <v>43850</v>
      </c>
      <c r="C1524" s="1" t="n">
        <v>45353</v>
      </c>
      <c r="D1524" t="inlineStr">
        <is>
          <t>SÖDERMANLANDS LÄN</t>
        </is>
      </c>
      <c r="E1524" t="inlineStr">
        <is>
          <t>ESKILSTUNA</t>
        </is>
      </c>
      <c r="F1524" t="inlineStr">
        <is>
          <t>Kyrkan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3931-2020</t>
        </is>
      </c>
      <c r="B1525" s="1" t="n">
        <v>43851</v>
      </c>
      <c r="C1525" s="1" t="n">
        <v>45353</v>
      </c>
      <c r="D1525" t="inlineStr">
        <is>
          <t>SÖDERMANLANDS LÄN</t>
        </is>
      </c>
      <c r="E1525" t="inlineStr">
        <is>
          <t>ESKILSTUNA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3360-2020</t>
        </is>
      </c>
      <c r="B1526" s="1" t="n">
        <v>43852</v>
      </c>
      <c r="C1526" s="1" t="n">
        <v>45353</v>
      </c>
      <c r="D1526" t="inlineStr">
        <is>
          <t>SÖDERMANLANDS LÄN</t>
        </is>
      </c>
      <c r="E1526" t="inlineStr">
        <is>
          <t>VINGÅKER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4805-2020</t>
        </is>
      </c>
      <c r="B1527" s="1" t="n">
        <v>43852</v>
      </c>
      <c r="C1527" s="1" t="n">
        <v>45353</v>
      </c>
      <c r="D1527" t="inlineStr">
        <is>
          <t>SÖDERMANLANDS LÄN</t>
        </is>
      </c>
      <c r="E1527" t="inlineStr">
        <is>
          <t>ESKILSTUNA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4845-2020</t>
        </is>
      </c>
      <c r="B1528" s="1" t="n">
        <v>43852</v>
      </c>
      <c r="C1528" s="1" t="n">
        <v>45353</v>
      </c>
      <c r="D1528" t="inlineStr">
        <is>
          <t>SÖDERMANLANDS LÄN</t>
        </is>
      </c>
      <c r="E1528" t="inlineStr">
        <is>
          <t>ESKILSTUNA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3667-2020</t>
        </is>
      </c>
      <c r="B1529" s="1" t="n">
        <v>43853</v>
      </c>
      <c r="C1529" s="1" t="n">
        <v>45353</v>
      </c>
      <c r="D1529" t="inlineStr">
        <is>
          <t>SÖDERMANLANDS LÄN</t>
        </is>
      </c>
      <c r="E1529" t="inlineStr">
        <is>
          <t>ESKILSTUNA</t>
        </is>
      </c>
      <c r="G1529" t="n">
        <v>50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3718-2020</t>
        </is>
      </c>
      <c r="B1530" s="1" t="n">
        <v>43853</v>
      </c>
      <c r="C1530" s="1" t="n">
        <v>45353</v>
      </c>
      <c r="D1530" t="inlineStr">
        <is>
          <t>SÖDERMANLANDS LÄN</t>
        </is>
      </c>
      <c r="E1530" t="inlineStr">
        <is>
          <t>ESKILSTUNA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3540-2020</t>
        </is>
      </c>
      <c r="B1531" s="1" t="n">
        <v>43853</v>
      </c>
      <c r="C1531" s="1" t="n">
        <v>45353</v>
      </c>
      <c r="D1531" t="inlineStr">
        <is>
          <t>SÖDERMANLANDS LÄN</t>
        </is>
      </c>
      <c r="E1531" t="inlineStr">
        <is>
          <t>KATRINEHOLM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3571-2020</t>
        </is>
      </c>
      <c r="B1532" s="1" t="n">
        <v>43853</v>
      </c>
      <c r="C1532" s="1" t="n">
        <v>45353</v>
      </c>
      <c r="D1532" t="inlineStr">
        <is>
          <t>SÖDERMANLANDS LÄN</t>
        </is>
      </c>
      <c r="E1532" t="inlineStr">
        <is>
          <t>KATRINEHOLM</t>
        </is>
      </c>
      <c r="G1532" t="n">
        <v>10.9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3619-2020</t>
        </is>
      </c>
      <c r="B1533" s="1" t="n">
        <v>43853</v>
      </c>
      <c r="C1533" s="1" t="n">
        <v>45353</v>
      </c>
      <c r="D1533" t="inlineStr">
        <is>
          <t>SÖDERMANLANDS LÄN</t>
        </is>
      </c>
      <c r="E1533" t="inlineStr">
        <is>
          <t>FLEN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3963-2020</t>
        </is>
      </c>
      <c r="B1534" s="1" t="n">
        <v>43854</v>
      </c>
      <c r="C1534" s="1" t="n">
        <v>45353</v>
      </c>
      <c r="D1534" t="inlineStr">
        <is>
          <t>SÖDERMANLANDS LÄN</t>
        </is>
      </c>
      <c r="E1534" t="inlineStr">
        <is>
          <t>VINGÅKER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3987-2020</t>
        </is>
      </c>
      <c r="B1535" s="1" t="n">
        <v>43855</v>
      </c>
      <c r="C1535" s="1" t="n">
        <v>45353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4092-2020</t>
        </is>
      </c>
      <c r="B1536" s="1" t="n">
        <v>43857</v>
      </c>
      <c r="C1536" s="1" t="n">
        <v>45353</v>
      </c>
      <c r="D1536" t="inlineStr">
        <is>
          <t>SÖDERMANLANDS LÄN</t>
        </is>
      </c>
      <c r="E1536" t="inlineStr">
        <is>
          <t>FLEN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4139-2020</t>
        </is>
      </c>
      <c r="B1537" s="1" t="n">
        <v>43857</v>
      </c>
      <c r="C1537" s="1" t="n">
        <v>45353</v>
      </c>
      <c r="D1537" t="inlineStr">
        <is>
          <t>SÖDERMANLANDS LÄN</t>
        </is>
      </c>
      <c r="E1537" t="inlineStr">
        <is>
          <t>STRÄNGNÄS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4187-2020</t>
        </is>
      </c>
      <c r="B1538" s="1" t="n">
        <v>43857</v>
      </c>
      <c r="C1538" s="1" t="n">
        <v>45353</v>
      </c>
      <c r="D1538" t="inlineStr">
        <is>
          <t>SÖDERMANLANDS LÄN</t>
        </is>
      </c>
      <c r="E1538" t="inlineStr">
        <is>
          <t>NYKÖPING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4354-2020</t>
        </is>
      </c>
      <c r="B1539" s="1" t="n">
        <v>43857</v>
      </c>
      <c r="C1539" s="1" t="n">
        <v>45353</v>
      </c>
      <c r="D1539" t="inlineStr">
        <is>
          <t>SÖDERMANLANDS LÄN</t>
        </is>
      </c>
      <c r="E1539" t="inlineStr">
        <is>
          <t>KATRINEHOLM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4357-2020</t>
        </is>
      </c>
      <c r="B1540" s="1" t="n">
        <v>43857</v>
      </c>
      <c r="C1540" s="1" t="n">
        <v>45353</v>
      </c>
      <c r="D1540" t="inlineStr">
        <is>
          <t>SÖDERMANLANDS LÄN</t>
        </is>
      </c>
      <c r="E1540" t="inlineStr">
        <is>
          <t>KATRINEHOLM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4355-2020</t>
        </is>
      </c>
      <c r="B1541" s="1" t="n">
        <v>43857</v>
      </c>
      <c r="C1541" s="1" t="n">
        <v>45353</v>
      </c>
      <c r="D1541" t="inlineStr">
        <is>
          <t>SÖDERMANLANDS LÄN</t>
        </is>
      </c>
      <c r="E1541" t="inlineStr">
        <is>
          <t>KATRINEHOLM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5429-2020</t>
        </is>
      </c>
      <c r="B1542" s="1" t="n">
        <v>43858</v>
      </c>
      <c r="C1542" s="1" t="n">
        <v>45353</v>
      </c>
      <c r="D1542" t="inlineStr">
        <is>
          <t>SÖDERMANLANDS LÄN</t>
        </is>
      </c>
      <c r="E1542" t="inlineStr">
        <is>
          <t>STRÄNGNÄS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4869-2020</t>
        </is>
      </c>
      <c r="B1543" s="1" t="n">
        <v>43859</v>
      </c>
      <c r="C1543" s="1" t="n">
        <v>45353</v>
      </c>
      <c r="D1543" t="inlineStr">
        <is>
          <t>SÖDERMANLANDS LÄN</t>
        </is>
      </c>
      <c r="E1543" t="inlineStr">
        <is>
          <t>TROSA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4848-2020</t>
        </is>
      </c>
      <c r="B1544" s="1" t="n">
        <v>43859</v>
      </c>
      <c r="C1544" s="1" t="n">
        <v>45353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5068-2020</t>
        </is>
      </c>
      <c r="B1545" s="1" t="n">
        <v>43859</v>
      </c>
      <c r="C1545" s="1" t="n">
        <v>45353</v>
      </c>
      <c r="D1545" t="inlineStr">
        <is>
          <t>SÖDERMANLANDS LÄN</t>
        </is>
      </c>
      <c r="E1545" t="inlineStr">
        <is>
          <t>ESKILSTUNA</t>
        </is>
      </c>
      <c r="F1545" t="inlineStr">
        <is>
          <t>Kyrkan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5438-2020</t>
        </is>
      </c>
      <c r="B1546" s="1" t="n">
        <v>43859</v>
      </c>
      <c r="C1546" s="1" t="n">
        <v>45353</v>
      </c>
      <c r="D1546" t="inlineStr">
        <is>
          <t>SÖDERMANLANDS LÄN</t>
        </is>
      </c>
      <c r="E1546" t="inlineStr">
        <is>
          <t>STRÄNGNÄS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5258-2020</t>
        </is>
      </c>
      <c r="B1547" s="1" t="n">
        <v>43860</v>
      </c>
      <c r="C1547" s="1" t="n">
        <v>45353</v>
      </c>
      <c r="D1547" t="inlineStr">
        <is>
          <t>SÖDERMANLANDS LÄN</t>
        </is>
      </c>
      <c r="E1547" t="inlineStr">
        <is>
          <t>ESKILSTUNA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5646-2020</t>
        </is>
      </c>
      <c r="B1548" s="1" t="n">
        <v>43860</v>
      </c>
      <c r="C1548" s="1" t="n">
        <v>45353</v>
      </c>
      <c r="D1548" t="inlineStr">
        <is>
          <t>SÖDERMANLANDS LÄN</t>
        </is>
      </c>
      <c r="E1548" t="inlineStr">
        <is>
          <t>STRÄNGNÄS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5643-2020</t>
        </is>
      </c>
      <c r="B1549" s="1" t="n">
        <v>43860</v>
      </c>
      <c r="C1549" s="1" t="n">
        <v>45353</v>
      </c>
      <c r="D1549" t="inlineStr">
        <is>
          <t>SÖDERMANLANDS LÄN</t>
        </is>
      </c>
      <c r="E1549" t="inlineStr">
        <is>
          <t>STRÄNGNÄS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5299-2020</t>
        </is>
      </c>
      <c r="B1550" s="1" t="n">
        <v>43860</v>
      </c>
      <c r="C1550" s="1" t="n">
        <v>45353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5700-2020</t>
        </is>
      </c>
      <c r="B1551" s="1" t="n">
        <v>43861</v>
      </c>
      <c r="C1551" s="1" t="n">
        <v>45353</v>
      </c>
      <c r="D1551" t="inlineStr">
        <is>
          <t>SÖDERMANLANDS LÄN</t>
        </is>
      </c>
      <c r="E1551" t="inlineStr">
        <is>
          <t>ESKILSTUNA</t>
        </is>
      </c>
      <c r="G1551" t="n">
        <v>13.8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5719-2020</t>
        </is>
      </c>
      <c r="B1552" s="1" t="n">
        <v>43862</v>
      </c>
      <c r="C1552" s="1" t="n">
        <v>45353</v>
      </c>
      <c r="D1552" t="inlineStr">
        <is>
          <t>SÖDERMANLANDS LÄN</t>
        </is>
      </c>
      <c r="E1552" t="inlineStr">
        <is>
          <t>ESKILSTUNA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5819-2020</t>
        </is>
      </c>
      <c r="B1553" s="1" t="n">
        <v>43864</v>
      </c>
      <c r="C1553" s="1" t="n">
        <v>45353</v>
      </c>
      <c r="D1553" t="inlineStr">
        <is>
          <t>SÖDERMANLANDS LÄN</t>
        </is>
      </c>
      <c r="E1553" t="inlineStr">
        <is>
          <t>NYKÖPING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5777-2020</t>
        </is>
      </c>
      <c r="B1554" s="1" t="n">
        <v>43864</v>
      </c>
      <c r="C1554" s="1" t="n">
        <v>45353</v>
      </c>
      <c r="D1554" t="inlineStr">
        <is>
          <t>SÖDERMANLANDS LÄN</t>
        </is>
      </c>
      <c r="E1554" t="inlineStr">
        <is>
          <t>FLEN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5816-2020</t>
        </is>
      </c>
      <c r="B1555" s="1" t="n">
        <v>43864</v>
      </c>
      <c r="C1555" s="1" t="n">
        <v>45353</v>
      </c>
      <c r="D1555" t="inlineStr">
        <is>
          <t>SÖDERMANLANDS LÄN</t>
        </is>
      </c>
      <c r="E1555" t="inlineStr">
        <is>
          <t>NYKÖPING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5803-2020</t>
        </is>
      </c>
      <c r="B1556" s="1" t="n">
        <v>43864</v>
      </c>
      <c r="C1556" s="1" t="n">
        <v>45353</v>
      </c>
      <c r="D1556" t="inlineStr">
        <is>
          <t>SÖDERMANLANDS LÄN</t>
        </is>
      </c>
      <c r="E1556" t="inlineStr">
        <is>
          <t>TROSA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6171-2020</t>
        </is>
      </c>
      <c r="B1557" s="1" t="n">
        <v>43865</v>
      </c>
      <c r="C1557" s="1" t="n">
        <v>45353</v>
      </c>
      <c r="D1557" t="inlineStr">
        <is>
          <t>SÖDERMANLANDS LÄN</t>
        </is>
      </c>
      <c r="E1557" t="inlineStr">
        <is>
          <t>STRÄNGNÄS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6220-2020</t>
        </is>
      </c>
      <c r="B1558" s="1" t="n">
        <v>43865</v>
      </c>
      <c r="C1558" s="1" t="n">
        <v>45353</v>
      </c>
      <c r="D1558" t="inlineStr">
        <is>
          <t>SÖDERMANLANDS LÄN</t>
        </is>
      </c>
      <c r="E1558" t="inlineStr">
        <is>
          <t>KATRINEHOLM</t>
        </is>
      </c>
      <c r="F1558" t="inlineStr">
        <is>
          <t>Allmännings- och besparingsskogar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6175-2020</t>
        </is>
      </c>
      <c r="B1559" s="1" t="n">
        <v>43865</v>
      </c>
      <c r="C1559" s="1" t="n">
        <v>45353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6049-2020</t>
        </is>
      </c>
      <c r="B1560" s="1" t="n">
        <v>43865</v>
      </c>
      <c r="C1560" s="1" t="n">
        <v>45353</v>
      </c>
      <c r="D1560" t="inlineStr">
        <is>
          <t>SÖDERMANLANDS LÄN</t>
        </is>
      </c>
      <c r="E1560" t="inlineStr">
        <is>
          <t>TROSA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6302-2020</t>
        </is>
      </c>
      <c r="B1561" s="1" t="n">
        <v>43866</v>
      </c>
      <c r="C1561" s="1" t="n">
        <v>45353</v>
      </c>
      <c r="D1561" t="inlineStr">
        <is>
          <t>SÖDERMANLANDS LÄN</t>
        </is>
      </c>
      <c r="E1561" t="inlineStr">
        <is>
          <t>VINGÅKER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6348-2020</t>
        </is>
      </c>
      <c r="B1562" s="1" t="n">
        <v>43866</v>
      </c>
      <c r="C1562" s="1" t="n">
        <v>45353</v>
      </c>
      <c r="D1562" t="inlineStr">
        <is>
          <t>SÖDERMANLANDS LÄN</t>
        </is>
      </c>
      <c r="E1562" t="inlineStr">
        <is>
          <t>VINGÅKER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6412-2020</t>
        </is>
      </c>
      <c r="B1563" s="1" t="n">
        <v>43866</v>
      </c>
      <c r="C1563" s="1" t="n">
        <v>45353</v>
      </c>
      <c r="D1563" t="inlineStr">
        <is>
          <t>SÖDERMANLANDS LÄN</t>
        </is>
      </c>
      <c r="E1563" t="inlineStr">
        <is>
          <t>VINGÅKER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6439-2020</t>
        </is>
      </c>
      <c r="B1564" s="1" t="n">
        <v>43866</v>
      </c>
      <c r="C1564" s="1" t="n">
        <v>45353</v>
      </c>
      <c r="D1564" t="inlineStr">
        <is>
          <t>SÖDERMANLANDS LÄN</t>
        </is>
      </c>
      <c r="E1564" t="inlineStr">
        <is>
          <t>ESKILSTUNA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6455-2020</t>
        </is>
      </c>
      <c r="B1565" s="1" t="n">
        <v>43866</v>
      </c>
      <c r="C1565" s="1" t="n">
        <v>45353</v>
      </c>
      <c r="D1565" t="inlineStr">
        <is>
          <t>SÖDERMANLANDS LÄN</t>
        </is>
      </c>
      <c r="E1565" t="inlineStr">
        <is>
          <t>KATRINEHOLM</t>
        </is>
      </c>
      <c r="F1565" t="inlineStr">
        <is>
          <t>Allmännings- och besparingsskogar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6740-2020</t>
        </is>
      </c>
      <c r="B1566" s="1" t="n">
        <v>43866</v>
      </c>
      <c r="C1566" s="1" t="n">
        <v>45353</v>
      </c>
      <c r="D1566" t="inlineStr">
        <is>
          <t>SÖDERMANLANDS LÄN</t>
        </is>
      </c>
      <c r="E1566" t="inlineStr">
        <is>
          <t>KATRINEHOLM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6679-2020</t>
        </is>
      </c>
      <c r="B1567" s="1" t="n">
        <v>43867</v>
      </c>
      <c r="C1567" s="1" t="n">
        <v>45353</v>
      </c>
      <c r="D1567" t="inlineStr">
        <is>
          <t>SÖDERMANLANDS LÄN</t>
        </is>
      </c>
      <c r="E1567" t="inlineStr">
        <is>
          <t>KATRINEHOLM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6773-2020</t>
        </is>
      </c>
      <c r="B1568" s="1" t="n">
        <v>43867</v>
      </c>
      <c r="C1568" s="1" t="n">
        <v>45353</v>
      </c>
      <c r="D1568" t="inlineStr">
        <is>
          <t>SÖDERMANLANDS LÄN</t>
        </is>
      </c>
      <c r="E1568" t="inlineStr">
        <is>
          <t>NYKÖPING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7041-2020</t>
        </is>
      </c>
      <c r="B1569" s="1" t="n">
        <v>43868</v>
      </c>
      <c r="C1569" s="1" t="n">
        <v>45353</v>
      </c>
      <c r="D1569" t="inlineStr">
        <is>
          <t>SÖDERMANLANDS LÄN</t>
        </is>
      </c>
      <c r="E1569" t="inlineStr">
        <is>
          <t>VINGÅKER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7057-2020</t>
        </is>
      </c>
      <c r="B1570" s="1" t="n">
        <v>43868</v>
      </c>
      <c r="C1570" s="1" t="n">
        <v>45353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7131-2020</t>
        </is>
      </c>
      <c r="B1571" s="1" t="n">
        <v>43868</v>
      </c>
      <c r="C1571" s="1" t="n">
        <v>45353</v>
      </c>
      <c r="D1571" t="inlineStr">
        <is>
          <t>SÖDERMANLANDS LÄN</t>
        </is>
      </c>
      <c r="E1571" t="inlineStr">
        <is>
          <t>GNESTA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7050-2020</t>
        </is>
      </c>
      <c r="B1572" s="1" t="n">
        <v>43868</v>
      </c>
      <c r="C1572" s="1" t="n">
        <v>45353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7352-2020</t>
        </is>
      </c>
      <c r="B1573" s="1" t="n">
        <v>43871</v>
      </c>
      <c r="C1573" s="1" t="n">
        <v>45353</v>
      </c>
      <c r="D1573" t="inlineStr">
        <is>
          <t>SÖDERMANLANDS LÄN</t>
        </is>
      </c>
      <c r="E1573" t="inlineStr">
        <is>
          <t>KATRINEHOLM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7576-2020</t>
        </is>
      </c>
      <c r="B1574" s="1" t="n">
        <v>43871</v>
      </c>
      <c r="C1574" s="1" t="n">
        <v>45353</v>
      </c>
      <c r="D1574" t="inlineStr">
        <is>
          <t>SÖDERMANLANDS LÄN</t>
        </is>
      </c>
      <c r="E1574" t="inlineStr">
        <is>
          <t>VINGÅKER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7572-2020</t>
        </is>
      </c>
      <c r="B1575" s="1" t="n">
        <v>43871</v>
      </c>
      <c r="C1575" s="1" t="n">
        <v>45353</v>
      </c>
      <c r="D1575" t="inlineStr">
        <is>
          <t>SÖDERMANLANDS LÄN</t>
        </is>
      </c>
      <c r="E1575" t="inlineStr">
        <is>
          <t>VINGÅKER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7623-2020</t>
        </is>
      </c>
      <c r="B1576" s="1" t="n">
        <v>43872</v>
      </c>
      <c r="C1576" s="1" t="n">
        <v>45353</v>
      </c>
      <c r="D1576" t="inlineStr">
        <is>
          <t>SÖDERMANLANDS LÄN</t>
        </is>
      </c>
      <c r="E1576" t="inlineStr">
        <is>
          <t>KATRINEHOLM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7629-2020</t>
        </is>
      </c>
      <c r="B1577" s="1" t="n">
        <v>43872</v>
      </c>
      <c r="C1577" s="1" t="n">
        <v>45353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7773-2020</t>
        </is>
      </c>
      <c r="B1578" s="1" t="n">
        <v>43872</v>
      </c>
      <c r="C1578" s="1" t="n">
        <v>45353</v>
      </c>
      <c r="D1578" t="inlineStr">
        <is>
          <t>SÖDERMANLANDS LÄN</t>
        </is>
      </c>
      <c r="E1578" t="inlineStr">
        <is>
          <t>VINGÅKER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7747-2020</t>
        </is>
      </c>
      <c r="B1579" s="1" t="n">
        <v>43872</v>
      </c>
      <c r="C1579" s="1" t="n">
        <v>45353</v>
      </c>
      <c r="D1579" t="inlineStr">
        <is>
          <t>SÖDERMANLANDS LÄN</t>
        </is>
      </c>
      <c r="E1579" t="inlineStr">
        <is>
          <t>FLEN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7932-2020</t>
        </is>
      </c>
      <c r="B1580" s="1" t="n">
        <v>43873</v>
      </c>
      <c r="C1580" s="1" t="n">
        <v>45353</v>
      </c>
      <c r="D1580" t="inlineStr">
        <is>
          <t>SÖDERMANLANDS LÄN</t>
        </is>
      </c>
      <c r="E1580" t="inlineStr">
        <is>
          <t>NYKÖPING</t>
        </is>
      </c>
      <c r="G1580" t="n">
        <v>13.5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7941-2020</t>
        </is>
      </c>
      <c r="B1581" s="1" t="n">
        <v>43873</v>
      </c>
      <c r="C1581" s="1" t="n">
        <v>45353</v>
      </c>
      <c r="D1581" t="inlineStr">
        <is>
          <t>SÖDERMANLANDS LÄN</t>
        </is>
      </c>
      <c r="E1581" t="inlineStr">
        <is>
          <t>FLEN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8169-2020</t>
        </is>
      </c>
      <c r="B1582" s="1" t="n">
        <v>43874</v>
      </c>
      <c r="C1582" s="1" t="n">
        <v>45353</v>
      </c>
      <c r="D1582" t="inlineStr">
        <is>
          <t>SÖDERMANLANDS LÄN</t>
        </is>
      </c>
      <c r="E1582" t="inlineStr">
        <is>
          <t>NYKÖPING</t>
        </is>
      </c>
      <c r="G1582" t="n">
        <v>18.5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8239-2020</t>
        </is>
      </c>
      <c r="B1583" s="1" t="n">
        <v>43874</v>
      </c>
      <c r="C1583" s="1" t="n">
        <v>45353</v>
      </c>
      <c r="D1583" t="inlineStr">
        <is>
          <t>SÖDERMANLANDS LÄN</t>
        </is>
      </c>
      <c r="E1583" t="inlineStr">
        <is>
          <t>NYKÖPING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8571-2020</t>
        </is>
      </c>
      <c r="B1584" s="1" t="n">
        <v>43875</v>
      </c>
      <c r="C1584" s="1" t="n">
        <v>45353</v>
      </c>
      <c r="D1584" t="inlineStr">
        <is>
          <t>SÖDERMANLANDS LÄN</t>
        </is>
      </c>
      <c r="E1584" t="inlineStr">
        <is>
          <t>KATRINEHOLM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8549-2020</t>
        </is>
      </c>
      <c r="B1585" s="1" t="n">
        <v>43877</v>
      </c>
      <c r="C1585" s="1" t="n">
        <v>45353</v>
      </c>
      <c r="D1585" t="inlineStr">
        <is>
          <t>SÖDERMANLANDS LÄN</t>
        </is>
      </c>
      <c r="E1585" t="inlineStr">
        <is>
          <t>KATRINEHOLM</t>
        </is>
      </c>
      <c r="F1585" t="inlineStr">
        <is>
          <t>Allmännings- och besparingsskogar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8833-2020</t>
        </is>
      </c>
      <c r="B1586" s="1" t="n">
        <v>43878</v>
      </c>
      <c r="C1586" s="1" t="n">
        <v>45353</v>
      </c>
      <c r="D1586" t="inlineStr">
        <is>
          <t>SÖDERMANLANDS LÄN</t>
        </is>
      </c>
      <c r="E1586" t="inlineStr">
        <is>
          <t>KATRINEHOLM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9217-2020</t>
        </is>
      </c>
      <c r="B1587" s="1" t="n">
        <v>43879</v>
      </c>
      <c r="C1587" s="1" t="n">
        <v>45353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9253-2020</t>
        </is>
      </c>
      <c r="B1588" s="1" t="n">
        <v>43879</v>
      </c>
      <c r="C1588" s="1" t="n">
        <v>45353</v>
      </c>
      <c r="D1588" t="inlineStr">
        <is>
          <t>SÖDERMANLANDS LÄN</t>
        </is>
      </c>
      <c r="E1588" t="inlineStr">
        <is>
          <t>NYKÖPING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9252-2020</t>
        </is>
      </c>
      <c r="B1589" s="1" t="n">
        <v>43879</v>
      </c>
      <c r="C1589" s="1" t="n">
        <v>45353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9258-2020</t>
        </is>
      </c>
      <c r="B1590" s="1" t="n">
        <v>43879</v>
      </c>
      <c r="C1590" s="1" t="n">
        <v>45353</v>
      </c>
      <c r="D1590" t="inlineStr">
        <is>
          <t>SÖDERMANLANDS LÄN</t>
        </is>
      </c>
      <c r="E1590" t="inlineStr">
        <is>
          <t>KATRINEHOLM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9251-2020</t>
        </is>
      </c>
      <c r="B1591" s="1" t="n">
        <v>43879</v>
      </c>
      <c r="C1591" s="1" t="n">
        <v>45353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9247-2020</t>
        </is>
      </c>
      <c r="B1592" s="1" t="n">
        <v>43879</v>
      </c>
      <c r="C1592" s="1" t="n">
        <v>45353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9256-2020</t>
        </is>
      </c>
      <c r="B1593" s="1" t="n">
        <v>43879</v>
      </c>
      <c r="C1593" s="1" t="n">
        <v>45353</v>
      </c>
      <c r="D1593" t="inlineStr">
        <is>
          <t>SÖDERMANLANDS LÄN</t>
        </is>
      </c>
      <c r="E1593" t="inlineStr">
        <is>
          <t>KATRINEHOLM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9224-2020</t>
        </is>
      </c>
      <c r="B1594" s="1" t="n">
        <v>43879</v>
      </c>
      <c r="C1594" s="1" t="n">
        <v>45353</v>
      </c>
      <c r="D1594" t="inlineStr">
        <is>
          <t>SÖDERMANLANDS LÄN</t>
        </is>
      </c>
      <c r="E1594" t="inlineStr">
        <is>
          <t>GNESTA</t>
        </is>
      </c>
      <c r="F1594" t="inlineStr">
        <is>
          <t>Övriga Aktiebolag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9418-2020</t>
        </is>
      </c>
      <c r="B1595" s="1" t="n">
        <v>43880</v>
      </c>
      <c r="C1595" s="1" t="n">
        <v>45353</v>
      </c>
      <c r="D1595" t="inlineStr">
        <is>
          <t>SÖDERMANLANDS LÄN</t>
        </is>
      </c>
      <c r="E1595" t="inlineStr">
        <is>
          <t>STRÄNGNÄS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9450-2020</t>
        </is>
      </c>
      <c r="B1596" s="1" t="n">
        <v>43880</v>
      </c>
      <c r="C1596" s="1" t="n">
        <v>45353</v>
      </c>
      <c r="D1596" t="inlineStr">
        <is>
          <t>SÖDERMANLANDS LÄN</t>
        </is>
      </c>
      <c r="E1596" t="inlineStr">
        <is>
          <t>VINGÅKER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9535-2020</t>
        </is>
      </c>
      <c r="B1597" s="1" t="n">
        <v>43881</v>
      </c>
      <c r="C1597" s="1" t="n">
        <v>45353</v>
      </c>
      <c r="D1597" t="inlineStr">
        <is>
          <t>SÖDERMANLANDS LÄN</t>
        </is>
      </c>
      <c r="E1597" t="inlineStr">
        <is>
          <t>KATRINEHOLM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9807-2020</t>
        </is>
      </c>
      <c r="B1598" s="1" t="n">
        <v>43881</v>
      </c>
      <c r="C1598" s="1" t="n">
        <v>45353</v>
      </c>
      <c r="D1598" t="inlineStr">
        <is>
          <t>SÖDERMANLANDS LÄN</t>
        </is>
      </c>
      <c r="E1598" t="inlineStr">
        <is>
          <t>VINGÅKER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9740-2020</t>
        </is>
      </c>
      <c r="B1599" s="1" t="n">
        <v>43881</v>
      </c>
      <c r="C1599" s="1" t="n">
        <v>45353</v>
      </c>
      <c r="D1599" t="inlineStr">
        <is>
          <t>SÖDERMANLANDS LÄN</t>
        </is>
      </c>
      <c r="E1599" t="inlineStr">
        <is>
          <t>FLEN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9786-2020</t>
        </is>
      </c>
      <c r="B1600" s="1" t="n">
        <v>43881</v>
      </c>
      <c r="C1600" s="1" t="n">
        <v>45353</v>
      </c>
      <c r="D1600" t="inlineStr">
        <is>
          <t>SÖDERMANLANDS LÄN</t>
        </is>
      </c>
      <c r="E1600" t="inlineStr">
        <is>
          <t>KATRINEHOLM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9909-2020</t>
        </is>
      </c>
      <c r="B1601" s="1" t="n">
        <v>43881</v>
      </c>
      <c r="C1601" s="1" t="n">
        <v>45353</v>
      </c>
      <c r="D1601" t="inlineStr">
        <is>
          <t>SÖDERMANLANDS LÄN</t>
        </is>
      </c>
      <c r="E1601" t="inlineStr">
        <is>
          <t>STRÄNGNÄS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9978-2020</t>
        </is>
      </c>
      <c r="B1602" s="1" t="n">
        <v>43882</v>
      </c>
      <c r="C1602" s="1" t="n">
        <v>45353</v>
      </c>
      <c r="D1602" t="inlineStr">
        <is>
          <t>SÖDERMANLANDS LÄN</t>
        </is>
      </c>
      <c r="E1602" t="inlineStr">
        <is>
          <t>STRÄNGNÄS</t>
        </is>
      </c>
      <c r="F1602" t="inlineStr">
        <is>
          <t>Övriga Aktiebolag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9985-2020</t>
        </is>
      </c>
      <c r="B1603" s="1" t="n">
        <v>43882</v>
      </c>
      <c r="C1603" s="1" t="n">
        <v>45353</v>
      </c>
      <c r="D1603" t="inlineStr">
        <is>
          <t>SÖDERMANLANDS LÄN</t>
        </is>
      </c>
      <c r="E1603" t="inlineStr">
        <is>
          <t>STRÄNGNÄS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10087-2020</t>
        </is>
      </c>
      <c r="B1604" s="1" t="n">
        <v>43885</v>
      </c>
      <c r="C1604" s="1" t="n">
        <v>45353</v>
      </c>
      <c r="D1604" t="inlineStr">
        <is>
          <t>SÖDERMANLANDS LÄN</t>
        </is>
      </c>
      <c r="E1604" t="inlineStr">
        <is>
          <t>ESKILSTUNA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10193-2020</t>
        </is>
      </c>
      <c r="B1605" s="1" t="n">
        <v>43885</v>
      </c>
      <c r="C1605" s="1" t="n">
        <v>45353</v>
      </c>
      <c r="D1605" t="inlineStr">
        <is>
          <t>SÖDERMANLANDS LÄN</t>
        </is>
      </c>
      <c r="E1605" t="inlineStr">
        <is>
          <t>FLEN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10374-2020</t>
        </is>
      </c>
      <c r="B1606" s="1" t="n">
        <v>43885</v>
      </c>
      <c r="C1606" s="1" t="n">
        <v>45353</v>
      </c>
      <c r="D1606" t="inlineStr">
        <is>
          <t>SÖDERMANLANDS LÄN</t>
        </is>
      </c>
      <c r="E1606" t="inlineStr">
        <is>
          <t>TROSA</t>
        </is>
      </c>
      <c r="G1606" t="n">
        <v>9.300000000000001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10348-2020</t>
        </is>
      </c>
      <c r="B1607" s="1" t="n">
        <v>43885</v>
      </c>
      <c r="C1607" s="1" t="n">
        <v>45353</v>
      </c>
      <c r="D1607" t="inlineStr">
        <is>
          <t>SÖDERMANLANDS LÄN</t>
        </is>
      </c>
      <c r="E1607" t="inlineStr">
        <is>
          <t>STRÄNGNÄS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10401-2020</t>
        </is>
      </c>
      <c r="B1608" s="1" t="n">
        <v>43885</v>
      </c>
      <c r="C1608" s="1" t="n">
        <v>45353</v>
      </c>
      <c r="D1608" t="inlineStr">
        <is>
          <t>SÖDERMANLANDS LÄN</t>
        </is>
      </c>
      <c r="E1608" t="inlineStr">
        <is>
          <t>KATRINEHOLM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11059-2020</t>
        </is>
      </c>
      <c r="B1609" s="1" t="n">
        <v>43885</v>
      </c>
      <c r="C1609" s="1" t="n">
        <v>45353</v>
      </c>
      <c r="D1609" t="inlineStr">
        <is>
          <t>SÖDERMANLANDS LÄN</t>
        </is>
      </c>
      <c r="E1609" t="inlineStr">
        <is>
          <t>FLEN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10473-2020</t>
        </is>
      </c>
      <c r="B1610" s="1" t="n">
        <v>43886</v>
      </c>
      <c r="C1610" s="1" t="n">
        <v>45353</v>
      </c>
      <c r="D1610" t="inlineStr">
        <is>
          <t>SÖDERMANLANDS LÄN</t>
        </is>
      </c>
      <c r="E1610" t="inlineStr">
        <is>
          <t>VINGÅKER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10527-2020</t>
        </is>
      </c>
      <c r="B1611" s="1" t="n">
        <v>43886</v>
      </c>
      <c r="C1611" s="1" t="n">
        <v>45353</v>
      </c>
      <c r="D1611" t="inlineStr">
        <is>
          <t>SÖDERMANLANDS LÄN</t>
        </is>
      </c>
      <c r="E1611" t="inlineStr">
        <is>
          <t>KATRINEHOLM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10486-2020</t>
        </is>
      </c>
      <c r="B1612" s="1" t="n">
        <v>43886</v>
      </c>
      <c r="C1612" s="1" t="n">
        <v>45353</v>
      </c>
      <c r="D1612" t="inlineStr">
        <is>
          <t>SÖDERMANLANDS LÄN</t>
        </is>
      </c>
      <c r="E1612" t="inlineStr">
        <is>
          <t>KATRINEHOLM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10549-2020</t>
        </is>
      </c>
      <c r="B1613" s="1" t="n">
        <v>43886</v>
      </c>
      <c r="C1613" s="1" t="n">
        <v>45353</v>
      </c>
      <c r="D1613" t="inlineStr">
        <is>
          <t>SÖDERMANLANDS LÄN</t>
        </is>
      </c>
      <c r="E1613" t="inlineStr">
        <is>
          <t>VINGÅKER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10705-2020</t>
        </is>
      </c>
      <c r="B1614" s="1" t="n">
        <v>43888</v>
      </c>
      <c r="C1614" s="1" t="n">
        <v>45353</v>
      </c>
      <c r="D1614" t="inlineStr">
        <is>
          <t>SÖDERMANLANDS LÄN</t>
        </is>
      </c>
      <c r="E1614" t="inlineStr">
        <is>
          <t>FLEN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10918-2020</t>
        </is>
      </c>
      <c r="B1615" s="1" t="n">
        <v>43889</v>
      </c>
      <c r="C1615" s="1" t="n">
        <v>45353</v>
      </c>
      <c r="D1615" t="inlineStr">
        <is>
          <t>SÖDERMANLANDS LÄN</t>
        </is>
      </c>
      <c r="E1615" t="inlineStr">
        <is>
          <t>FLEN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10913-2020</t>
        </is>
      </c>
      <c r="B1616" s="1" t="n">
        <v>43889</v>
      </c>
      <c r="C1616" s="1" t="n">
        <v>45353</v>
      </c>
      <c r="D1616" t="inlineStr">
        <is>
          <t>SÖDERMANLANDS LÄN</t>
        </is>
      </c>
      <c r="E1616" t="inlineStr">
        <is>
          <t>FLEN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11316-2020</t>
        </is>
      </c>
      <c r="B1617" s="1" t="n">
        <v>43892</v>
      </c>
      <c r="C1617" s="1" t="n">
        <v>45353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11189-2020</t>
        </is>
      </c>
      <c r="B1618" s="1" t="n">
        <v>43892</v>
      </c>
      <c r="C1618" s="1" t="n">
        <v>45353</v>
      </c>
      <c r="D1618" t="inlineStr">
        <is>
          <t>SÖDERMANLANDS LÄN</t>
        </is>
      </c>
      <c r="E1618" t="inlineStr">
        <is>
          <t>TROSA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11314-2020</t>
        </is>
      </c>
      <c r="B1619" s="1" t="n">
        <v>43892</v>
      </c>
      <c r="C1619" s="1" t="n">
        <v>45353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11517-2020</t>
        </is>
      </c>
      <c r="B1620" s="1" t="n">
        <v>43893</v>
      </c>
      <c r="C1620" s="1" t="n">
        <v>45353</v>
      </c>
      <c r="D1620" t="inlineStr">
        <is>
          <t>SÖDERMANLANDS LÄN</t>
        </is>
      </c>
      <c r="E1620" t="inlineStr">
        <is>
          <t>FLEN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11730-2020</t>
        </is>
      </c>
      <c r="B1621" s="1" t="n">
        <v>43893</v>
      </c>
      <c r="C1621" s="1" t="n">
        <v>45353</v>
      </c>
      <c r="D1621" t="inlineStr">
        <is>
          <t>SÖDERMANLANDS LÄN</t>
        </is>
      </c>
      <c r="E1621" t="inlineStr">
        <is>
          <t>VINGÅKER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11811-2020</t>
        </is>
      </c>
      <c r="B1622" s="1" t="n">
        <v>43894</v>
      </c>
      <c r="C1622" s="1" t="n">
        <v>45353</v>
      </c>
      <c r="D1622" t="inlineStr">
        <is>
          <t>SÖDERMANLANDS LÄN</t>
        </is>
      </c>
      <c r="E1622" t="inlineStr">
        <is>
          <t>FLEN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11896-2020</t>
        </is>
      </c>
      <c r="B1623" s="1" t="n">
        <v>43894</v>
      </c>
      <c r="C1623" s="1" t="n">
        <v>45353</v>
      </c>
      <c r="D1623" t="inlineStr">
        <is>
          <t>SÖDERMANLANDS LÄN</t>
        </is>
      </c>
      <c r="E1623" t="inlineStr">
        <is>
          <t>ESKILSTUNA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12129-2020</t>
        </is>
      </c>
      <c r="B1624" s="1" t="n">
        <v>43895</v>
      </c>
      <c r="C1624" s="1" t="n">
        <v>45353</v>
      </c>
      <c r="D1624" t="inlineStr">
        <is>
          <t>SÖDERMANLANDS LÄN</t>
        </is>
      </c>
      <c r="E1624" t="inlineStr">
        <is>
          <t>STRÄNGNÄS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12123-2020</t>
        </is>
      </c>
      <c r="B1625" s="1" t="n">
        <v>43895</v>
      </c>
      <c r="C1625" s="1" t="n">
        <v>45353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12294-2020</t>
        </is>
      </c>
      <c r="B1626" s="1" t="n">
        <v>43895</v>
      </c>
      <c r="C1626" s="1" t="n">
        <v>45353</v>
      </c>
      <c r="D1626" t="inlineStr">
        <is>
          <t>SÖDERMANLANDS LÄN</t>
        </is>
      </c>
      <c r="E1626" t="inlineStr">
        <is>
          <t>VINGÅKER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12115-2020</t>
        </is>
      </c>
      <c r="B1627" s="1" t="n">
        <v>43895</v>
      </c>
      <c r="C1627" s="1" t="n">
        <v>45353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12291-2020</t>
        </is>
      </c>
      <c r="B1628" s="1" t="n">
        <v>43895</v>
      </c>
      <c r="C1628" s="1" t="n">
        <v>45353</v>
      </c>
      <c r="D1628" t="inlineStr">
        <is>
          <t>SÖDERMANLANDS LÄN</t>
        </is>
      </c>
      <c r="E1628" t="inlineStr">
        <is>
          <t>VINGÅKER</t>
        </is>
      </c>
      <c r="G1628" t="n">
        <v>9.6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12494-2020</t>
        </is>
      </c>
      <c r="B1629" s="1" t="n">
        <v>43896</v>
      </c>
      <c r="C1629" s="1" t="n">
        <v>45353</v>
      </c>
      <c r="D1629" t="inlineStr">
        <is>
          <t>SÖDERMANLANDS LÄN</t>
        </is>
      </c>
      <c r="E1629" t="inlineStr">
        <is>
          <t>STRÄNGNÄS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12510-2020</t>
        </is>
      </c>
      <c r="B1630" s="1" t="n">
        <v>43896</v>
      </c>
      <c r="C1630" s="1" t="n">
        <v>45353</v>
      </c>
      <c r="D1630" t="inlineStr">
        <is>
          <t>SÖDERMANLANDS LÄN</t>
        </is>
      </c>
      <c r="E1630" t="inlineStr">
        <is>
          <t>ESKILSTUNA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12369-2020</t>
        </is>
      </c>
      <c r="B1631" s="1" t="n">
        <v>43896</v>
      </c>
      <c r="C1631" s="1" t="n">
        <v>45353</v>
      </c>
      <c r="D1631" t="inlineStr">
        <is>
          <t>SÖDERMANLANDS LÄN</t>
        </is>
      </c>
      <c r="E1631" t="inlineStr">
        <is>
          <t>TROSA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12517-2020</t>
        </is>
      </c>
      <c r="B1632" s="1" t="n">
        <v>43896</v>
      </c>
      <c r="C1632" s="1" t="n">
        <v>45353</v>
      </c>
      <c r="D1632" t="inlineStr">
        <is>
          <t>SÖDERMANLANDS LÄN</t>
        </is>
      </c>
      <c r="E1632" t="inlineStr">
        <is>
          <t>GNESTA</t>
        </is>
      </c>
      <c r="F1632" t="inlineStr">
        <is>
          <t>Kommuner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13717-2020</t>
        </is>
      </c>
      <c r="B1633" s="1" t="n">
        <v>43896</v>
      </c>
      <c r="C1633" s="1" t="n">
        <v>45353</v>
      </c>
      <c r="D1633" t="inlineStr">
        <is>
          <t>SÖDERMANLANDS LÄN</t>
        </is>
      </c>
      <c r="E1633" t="inlineStr">
        <is>
          <t>GNESTA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13837-2020</t>
        </is>
      </c>
      <c r="B1634" s="1" t="n">
        <v>43896</v>
      </c>
      <c r="C1634" s="1" t="n">
        <v>45353</v>
      </c>
      <c r="D1634" t="inlineStr">
        <is>
          <t>SÖDERMANLANDS LÄN</t>
        </is>
      </c>
      <c r="E1634" t="inlineStr">
        <is>
          <t>GNESTA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13834-2020</t>
        </is>
      </c>
      <c r="B1635" s="1" t="n">
        <v>43896</v>
      </c>
      <c r="C1635" s="1" t="n">
        <v>45353</v>
      </c>
      <c r="D1635" t="inlineStr">
        <is>
          <t>SÖDERMANLANDS LÄN</t>
        </is>
      </c>
      <c r="E1635" t="inlineStr">
        <is>
          <t>GNESTA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12557-2020</t>
        </is>
      </c>
      <c r="B1636" s="1" t="n">
        <v>43898</v>
      </c>
      <c r="C1636" s="1" t="n">
        <v>45353</v>
      </c>
      <c r="D1636" t="inlineStr">
        <is>
          <t>SÖDERMANLANDS LÄN</t>
        </is>
      </c>
      <c r="E1636" t="inlineStr">
        <is>
          <t>KATRINEHOLM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12817-2020</t>
        </is>
      </c>
      <c r="B1637" s="1" t="n">
        <v>43899</v>
      </c>
      <c r="C1637" s="1" t="n">
        <v>45353</v>
      </c>
      <c r="D1637" t="inlineStr">
        <is>
          <t>SÖDERMANLANDS LÄN</t>
        </is>
      </c>
      <c r="E1637" t="inlineStr">
        <is>
          <t>GNESTA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12861-2020</t>
        </is>
      </c>
      <c r="B1638" s="1" t="n">
        <v>43899</v>
      </c>
      <c r="C1638" s="1" t="n">
        <v>45353</v>
      </c>
      <c r="D1638" t="inlineStr">
        <is>
          <t>SÖDERMANLANDS LÄN</t>
        </is>
      </c>
      <c r="E1638" t="inlineStr">
        <is>
          <t>GNESTA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14115-2020</t>
        </is>
      </c>
      <c r="B1639" s="1" t="n">
        <v>43899</v>
      </c>
      <c r="C1639" s="1" t="n">
        <v>45353</v>
      </c>
      <c r="D1639" t="inlineStr">
        <is>
          <t>SÖDERMANLANDS LÄN</t>
        </is>
      </c>
      <c r="E1639" t="inlineStr">
        <is>
          <t>VINGÅKER</t>
        </is>
      </c>
      <c r="F1639" t="inlineStr">
        <is>
          <t>Övriga Aktiebolag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13053-2020</t>
        </is>
      </c>
      <c r="B1640" s="1" t="n">
        <v>43900</v>
      </c>
      <c r="C1640" s="1" t="n">
        <v>45353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Övriga Aktiebolag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13058-2020</t>
        </is>
      </c>
      <c r="B1641" s="1" t="n">
        <v>43900</v>
      </c>
      <c r="C1641" s="1" t="n">
        <v>45353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13118-2020</t>
        </is>
      </c>
      <c r="B1642" s="1" t="n">
        <v>43901</v>
      </c>
      <c r="C1642" s="1" t="n">
        <v>45353</v>
      </c>
      <c r="D1642" t="inlineStr">
        <is>
          <t>SÖDERMANLANDS LÄN</t>
        </is>
      </c>
      <c r="E1642" t="inlineStr">
        <is>
          <t>NYKÖPING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13194-2020</t>
        </is>
      </c>
      <c r="B1643" s="1" t="n">
        <v>43901</v>
      </c>
      <c r="C1643" s="1" t="n">
        <v>45353</v>
      </c>
      <c r="D1643" t="inlineStr">
        <is>
          <t>SÖDERMANLANDS LÄN</t>
        </is>
      </c>
      <c r="E1643" t="inlineStr">
        <is>
          <t>FLEN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13255-2020</t>
        </is>
      </c>
      <c r="B1644" s="1" t="n">
        <v>43901</v>
      </c>
      <c r="C1644" s="1" t="n">
        <v>45353</v>
      </c>
      <c r="D1644" t="inlineStr">
        <is>
          <t>SÖDERMANLANDS LÄN</t>
        </is>
      </c>
      <c r="E1644" t="inlineStr">
        <is>
          <t>FLEN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13279-2020</t>
        </is>
      </c>
      <c r="B1645" s="1" t="n">
        <v>43901</v>
      </c>
      <c r="C1645" s="1" t="n">
        <v>45353</v>
      </c>
      <c r="D1645" t="inlineStr">
        <is>
          <t>SÖDERMANLANDS LÄN</t>
        </is>
      </c>
      <c r="E1645" t="inlineStr">
        <is>
          <t>KATRINEHOLM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13251-2020</t>
        </is>
      </c>
      <c r="B1646" s="1" t="n">
        <v>43901</v>
      </c>
      <c r="C1646" s="1" t="n">
        <v>45353</v>
      </c>
      <c r="D1646" t="inlineStr">
        <is>
          <t>SÖDERMANLANDS LÄN</t>
        </is>
      </c>
      <c r="E1646" t="inlineStr">
        <is>
          <t>FLEN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13261-2020</t>
        </is>
      </c>
      <c r="B1647" s="1" t="n">
        <v>43901</v>
      </c>
      <c r="C1647" s="1" t="n">
        <v>45353</v>
      </c>
      <c r="D1647" t="inlineStr">
        <is>
          <t>SÖDERMANLANDS LÄN</t>
        </is>
      </c>
      <c r="E1647" t="inlineStr">
        <is>
          <t>KATRINEHOLM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13355-2020</t>
        </is>
      </c>
      <c r="B1648" s="1" t="n">
        <v>43902</v>
      </c>
      <c r="C1648" s="1" t="n">
        <v>45353</v>
      </c>
      <c r="D1648" t="inlineStr">
        <is>
          <t>SÖDERMANLANDS LÄN</t>
        </is>
      </c>
      <c r="E1648" t="inlineStr">
        <is>
          <t>GNESTA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13351-2020</t>
        </is>
      </c>
      <c r="B1649" s="1" t="n">
        <v>43902</v>
      </c>
      <c r="C1649" s="1" t="n">
        <v>45353</v>
      </c>
      <c r="D1649" t="inlineStr">
        <is>
          <t>SÖDERMANLANDS LÄN</t>
        </is>
      </c>
      <c r="E1649" t="inlineStr">
        <is>
          <t>GNESTA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13505-2020</t>
        </is>
      </c>
      <c r="B1650" s="1" t="n">
        <v>43902</v>
      </c>
      <c r="C1650" s="1" t="n">
        <v>45353</v>
      </c>
      <c r="D1650" t="inlineStr">
        <is>
          <t>SÖDERMANLANDS LÄN</t>
        </is>
      </c>
      <c r="E1650" t="inlineStr">
        <is>
          <t>KATRINEHOLM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13344-2020</t>
        </is>
      </c>
      <c r="B1651" s="1" t="n">
        <v>43902</v>
      </c>
      <c r="C1651" s="1" t="n">
        <v>45353</v>
      </c>
      <c r="D1651" t="inlineStr">
        <is>
          <t>SÖDERMANLANDS LÄN</t>
        </is>
      </c>
      <c r="E1651" t="inlineStr">
        <is>
          <t>NYKÖPING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13538-2020</t>
        </is>
      </c>
      <c r="B1652" s="1" t="n">
        <v>43902</v>
      </c>
      <c r="C1652" s="1" t="n">
        <v>45353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Kyrkan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14363-2020</t>
        </is>
      </c>
      <c r="B1653" s="1" t="n">
        <v>43902</v>
      </c>
      <c r="C1653" s="1" t="n">
        <v>45353</v>
      </c>
      <c r="D1653" t="inlineStr">
        <is>
          <t>SÖDERMANLANDS LÄN</t>
        </is>
      </c>
      <c r="E1653" t="inlineStr">
        <is>
          <t>STRÄNGNÄS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13473-2020</t>
        </is>
      </c>
      <c r="B1654" s="1" t="n">
        <v>43902</v>
      </c>
      <c r="C1654" s="1" t="n">
        <v>45353</v>
      </c>
      <c r="D1654" t="inlineStr">
        <is>
          <t>SÖDERMANLANDS LÄN</t>
        </is>
      </c>
      <c r="E1654" t="inlineStr">
        <is>
          <t>FLEN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13698-2020</t>
        </is>
      </c>
      <c r="B1655" s="1" t="n">
        <v>43902</v>
      </c>
      <c r="C1655" s="1" t="n">
        <v>45353</v>
      </c>
      <c r="D1655" t="inlineStr">
        <is>
          <t>SÖDERMANLANDS LÄN</t>
        </is>
      </c>
      <c r="E1655" t="inlineStr">
        <is>
          <t>FLEN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13843-2020</t>
        </is>
      </c>
      <c r="B1656" s="1" t="n">
        <v>43903</v>
      </c>
      <c r="C1656" s="1" t="n">
        <v>45353</v>
      </c>
      <c r="D1656" t="inlineStr">
        <is>
          <t>SÖDERMANLANDS LÄN</t>
        </is>
      </c>
      <c r="E1656" t="inlineStr">
        <is>
          <t>ESKILSTUNA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13778-2020</t>
        </is>
      </c>
      <c r="B1657" s="1" t="n">
        <v>43903</v>
      </c>
      <c r="C1657" s="1" t="n">
        <v>45353</v>
      </c>
      <c r="D1657" t="inlineStr">
        <is>
          <t>SÖDERMANLANDS LÄN</t>
        </is>
      </c>
      <c r="E1657" t="inlineStr">
        <is>
          <t>NYKÖPING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13874-2020</t>
        </is>
      </c>
      <c r="B1658" s="1" t="n">
        <v>43906</v>
      </c>
      <c r="C1658" s="1" t="n">
        <v>45353</v>
      </c>
      <c r="D1658" t="inlineStr">
        <is>
          <t>SÖDERMANLANDS LÄN</t>
        </is>
      </c>
      <c r="E1658" t="inlineStr">
        <is>
          <t>NYKÖPING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13972-2020</t>
        </is>
      </c>
      <c r="B1659" s="1" t="n">
        <v>43906</v>
      </c>
      <c r="C1659" s="1" t="n">
        <v>45353</v>
      </c>
      <c r="D1659" t="inlineStr">
        <is>
          <t>SÖDERMANLANDS LÄN</t>
        </is>
      </c>
      <c r="E1659" t="inlineStr">
        <is>
          <t>KATRINEHOLM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14200-2020</t>
        </is>
      </c>
      <c r="B1660" s="1" t="n">
        <v>43907</v>
      </c>
      <c r="C1660" s="1" t="n">
        <v>45353</v>
      </c>
      <c r="D1660" t="inlineStr">
        <is>
          <t>SÖDERMANLANDS LÄN</t>
        </is>
      </c>
      <c r="E1660" t="inlineStr">
        <is>
          <t>FLEN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14241-2020</t>
        </is>
      </c>
      <c r="B1661" s="1" t="n">
        <v>43907</v>
      </c>
      <c r="C1661" s="1" t="n">
        <v>45353</v>
      </c>
      <c r="D1661" t="inlineStr">
        <is>
          <t>SÖDERMANLANDS LÄN</t>
        </is>
      </c>
      <c r="E1661" t="inlineStr">
        <is>
          <t>NYKÖPING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14229-2020</t>
        </is>
      </c>
      <c r="B1662" s="1" t="n">
        <v>43907</v>
      </c>
      <c r="C1662" s="1" t="n">
        <v>45353</v>
      </c>
      <c r="D1662" t="inlineStr">
        <is>
          <t>SÖDERMANLANDS LÄN</t>
        </is>
      </c>
      <c r="E1662" t="inlineStr">
        <is>
          <t>FLEN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14313-2020</t>
        </is>
      </c>
      <c r="B1663" s="1" t="n">
        <v>43907</v>
      </c>
      <c r="C1663" s="1" t="n">
        <v>45353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Övriga Aktiebolag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14389-2020</t>
        </is>
      </c>
      <c r="B1664" s="1" t="n">
        <v>43908</v>
      </c>
      <c r="C1664" s="1" t="n">
        <v>45353</v>
      </c>
      <c r="D1664" t="inlineStr">
        <is>
          <t>SÖDERMANLANDS LÄN</t>
        </is>
      </c>
      <c r="E1664" t="inlineStr">
        <is>
          <t>KATRINEHOLM</t>
        </is>
      </c>
      <c r="F1664" t="inlineStr">
        <is>
          <t>Övriga Aktiebolag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14394-2020</t>
        </is>
      </c>
      <c r="B1665" s="1" t="n">
        <v>43908</v>
      </c>
      <c r="C1665" s="1" t="n">
        <v>45353</v>
      </c>
      <c r="D1665" t="inlineStr">
        <is>
          <t>SÖDERMANLANDS LÄN</t>
        </is>
      </c>
      <c r="E1665" t="inlineStr">
        <is>
          <t>ESKILSTUNA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14533-2020</t>
        </is>
      </c>
      <c r="B1666" s="1" t="n">
        <v>43908</v>
      </c>
      <c r="C1666" s="1" t="n">
        <v>45353</v>
      </c>
      <c r="D1666" t="inlineStr">
        <is>
          <t>SÖDERMANLANDS LÄN</t>
        </is>
      </c>
      <c r="E1666" t="inlineStr">
        <is>
          <t>NYKÖPING</t>
        </is>
      </c>
      <c r="G1666" t="n">
        <v>21.2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14708-2020</t>
        </is>
      </c>
      <c r="B1667" s="1" t="n">
        <v>43909</v>
      </c>
      <c r="C1667" s="1" t="n">
        <v>45353</v>
      </c>
      <c r="D1667" t="inlineStr">
        <is>
          <t>SÖDERMANLANDS LÄN</t>
        </is>
      </c>
      <c r="E1667" t="inlineStr">
        <is>
          <t>NYKÖPING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14893-2020</t>
        </is>
      </c>
      <c r="B1668" s="1" t="n">
        <v>43910</v>
      </c>
      <c r="C1668" s="1" t="n">
        <v>45353</v>
      </c>
      <c r="D1668" t="inlineStr">
        <is>
          <t>SÖDERMANLANDS LÄN</t>
        </is>
      </c>
      <c r="E1668" t="inlineStr">
        <is>
          <t>ESKILSTUNA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15069-2020</t>
        </is>
      </c>
      <c r="B1669" s="1" t="n">
        <v>43910</v>
      </c>
      <c r="C1669" s="1" t="n">
        <v>45353</v>
      </c>
      <c r="D1669" t="inlineStr">
        <is>
          <t>SÖDERMANLANDS LÄN</t>
        </is>
      </c>
      <c r="E1669" t="inlineStr">
        <is>
          <t>KATRINEHOLM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16499-2020</t>
        </is>
      </c>
      <c r="B1670" s="1" t="n">
        <v>43910</v>
      </c>
      <c r="C1670" s="1" t="n">
        <v>45353</v>
      </c>
      <c r="D1670" t="inlineStr">
        <is>
          <t>SÖDERMANLANDS LÄN</t>
        </is>
      </c>
      <c r="E1670" t="inlineStr">
        <is>
          <t>GNESTA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15132-2020</t>
        </is>
      </c>
      <c r="B1671" s="1" t="n">
        <v>43911</v>
      </c>
      <c r="C1671" s="1" t="n">
        <v>45353</v>
      </c>
      <c r="D1671" t="inlineStr">
        <is>
          <t>SÖDERMANLANDS LÄN</t>
        </is>
      </c>
      <c r="E1671" t="inlineStr">
        <is>
          <t>FLEN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15394-2020</t>
        </is>
      </c>
      <c r="B1672" s="1" t="n">
        <v>43913</v>
      </c>
      <c r="C1672" s="1" t="n">
        <v>45353</v>
      </c>
      <c r="D1672" t="inlineStr">
        <is>
          <t>SÖDERMANLANDS LÄN</t>
        </is>
      </c>
      <c r="E1672" t="inlineStr">
        <is>
          <t>ESKILSTUNA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15613-2020</t>
        </is>
      </c>
      <c r="B1673" s="1" t="n">
        <v>43914</v>
      </c>
      <c r="C1673" s="1" t="n">
        <v>45353</v>
      </c>
      <c r="D1673" t="inlineStr">
        <is>
          <t>SÖDERMANLANDS LÄN</t>
        </is>
      </c>
      <c r="E1673" t="inlineStr">
        <is>
          <t>VINGÅKER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15469-2020</t>
        </is>
      </c>
      <c r="B1674" s="1" t="n">
        <v>43914</v>
      </c>
      <c r="C1674" s="1" t="n">
        <v>45353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Holmen skog AB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15532-2020</t>
        </is>
      </c>
      <c r="B1675" s="1" t="n">
        <v>43914</v>
      </c>
      <c r="C1675" s="1" t="n">
        <v>45353</v>
      </c>
      <c r="D1675" t="inlineStr">
        <is>
          <t>SÖDERMANLANDS LÄN</t>
        </is>
      </c>
      <c r="E1675" t="inlineStr">
        <is>
          <t>STRÄNGNÄS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15616-2020</t>
        </is>
      </c>
      <c r="B1676" s="1" t="n">
        <v>43914</v>
      </c>
      <c r="C1676" s="1" t="n">
        <v>45353</v>
      </c>
      <c r="D1676" t="inlineStr">
        <is>
          <t>SÖDERMANLANDS LÄN</t>
        </is>
      </c>
      <c r="E1676" t="inlineStr">
        <is>
          <t>VINGÅKER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15471-2020</t>
        </is>
      </c>
      <c r="B1677" s="1" t="n">
        <v>43914</v>
      </c>
      <c r="C1677" s="1" t="n">
        <v>45353</v>
      </c>
      <c r="D1677" t="inlineStr">
        <is>
          <t>SÖDERMANLANDS LÄN</t>
        </is>
      </c>
      <c r="E1677" t="inlineStr">
        <is>
          <t>VINGÅKER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16227-2020</t>
        </is>
      </c>
      <c r="B1678" s="1" t="n">
        <v>43915</v>
      </c>
      <c r="C1678" s="1" t="n">
        <v>45353</v>
      </c>
      <c r="D1678" t="inlineStr">
        <is>
          <t>SÖDERMANLANDS LÄN</t>
        </is>
      </c>
      <c r="E1678" t="inlineStr">
        <is>
          <t>NYKÖPING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17164-2020</t>
        </is>
      </c>
      <c r="B1679" s="1" t="n">
        <v>43915</v>
      </c>
      <c r="C1679" s="1" t="n">
        <v>45353</v>
      </c>
      <c r="D1679" t="inlineStr">
        <is>
          <t>SÖDERMANLANDS LÄN</t>
        </is>
      </c>
      <c r="E1679" t="inlineStr">
        <is>
          <t>KATRINEHOLM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17199-2020</t>
        </is>
      </c>
      <c r="B1680" s="1" t="n">
        <v>43915</v>
      </c>
      <c r="C1680" s="1" t="n">
        <v>45353</v>
      </c>
      <c r="D1680" t="inlineStr">
        <is>
          <t>SÖDERMANLANDS LÄN</t>
        </is>
      </c>
      <c r="E1680" t="inlineStr">
        <is>
          <t>VINGÅKER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16206-2020</t>
        </is>
      </c>
      <c r="B1681" s="1" t="n">
        <v>43917</v>
      </c>
      <c r="C1681" s="1" t="n">
        <v>45353</v>
      </c>
      <c r="D1681" t="inlineStr">
        <is>
          <t>SÖDERMANLANDS LÄN</t>
        </is>
      </c>
      <c r="E1681" t="inlineStr">
        <is>
          <t>FLEN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16438-2020</t>
        </is>
      </c>
      <c r="B1682" s="1" t="n">
        <v>43919</v>
      </c>
      <c r="C1682" s="1" t="n">
        <v>45353</v>
      </c>
      <c r="D1682" t="inlineStr">
        <is>
          <t>SÖDERMANLANDS LÄN</t>
        </is>
      </c>
      <c r="E1682" t="inlineStr">
        <is>
          <t>GNESTA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16684-2020</t>
        </is>
      </c>
      <c r="B1683" s="1" t="n">
        <v>43920</v>
      </c>
      <c r="C1683" s="1" t="n">
        <v>45353</v>
      </c>
      <c r="D1683" t="inlineStr">
        <is>
          <t>SÖDERMANLANDS LÄN</t>
        </is>
      </c>
      <c r="E1683" t="inlineStr">
        <is>
          <t>FLEN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16698-2020</t>
        </is>
      </c>
      <c r="B1684" s="1" t="n">
        <v>43920</v>
      </c>
      <c r="C1684" s="1" t="n">
        <v>45353</v>
      </c>
      <c r="D1684" t="inlineStr">
        <is>
          <t>SÖDERMANLANDS LÄN</t>
        </is>
      </c>
      <c r="E1684" t="inlineStr">
        <is>
          <t>STRÄNGNÄS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16679-2020</t>
        </is>
      </c>
      <c r="B1685" s="1" t="n">
        <v>43920</v>
      </c>
      <c r="C1685" s="1" t="n">
        <v>45353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16692-2020</t>
        </is>
      </c>
      <c r="B1686" s="1" t="n">
        <v>43920</v>
      </c>
      <c r="C1686" s="1" t="n">
        <v>45353</v>
      </c>
      <c r="D1686" t="inlineStr">
        <is>
          <t>SÖDERMANLANDS LÄN</t>
        </is>
      </c>
      <c r="E1686" t="inlineStr">
        <is>
          <t>STRÄNGNÄS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16741-2020</t>
        </is>
      </c>
      <c r="B1687" s="1" t="n">
        <v>43920</v>
      </c>
      <c r="C1687" s="1" t="n">
        <v>45353</v>
      </c>
      <c r="D1687" t="inlineStr">
        <is>
          <t>SÖDERMANLANDS LÄN</t>
        </is>
      </c>
      <c r="E1687" t="inlineStr">
        <is>
          <t>NYKÖPING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16846-2020</t>
        </is>
      </c>
      <c r="B1688" s="1" t="n">
        <v>43921</v>
      </c>
      <c r="C1688" s="1" t="n">
        <v>45353</v>
      </c>
      <c r="D1688" t="inlineStr">
        <is>
          <t>SÖDERMANLANDS LÄN</t>
        </is>
      </c>
      <c r="E1688" t="inlineStr">
        <is>
          <t>ESKILSTUNA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16835-2020</t>
        </is>
      </c>
      <c r="B1689" s="1" t="n">
        <v>43921</v>
      </c>
      <c r="C1689" s="1" t="n">
        <v>45353</v>
      </c>
      <c r="D1689" t="inlineStr">
        <is>
          <t>SÖDERMANLANDS LÄN</t>
        </is>
      </c>
      <c r="E1689" t="inlineStr">
        <is>
          <t>ESKILSTUNA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17123-2020</t>
        </is>
      </c>
      <c r="B1690" s="1" t="n">
        <v>43922</v>
      </c>
      <c r="C1690" s="1" t="n">
        <v>45353</v>
      </c>
      <c r="D1690" t="inlineStr">
        <is>
          <t>SÖDERMANLANDS LÄN</t>
        </is>
      </c>
      <c r="E1690" t="inlineStr">
        <is>
          <t>STRÄNGNÄS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17154-2020</t>
        </is>
      </c>
      <c r="B1691" s="1" t="n">
        <v>43922</v>
      </c>
      <c r="C1691" s="1" t="n">
        <v>45353</v>
      </c>
      <c r="D1691" t="inlineStr">
        <is>
          <t>SÖDERMANLANDS LÄN</t>
        </is>
      </c>
      <c r="E1691" t="inlineStr">
        <is>
          <t>FLEN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17391-2020</t>
        </is>
      </c>
      <c r="B1692" s="1" t="n">
        <v>43923</v>
      </c>
      <c r="C1692" s="1" t="n">
        <v>45353</v>
      </c>
      <c r="D1692" t="inlineStr">
        <is>
          <t>SÖDERMANLANDS LÄN</t>
        </is>
      </c>
      <c r="E1692" t="inlineStr">
        <is>
          <t>KATRINEHOLM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17758-2020</t>
        </is>
      </c>
      <c r="B1693" s="1" t="n">
        <v>43923</v>
      </c>
      <c r="C1693" s="1" t="n">
        <v>45353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17805-2020</t>
        </is>
      </c>
      <c r="B1694" s="1" t="n">
        <v>43924</v>
      </c>
      <c r="C1694" s="1" t="n">
        <v>45353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18050-2020</t>
        </is>
      </c>
      <c r="B1695" s="1" t="n">
        <v>43924</v>
      </c>
      <c r="C1695" s="1" t="n">
        <v>45353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Kyrkan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18162-2020</t>
        </is>
      </c>
      <c r="B1696" s="1" t="n">
        <v>43924</v>
      </c>
      <c r="C1696" s="1" t="n">
        <v>45353</v>
      </c>
      <c r="D1696" t="inlineStr">
        <is>
          <t>SÖDERMANLANDS LÄN</t>
        </is>
      </c>
      <c r="E1696" t="inlineStr">
        <is>
          <t>KATRINEHOLM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18153-2020</t>
        </is>
      </c>
      <c r="B1697" s="1" t="n">
        <v>43927</v>
      </c>
      <c r="C1697" s="1" t="n">
        <v>45353</v>
      </c>
      <c r="D1697" t="inlineStr">
        <is>
          <t>SÖDERMANLANDS LÄN</t>
        </is>
      </c>
      <c r="E1697" t="inlineStr">
        <is>
          <t>KATRINEHOLM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18352-2020</t>
        </is>
      </c>
      <c r="B1698" s="1" t="n">
        <v>43927</v>
      </c>
      <c r="C1698" s="1" t="n">
        <v>45353</v>
      </c>
      <c r="D1698" t="inlineStr">
        <is>
          <t>SÖDERMANLANDS LÄN</t>
        </is>
      </c>
      <c r="E1698" t="inlineStr">
        <is>
          <t>GNESTA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18279-2020</t>
        </is>
      </c>
      <c r="B1699" s="1" t="n">
        <v>43928</v>
      </c>
      <c r="C1699" s="1" t="n">
        <v>45353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18275-2020</t>
        </is>
      </c>
      <c r="B1700" s="1" t="n">
        <v>43928</v>
      </c>
      <c r="C1700" s="1" t="n">
        <v>45353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18281-2020</t>
        </is>
      </c>
      <c r="B1701" s="1" t="n">
        <v>43928</v>
      </c>
      <c r="C1701" s="1" t="n">
        <v>45353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18277-2020</t>
        </is>
      </c>
      <c r="B1702" s="1" t="n">
        <v>43928</v>
      </c>
      <c r="C1702" s="1" t="n">
        <v>45353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18813-2020</t>
        </is>
      </c>
      <c r="B1703" s="1" t="n">
        <v>43934</v>
      </c>
      <c r="C1703" s="1" t="n">
        <v>45353</v>
      </c>
      <c r="D1703" t="inlineStr">
        <is>
          <t>SÖDERMANLANDS LÄN</t>
        </is>
      </c>
      <c r="E1703" t="inlineStr">
        <is>
          <t>STRÄNGNÄS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19197-2020</t>
        </is>
      </c>
      <c r="B1704" s="1" t="n">
        <v>43935</v>
      </c>
      <c r="C1704" s="1" t="n">
        <v>45353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Kyrkan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19274-2020</t>
        </is>
      </c>
      <c r="B1705" s="1" t="n">
        <v>43937</v>
      </c>
      <c r="C1705" s="1" t="n">
        <v>45353</v>
      </c>
      <c r="D1705" t="inlineStr">
        <is>
          <t>SÖDERMANLANDS LÄN</t>
        </is>
      </c>
      <c r="E1705" t="inlineStr">
        <is>
          <t>STRÄNGNÄS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19227-2020</t>
        </is>
      </c>
      <c r="B1706" s="1" t="n">
        <v>43937</v>
      </c>
      <c r="C1706" s="1" t="n">
        <v>45353</v>
      </c>
      <c r="D1706" t="inlineStr">
        <is>
          <t>SÖDERMANLANDS LÄN</t>
        </is>
      </c>
      <c r="E1706" t="inlineStr">
        <is>
          <t>ESKILSTUNA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19418-2020</t>
        </is>
      </c>
      <c r="B1707" s="1" t="n">
        <v>43938</v>
      </c>
      <c r="C1707" s="1" t="n">
        <v>45353</v>
      </c>
      <c r="D1707" t="inlineStr">
        <is>
          <t>SÖDERMANLANDS LÄN</t>
        </is>
      </c>
      <c r="E1707" t="inlineStr">
        <is>
          <t>ESKILSTUNA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19475-2020</t>
        </is>
      </c>
      <c r="B1708" s="1" t="n">
        <v>43938</v>
      </c>
      <c r="C1708" s="1" t="n">
        <v>45353</v>
      </c>
      <c r="D1708" t="inlineStr">
        <is>
          <t>SÖDERMANLANDS LÄN</t>
        </is>
      </c>
      <c r="E1708" t="inlineStr">
        <is>
          <t>ESKILSTUNA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19490-2020</t>
        </is>
      </c>
      <c r="B1709" s="1" t="n">
        <v>43938</v>
      </c>
      <c r="C1709" s="1" t="n">
        <v>45353</v>
      </c>
      <c r="D1709" t="inlineStr">
        <is>
          <t>SÖDERMANLANDS LÄN</t>
        </is>
      </c>
      <c r="E1709" t="inlineStr">
        <is>
          <t>ESKILSTUNA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19562-2020</t>
        </is>
      </c>
      <c r="B1710" s="1" t="n">
        <v>43941</v>
      </c>
      <c r="C1710" s="1" t="n">
        <v>45353</v>
      </c>
      <c r="D1710" t="inlineStr">
        <is>
          <t>SÖDERMANLANDS LÄN</t>
        </is>
      </c>
      <c r="E1710" t="inlineStr">
        <is>
          <t>ESKILSTUNA</t>
        </is>
      </c>
      <c r="G1710" t="n">
        <v>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19862-2020</t>
        </is>
      </c>
      <c r="B1711" s="1" t="n">
        <v>43942</v>
      </c>
      <c r="C1711" s="1" t="n">
        <v>45353</v>
      </c>
      <c r="D1711" t="inlineStr">
        <is>
          <t>SÖDERMANLANDS LÄN</t>
        </is>
      </c>
      <c r="E1711" t="inlineStr">
        <is>
          <t>NYKÖPING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20015-2020</t>
        </is>
      </c>
      <c r="B1712" s="1" t="n">
        <v>43942</v>
      </c>
      <c r="C1712" s="1" t="n">
        <v>45353</v>
      </c>
      <c r="D1712" t="inlineStr">
        <is>
          <t>SÖDERMANLANDS LÄN</t>
        </is>
      </c>
      <c r="E1712" t="inlineStr">
        <is>
          <t>NYKÖPING</t>
        </is>
      </c>
      <c r="G1712" t="n">
        <v>13.8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20012-2020</t>
        </is>
      </c>
      <c r="B1713" s="1" t="n">
        <v>43943</v>
      </c>
      <c r="C1713" s="1" t="n">
        <v>45353</v>
      </c>
      <c r="D1713" t="inlineStr">
        <is>
          <t>SÖDERMANLANDS LÄN</t>
        </is>
      </c>
      <c r="E1713" t="inlineStr">
        <is>
          <t>KATRINEHOLM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20044-2020</t>
        </is>
      </c>
      <c r="B1714" s="1" t="n">
        <v>43943</v>
      </c>
      <c r="C1714" s="1" t="n">
        <v>45353</v>
      </c>
      <c r="D1714" t="inlineStr">
        <is>
          <t>SÖDERMANLANDS LÄN</t>
        </is>
      </c>
      <c r="E1714" t="inlineStr">
        <is>
          <t>STRÄNGNÄS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20002-2020</t>
        </is>
      </c>
      <c r="B1715" s="1" t="n">
        <v>43943</v>
      </c>
      <c r="C1715" s="1" t="n">
        <v>45353</v>
      </c>
      <c r="D1715" t="inlineStr">
        <is>
          <t>SÖDERMANLANDS LÄN</t>
        </is>
      </c>
      <c r="E1715" t="inlineStr">
        <is>
          <t>FLEN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20016-2020</t>
        </is>
      </c>
      <c r="B1716" s="1" t="n">
        <v>43943</v>
      </c>
      <c r="C1716" s="1" t="n">
        <v>45353</v>
      </c>
      <c r="D1716" t="inlineStr">
        <is>
          <t>SÖDERMANLANDS LÄN</t>
        </is>
      </c>
      <c r="E1716" t="inlineStr">
        <is>
          <t>KATRINEHOLM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20125-2020</t>
        </is>
      </c>
      <c r="B1717" s="1" t="n">
        <v>43943</v>
      </c>
      <c r="C1717" s="1" t="n">
        <v>45353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20004-2020</t>
        </is>
      </c>
      <c r="B1718" s="1" t="n">
        <v>43943</v>
      </c>
      <c r="C1718" s="1" t="n">
        <v>45353</v>
      </c>
      <c r="D1718" t="inlineStr">
        <is>
          <t>SÖDERMANLANDS LÄN</t>
        </is>
      </c>
      <c r="E1718" t="inlineStr">
        <is>
          <t>NYKÖPING</t>
        </is>
      </c>
      <c r="G1718" t="n">
        <v>9.199999999999999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20114-2020</t>
        </is>
      </c>
      <c r="B1719" s="1" t="n">
        <v>43943</v>
      </c>
      <c r="C1719" s="1" t="n">
        <v>45353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Allmännings- och besparingsskogar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20145-2020</t>
        </is>
      </c>
      <c r="B1720" s="1" t="n">
        <v>43944</v>
      </c>
      <c r="C1720" s="1" t="n">
        <v>45353</v>
      </c>
      <c r="D1720" t="inlineStr">
        <is>
          <t>SÖDERMANLANDS LÄN</t>
        </is>
      </c>
      <c r="E1720" t="inlineStr">
        <is>
          <t>NYKÖPING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20387-2020</t>
        </is>
      </c>
      <c r="B1721" s="1" t="n">
        <v>43944</v>
      </c>
      <c r="C1721" s="1" t="n">
        <v>45353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20384-2020</t>
        </is>
      </c>
      <c r="B1722" s="1" t="n">
        <v>43944</v>
      </c>
      <c r="C1722" s="1" t="n">
        <v>45353</v>
      </c>
      <c r="D1722" t="inlineStr">
        <is>
          <t>SÖDERMANLANDS LÄN</t>
        </is>
      </c>
      <c r="E1722" t="inlineStr">
        <is>
          <t>NYKÖPING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20226-2020</t>
        </is>
      </c>
      <c r="B1723" s="1" t="n">
        <v>43944</v>
      </c>
      <c r="C1723" s="1" t="n">
        <v>45353</v>
      </c>
      <c r="D1723" t="inlineStr">
        <is>
          <t>SÖDERMANLANDS LÄN</t>
        </is>
      </c>
      <c r="E1723" t="inlineStr">
        <is>
          <t>NYKÖPING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20396-2020</t>
        </is>
      </c>
      <c r="B1724" s="1" t="n">
        <v>43944</v>
      </c>
      <c r="C1724" s="1" t="n">
        <v>45353</v>
      </c>
      <c r="D1724" t="inlineStr">
        <is>
          <t>SÖDERMANLANDS LÄN</t>
        </is>
      </c>
      <c r="E1724" t="inlineStr">
        <is>
          <t>NYKÖPING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20400-2020</t>
        </is>
      </c>
      <c r="B1725" s="1" t="n">
        <v>43945</v>
      </c>
      <c r="C1725" s="1" t="n">
        <v>45353</v>
      </c>
      <c r="D1725" t="inlineStr">
        <is>
          <t>SÖDERMANLANDS LÄN</t>
        </is>
      </c>
      <c r="E1725" t="inlineStr">
        <is>
          <t>GNESTA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20527-2020</t>
        </is>
      </c>
      <c r="B1726" s="1" t="n">
        <v>43948</v>
      </c>
      <c r="C1726" s="1" t="n">
        <v>45353</v>
      </c>
      <c r="D1726" t="inlineStr">
        <is>
          <t>SÖDERMANLANDS LÄN</t>
        </is>
      </c>
      <c r="E1726" t="inlineStr">
        <is>
          <t>FLEN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20668-2020</t>
        </is>
      </c>
      <c r="B1727" s="1" t="n">
        <v>43948</v>
      </c>
      <c r="C1727" s="1" t="n">
        <v>45353</v>
      </c>
      <c r="D1727" t="inlineStr">
        <is>
          <t>SÖDERMANLANDS LÄN</t>
        </is>
      </c>
      <c r="E1727" t="inlineStr">
        <is>
          <t>VINGÅKER</t>
        </is>
      </c>
      <c r="F1727" t="inlineStr">
        <is>
          <t>Övriga Aktiebolag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20699-2020</t>
        </is>
      </c>
      <c r="B1728" s="1" t="n">
        <v>43949</v>
      </c>
      <c r="C1728" s="1" t="n">
        <v>45353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20644-2020</t>
        </is>
      </c>
      <c r="B1729" s="1" t="n">
        <v>43949</v>
      </c>
      <c r="C1729" s="1" t="n">
        <v>45353</v>
      </c>
      <c r="D1729" t="inlineStr">
        <is>
          <t>SÖDERMANLANDS LÄN</t>
        </is>
      </c>
      <c r="E1729" t="inlineStr">
        <is>
          <t>STRÄNGNÄS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21004-2020</t>
        </is>
      </c>
      <c r="B1730" s="1" t="n">
        <v>43950</v>
      </c>
      <c r="C1730" s="1" t="n">
        <v>45353</v>
      </c>
      <c r="D1730" t="inlineStr">
        <is>
          <t>SÖDERMANLANDS LÄN</t>
        </is>
      </c>
      <c r="E1730" t="inlineStr">
        <is>
          <t>NYKÖPING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21395-2020</t>
        </is>
      </c>
      <c r="B1731" s="1" t="n">
        <v>43955</v>
      </c>
      <c r="C1731" s="1" t="n">
        <v>45353</v>
      </c>
      <c r="D1731" t="inlineStr">
        <is>
          <t>SÖDERMANLANDS LÄN</t>
        </is>
      </c>
      <c r="E1731" t="inlineStr">
        <is>
          <t>TROSA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21400-2020</t>
        </is>
      </c>
      <c r="B1732" s="1" t="n">
        <v>43955</v>
      </c>
      <c r="C1732" s="1" t="n">
        <v>45353</v>
      </c>
      <c r="D1732" t="inlineStr">
        <is>
          <t>SÖDERMANLANDS LÄN</t>
        </is>
      </c>
      <c r="E1732" t="inlineStr">
        <is>
          <t>TROSA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21401-2020</t>
        </is>
      </c>
      <c r="B1733" s="1" t="n">
        <v>43955</v>
      </c>
      <c r="C1733" s="1" t="n">
        <v>45353</v>
      </c>
      <c r="D1733" t="inlineStr">
        <is>
          <t>SÖDERMANLANDS LÄN</t>
        </is>
      </c>
      <c r="E1733" t="inlineStr">
        <is>
          <t>FLEN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21404-2020</t>
        </is>
      </c>
      <c r="B1734" s="1" t="n">
        <v>43955</v>
      </c>
      <c r="C1734" s="1" t="n">
        <v>45353</v>
      </c>
      <c r="D1734" t="inlineStr">
        <is>
          <t>SÖDERMANLANDS LÄN</t>
        </is>
      </c>
      <c r="E1734" t="inlineStr">
        <is>
          <t>FLEN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22206-2020</t>
        </is>
      </c>
      <c r="B1735" s="1" t="n">
        <v>43955</v>
      </c>
      <c r="C1735" s="1" t="n">
        <v>45353</v>
      </c>
      <c r="D1735" t="inlineStr">
        <is>
          <t>SÖDERMANLANDS LÄN</t>
        </is>
      </c>
      <c r="E1735" t="inlineStr">
        <is>
          <t>VINGÅKER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21683-2020</t>
        </is>
      </c>
      <c r="B1736" s="1" t="n">
        <v>43957</v>
      </c>
      <c r="C1736" s="1" t="n">
        <v>45353</v>
      </c>
      <c r="D1736" t="inlineStr">
        <is>
          <t>SÖDERMANLANDS LÄN</t>
        </is>
      </c>
      <c r="E1736" t="inlineStr">
        <is>
          <t>VINGÅKER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21733-2020</t>
        </is>
      </c>
      <c r="B1737" s="1" t="n">
        <v>43957</v>
      </c>
      <c r="C1737" s="1" t="n">
        <v>45353</v>
      </c>
      <c r="D1737" t="inlineStr">
        <is>
          <t>SÖDERMANLANDS LÄN</t>
        </is>
      </c>
      <c r="E1737" t="inlineStr">
        <is>
          <t>VINGÅKER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21755-2020</t>
        </is>
      </c>
      <c r="B1738" s="1" t="n">
        <v>43957</v>
      </c>
      <c r="C1738" s="1" t="n">
        <v>45353</v>
      </c>
      <c r="D1738" t="inlineStr">
        <is>
          <t>SÖDERMANLANDS LÄN</t>
        </is>
      </c>
      <c r="E1738" t="inlineStr">
        <is>
          <t>KATRINEHOLM</t>
        </is>
      </c>
      <c r="G1738" t="n">
        <v>10.4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21675-2020</t>
        </is>
      </c>
      <c r="B1739" s="1" t="n">
        <v>43957</v>
      </c>
      <c r="C1739" s="1" t="n">
        <v>45353</v>
      </c>
      <c r="D1739" t="inlineStr">
        <is>
          <t>SÖDERMANLANDS LÄN</t>
        </is>
      </c>
      <c r="E1739" t="inlineStr">
        <is>
          <t>VINGÅKER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22347-2020</t>
        </is>
      </c>
      <c r="B1740" s="1" t="n">
        <v>43957</v>
      </c>
      <c r="C1740" s="1" t="n">
        <v>45353</v>
      </c>
      <c r="D1740" t="inlineStr">
        <is>
          <t>SÖDERMANLANDS LÄN</t>
        </is>
      </c>
      <c r="E1740" t="inlineStr">
        <is>
          <t>FLEN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21902-2020</t>
        </is>
      </c>
      <c r="B1741" s="1" t="n">
        <v>43958</v>
      </c>
      <c r="C1741" s="1" t="n">
        <v>45353</v>
      </c>
      <c r="D1741" t="inlineStr">
        <is>
          <t>SÖDERMANLANDS LÄN</t>
        </is>
      </c>
      <c r="E1741" t="inlineStr">
        <is>
          <t>FLEN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21818-2020</t>
        </is>
      </c>
      <c r="B1742" s="1" t="n">
        <v>43958</v>
      </c>
      <c r="C1742" s="1" t="n">
        <v>45353</v>
      </c>
      <c r="D1742" t="inlineStr">
        <is>
          <t>SÖDERMANLANDS LÄN</t>
        </is>
      </c>
      <c r="E1742" t="inlineStr">
        <is>
          <t>KATRINEHOLM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22087-2020</t>
        </is>
      </c>
      <c r="B1743" s="1" t="n">
        <v>43959</v>
      </c>
      <c r="C1743" s="1" t="n">
        <v>45353</v>
      </c>
      <c r="D1743" t="inlineStr">
        <is>
          <t>SÖDERMANLANDS LÄN</t>
        </is>
      </c>
      <c r="E1743" t="inlineStr">
        <is>
          <t>STRÄNGNÄS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22237-2020</t>
        </is>
      </c>
      <c r="B1744" s="1" t="n">
        <v>43959</v>
      </c>
      <c r="C1744" s="1" t="n">
        <v>45353</v>
      </c>
      <c r="D1744" t="inlineStr">
        <is>
          <t>SÖDERMANLANDS LÄN</t>
        </is>
      </c>
      <c r="E1744" t="inlineStr">
        <is>
          <t>FLEN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22243-2020</t>
        </is>
      </c>
      <c r="B1745" s="1" t="n">
        <v>43959</v>
      </c>
      <c r="C1745" s="1" t="n">
        <v>45353</v>
      </c>
      <c r="D1745" t="inlineStr">
        <is>
          <t>SÖDERMANLANDS LÄN</t>
        </is>
      </c>
      <c r="E1745" t="inlineStr">
        <is>
          <t>FLEN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22241-2020</t>
        </is>
      </c>
      <c r="B1746" s="1" t="n">
        <v>43959</v>
      </c>
      <c r="C1746" s="1" t="n">
        <v>45353</v>
      </c>
      <c r="D1746" t="inlineStr">
        <is>
          <t>SÖDERMANLANDS LÄN</t>
        </is>
      </c>
      <c r="E1746" t="inlineStr">
        <is>
          <t>FLEN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22183-2020</t>
        </is>
      </c>
      <c r="B1747" s="1" t="n">
        <v>43962</v>
      </c>
      <c r="C1747" s="1" t="n">
        <v>45353</v>
      </c>
      <c r="D1747" t="inlineStr">
        <is>
          <t>SÖDERMANLANDS LÄN</t>
        </is>
      </c>
      <c r="E1747" t="inlineStr">
        <is>
          <t>VINGÅKER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22398-2020</t>
        </is>
      </c>
      <c r="B1748" s="1" t="n">
        <v>43962</v>
      </c>
      <c r="C1748" s="1" t="n">
        <v>45353</v>
      </c>
      <c r="D1748" t="inlineStr">
        <is>
          <t>SÖDERMANLANDS LÄN</t>
        </is>
      </c>
      <c r="E1748" t="inlineStr">
        <is>
          <t>ESKILSTUNA</t>
        </is>
      </c>
      <c r="F1748" t="inlineStr">
        <is>
          <t>Kommuner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22932-2020</t>
        </is>
      </c>
      <c r="B1749" s="1" t="n">
        <v>43963</v>
      </c>
      <c r="C1749" s="1" t="n">
        <v>45353</v>
      </c>
      <c r="D1749" t="inlineStr">
        <is>
          <t>SÖDERMANLANDS LÄN</t>
        </is>
      </c>
      <c r="E1749" t="inlineStr">
        <is>
          <t>TROSA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23450-2020</t>
        </is>
      </c>
      <c r="B1750" s="1" t="n">
        <v>43966</v>
      </c>
      <c r="C1750" s="1" t="n">
        <v>45353</v>
      </c>
      <c r="D1750" t="inlineStr">
        <is>
          <t>SÖDERMANLANDS LÄN</t>
        </is>
      </c>
      <c r="E1750" t="inlineStr">
        <is>
          <t>ESKILSTUNA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23468-2020</t>
        </is>
      </c>
      <c r="B1751" s="1" t="n">
        <v>43966</v>
      </c>
      <c r="C1751" s="1" t="n">
        <v>45353</v>
      </c>
      <c r="D1751" t="inlineStr">
        <is>
          <t>SÖDERMANLANDS LÄN</t>
        </is>
      </c>
      <c r="E1751" t="inlineStr">
        <is>
          <t>ESKILSTUNA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45353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45353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45353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45353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45353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45353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45353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45353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45353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45353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45353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45353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45353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45353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45353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45353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45353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45353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45353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45353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45353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45353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45353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45353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45353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45353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45353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45353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45353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45353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45353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45353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45353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45353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45353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45353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45353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45353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45353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45353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45353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45353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45353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45353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45353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45353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45353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45353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45353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45353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45353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45353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45353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45353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45353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45353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45353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45353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45353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45353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45353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45353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45353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45353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45353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45353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45353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45353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45353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45353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45353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45353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45353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45353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45353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45353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45353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45353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45353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45353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45353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45353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45353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45353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45353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45353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45353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45353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45353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45353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45353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45353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45353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45353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45353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45353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45353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45353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45353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45353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45353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45353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45353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45353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45353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45353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45353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45353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45353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45353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45353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45353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45353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45353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45353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45353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45353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45353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45353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45353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45353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45353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45353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45353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45353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45353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45353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45353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45353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45353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45353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45353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45353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45353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45353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45353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45353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45353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45353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45353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45353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45353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45353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45353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45353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45353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45353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45353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45353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45353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45353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45353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45353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45353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45353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45353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45353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45353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45353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45353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45353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45353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45353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45353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45353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45353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45353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45353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45353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45353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45353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45353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45353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45353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45353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45353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45353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45353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45353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45353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45353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45353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45353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45353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45353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45353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45353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45353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45353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45353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45353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45353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45353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45353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45353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45353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45353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45353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45353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45353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45353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45353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45353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45353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45353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45353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45353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45353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45353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45353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45353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45353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45353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45353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45353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45353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45353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45353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45353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45353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45353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45353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45353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45353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45353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45353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45353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45353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45353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45353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45353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45353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45353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45353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45353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45353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45353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45353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45353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45353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45353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45353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45353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45353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45353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45353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45353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45353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45353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45353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45353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45353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45353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45353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45353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45353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45353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45353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45353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45353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45353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45353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45353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45353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45353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45353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45353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45353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45353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45353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45353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45353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45353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45353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45353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45353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45353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45353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45353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45353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45353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45353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45353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45353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45353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45353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45353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45353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45353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45353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45353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45353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45353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45353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45353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45353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45353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45353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45353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45353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45353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45353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45353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45353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45353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45353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45353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45353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45353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45353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45353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45353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45353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45353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45353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45353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45353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45353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45353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45353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45353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45353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45353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45353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45353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45353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45353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45353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45353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45353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45353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45353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45353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45353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45353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45353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45353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45353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45353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45353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45353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45353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45353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45353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45353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45353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45353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45353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45353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45353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45353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45353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45353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45353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45353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45353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45353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45353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45353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45353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45353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45353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45353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45353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45353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45353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45353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45353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45353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45353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45353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45353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45353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45353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45353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45353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45353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45353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45353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45353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45353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45353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45353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45353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45353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45353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45353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45353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45353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45353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45353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45353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45353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45353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45353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45353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45353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45353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45353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45353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45353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45353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45353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45353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45353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45353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45353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45353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45353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45353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45353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45353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45353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45353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45353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45353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45353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45353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45353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45353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45353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45353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45353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45353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45353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45353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45353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45353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45353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45353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45353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45353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45353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45353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45353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45353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45353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45353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45353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45353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45353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45353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45353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45353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45353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45353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45353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45353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45353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45353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45353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45353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45353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45353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45353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45353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45353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45353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45353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45353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45353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45353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45353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45353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45353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45353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45353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45353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45353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45353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45353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45353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45353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45353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45353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45353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45353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45353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45353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45353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45353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45353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45353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45353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45353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45353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45353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45353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45353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45353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45353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45353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45353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45353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45353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45353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45353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45353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45353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45353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45353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45353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45353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45353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45353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45353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45353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45353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45353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45353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45353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45353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45353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45353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45353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45353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45353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45353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45353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45353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45353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45353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45353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45353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45353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45353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45353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45353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45353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45353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45353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45353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45353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45353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45353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45353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45353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45353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45353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45353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45353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45353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45353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45353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45353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45353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45353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45353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45353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45353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45353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45353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45353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45353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45353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45353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45353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45353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45353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45353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45353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45353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45353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45353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45353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45353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45353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45353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45353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45353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45353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45353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45353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45353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45353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45353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45353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45353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45353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45353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45353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45353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45353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45353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45353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45353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45353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45353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45353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45353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45353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45353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45353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45353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45353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45353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45353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45353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45353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45353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45353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45353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45353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45353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45353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45353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45353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45353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45353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45353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45353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45353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45353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45353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45353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45353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45353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45353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45353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45353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45353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45353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45353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45353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45353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45353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45353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45353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45353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45353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45353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45353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45353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45353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45353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45353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45353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45353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45353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45353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45353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45353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45353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45353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45353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45353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45353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45353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45353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45353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45353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45353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45353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45353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45353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45353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45353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45353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45353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45353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45353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45353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45353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45353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45353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45353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45353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45353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45353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45353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45353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45353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45353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45353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45353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45353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45353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45353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45353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45353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45353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45353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45353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45353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45353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45353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45353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45353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45353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45353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45353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45353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45353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45353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45353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45353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45353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45353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45353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45353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45353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45353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45353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45353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45353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45353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45353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45353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45353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45353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45353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45353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45353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45353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45353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45353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45353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45353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45353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45353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45353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45353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45353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45353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45353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45353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45353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45353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45353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45353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45353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45353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45353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45353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45353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45353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45353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45353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45353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45353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45353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45353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45353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45353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45353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45353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45353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45353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45353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45353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45353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45353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45353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45353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45353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45353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45353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45353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45353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45353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45353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45353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45353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45353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45353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45353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45353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45353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45353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45353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45353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45353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45353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45353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45353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45353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45353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45353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45353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45353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45353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45353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45353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45353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45353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45353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45353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45353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45353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45353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45353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45353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45353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45353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45353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45353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45353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45353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45353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45353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45353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45353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45353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45353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45353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45353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45353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45353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45353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45353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45353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45353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45353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45353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45353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45353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45353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45353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45353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45353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45353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45353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45353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45353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45353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45353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45353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45353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45353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45353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45353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45353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45353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45353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45353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45353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45353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45353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45353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45353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45353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45353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45353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45353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45353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45353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45353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45353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45353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45353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45353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45353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45353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45353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45353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45353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45353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45353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45353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45353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45353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45353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45353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45353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45353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45353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45353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45353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45353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45353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45353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45353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45353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45353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45353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45353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45353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45353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45353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45353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45353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45353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45353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45353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45353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45353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45353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45353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45353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45353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45353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45353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45353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45353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45353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45353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45353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45353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45353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45353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45353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45353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45353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45353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45353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45353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45353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45353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45353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45353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45353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45353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45353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45353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45353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45353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45353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45353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45353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45353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45353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45353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45353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45353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45353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45353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45353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45353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45353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45353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45353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45353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45353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45353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45353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45353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45353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45353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45353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45353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45353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45353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45353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45353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45353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45353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45353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45353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45353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45353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45353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45353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45353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45353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45353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45353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45353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45353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45353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45353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45353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45353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45353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45353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45353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45353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45353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45353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45353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45353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45353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45353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45353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45353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45353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45353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45353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45353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45353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45353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45353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45353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45353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45353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45353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45353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45353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45353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45353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45353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45353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45353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45353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45353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45353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45353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45353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45353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45353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45353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45353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45353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45353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45353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45353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45353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45353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45353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45353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45353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45353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45353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45353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45353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45353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45353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45353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45353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45353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45353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45353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45353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45353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45353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45353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45353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45353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45353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45353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45353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45353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45353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45353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45353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45353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45353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45353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45353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45353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45353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45353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45353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45353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45353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45353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45353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45353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45353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45353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45353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45353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45353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45353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45353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45353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45353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45353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45353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45353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45353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45353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45353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45353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45353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45353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45353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45353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45353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45353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45353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45353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45353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45353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45353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45353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45353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45353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45353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45353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45353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45353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45353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45353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45353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45353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45353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45353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45353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45353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45353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45353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45353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45353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45353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45353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45353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45353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45353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45353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45353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45353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45353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45353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45353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45353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45353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45353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45353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45353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45353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45353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45353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45353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45353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45353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45353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45353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45353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45353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45353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45353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45353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45353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45353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45353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45353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45353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45353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45353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45353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45353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45353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45353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45353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45353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45353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45353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45353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45353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45353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45353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45353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45353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45353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45353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45353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45353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45353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45353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45353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45353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45353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45353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45353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45353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45353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45353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45353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45353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45353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45353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45353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45353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45353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45353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45353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45353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45353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45353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45353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45353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45353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45353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45353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45353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45353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45353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45353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45353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45353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45353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45353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45353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45353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45353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45353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45353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45353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45353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45353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45353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45353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45353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45353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45353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45353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45353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45353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45353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45353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45353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45353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45353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45353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45353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45353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45353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45353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45353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45353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45353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45353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45353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45353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45353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45353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45353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45353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45353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45353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45353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45353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45353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45353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45353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45353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45353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45353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45353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45353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45353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45353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45353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45353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45353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45353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45353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45353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45353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45353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45353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45353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45353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45353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45353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45353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45353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45353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45353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45353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45353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45353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45353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45353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45353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45353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45353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45353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45353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45353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45353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45353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45353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45353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45353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45353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45353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45353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45353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45353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45353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45353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45353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45353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45353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45353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45353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45353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45353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45353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45353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45353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45353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45353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45353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45353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45353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45353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45353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45353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45353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45353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45353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45353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45353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45353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45353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45353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45353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45353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45353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45353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45353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45353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45353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45353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45353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45353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45353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45353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45353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45353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45353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45353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45353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45353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45353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45353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45353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45353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45353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45353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45353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45353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45353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45353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45353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45353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45353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45353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45353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45353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45353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45353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45353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45353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45353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45353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45353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45353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45353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45353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45353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45353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45353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45353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45353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45353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45353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45353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45353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45353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45353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45353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45353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45353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45353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45353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45353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45353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45353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45353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45353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45353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45353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45353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45353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45353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45353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45353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45353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45353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45353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45353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45353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45353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45353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45353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45353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45353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45353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45353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45353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45353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45353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45353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45353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45353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45353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45353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45353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45353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45353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45353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45353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45353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45353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45353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45353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45353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45353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45353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45353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45353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45353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45353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45353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45353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45353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45353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45353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45353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45353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45353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45353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45353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45353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45353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45353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45353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45353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45353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45353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45353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45353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45353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45353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45353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45353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45353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45353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45353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45353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45353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45353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45353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45353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45353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45353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45353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45353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45353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45353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45353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45353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45353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45353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45353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45353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45353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45353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45353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45353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45353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45353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45353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45353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45353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45353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45353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45353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45353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45353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45353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45353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45353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45353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45353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45353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45353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45353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45353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45353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45353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45353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45353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45353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45353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45353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45353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45353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45353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45353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45353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45353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45353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45353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45353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45353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45353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45353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45353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45353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45353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45353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45353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45353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45353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45353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45353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45353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45353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45353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45353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45353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45353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45353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45353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45353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45353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45353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45353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45353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45353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45353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45353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45353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45353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45353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45353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45353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45353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45353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45353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45353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45353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45353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45353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45353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45353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45353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45353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45353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45353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45353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45353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45353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45353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45353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45353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45353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45353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45353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45353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45353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45353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45353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45353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45353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45353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45353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45353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45353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45353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45353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45353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45353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45353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45353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45353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45353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45353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45353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45353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45353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45353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45353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45353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45353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45353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45353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45353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45353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45353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45353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45353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45353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45353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45353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45353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45353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45353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45353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45353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45353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45353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45353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45353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45353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45353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45353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45353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45353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45353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45353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45353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45353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45353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45353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45353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45353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45353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45353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45353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45353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45353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45353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45353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45353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45353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45353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45353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45353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45353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45353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45353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45353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45353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45353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45353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45353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45353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45353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45353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45353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45353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45353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45353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45353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45353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45353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45353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45353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45353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45353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45353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45353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45353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45353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45353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45353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45353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45353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45353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45353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45353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45353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45353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45353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45353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45353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45353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45353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45353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45353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45353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45353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45353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45353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45353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45353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45353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45353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45353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45353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45353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45353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45353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45353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45353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45353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45353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45353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45353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45353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45353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45353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45353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45353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45353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45353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45353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45353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45353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45353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45353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45353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45353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45353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45353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45353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45353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45353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45353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45353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45353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45353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45353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45353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45353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45353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45353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45353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45353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45353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45353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45353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45353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45353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45353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45353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45353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45353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45353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45353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45353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45353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45353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45353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45353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45353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45353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45353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45353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45353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45353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45353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45353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45353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45353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45353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45353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45353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45353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45353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45353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45353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45353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45353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45353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45353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45353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45353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45353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45353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45353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45353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45353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45353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45353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45353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45353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45353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45353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45353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45353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45353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45353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45353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45353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45353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45353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45353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45353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45353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45353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45353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45353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45353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45353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45353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45353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45353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45353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45353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45353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45353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45353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45353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45353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45353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45353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45353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45353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45353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45353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45353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45353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45353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45353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45353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45353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45353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45353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45353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45353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45353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45353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45353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45353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45353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45353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45353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45353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45353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45353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45353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45353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45353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45353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45353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45353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45353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45353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45353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45353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45353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45353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45353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45353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45353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45353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45353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45353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45353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45353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45353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45353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45353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45353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45353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45353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45353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45353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45353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45353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45353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45353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45353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45353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45353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45353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45353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45353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45353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45353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45353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45353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45353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45353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45353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45353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45353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45353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45353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45353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45353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45353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45353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45353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45353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45353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45353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45353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45353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45353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45353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45353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45353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45353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45353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45353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45353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45353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45353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45353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45353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45353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45353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45353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45353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45353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45353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45353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45353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45353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45353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45353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45353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45353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45353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45353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45353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45353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45353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45353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45353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45353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45353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45353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45353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45353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45353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45353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45353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45353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45353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45353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45353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45353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45353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45353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45353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45353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45353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45353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45353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45353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45353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45353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45353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45353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45353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45353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45353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45353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45353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45353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45353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45353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45353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45353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45353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45353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45353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45353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45353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45353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45353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45353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45353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45353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45353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45353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45353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45353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45353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45353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45353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45353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45353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45353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45353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45353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45353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45353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45353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45353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45353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45353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45353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45353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45353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45353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45353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45353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45353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45353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45353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45353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45353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45353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45353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45353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45353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45353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45353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45353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45353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45353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45353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45353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45353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45353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45353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45353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45353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45353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45353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45353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45353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45353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45353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45353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45353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45353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45353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45353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45353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45353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45353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45353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45353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45353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45353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45353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45353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45353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45353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45353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45353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45353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45353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45353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45353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45353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45353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45353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45353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45353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45353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45353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45353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45353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45353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45353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45353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45353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45353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45353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45353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45353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45353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45353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45353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45353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45353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45353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45353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45353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45353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45353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45353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45353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45353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45353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45353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45353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45353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45353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45353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45353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45353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45353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45353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45353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45353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45353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45353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45353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45353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45353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45353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45353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45353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45353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45353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45353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45353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45353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45353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45353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45353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45353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45353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45353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45353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45353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45353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45353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45353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45353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45353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45353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45353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45353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45353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45353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45353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45353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45353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45353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45353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45353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45353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45353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45353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45353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45353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45353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45353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45353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45353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45353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45353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45353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45353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45353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45353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45353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45353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45353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45353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45353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45353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45353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45353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45353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45353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45353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45353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45353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45353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45353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45353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45353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45353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45353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45353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45353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45353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45353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45353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45353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45353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45353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45353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45353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45353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45353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45353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45353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45353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45353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45353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45353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45353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45353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45353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45353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45353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45353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45353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45353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45353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45353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45353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45353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45353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45353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45353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45353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45353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45353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45353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45353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45353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45353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45353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45353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45353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45353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45353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45353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45353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45353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45353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45353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45353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45353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45353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45353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45353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45353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45353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45353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45353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45353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45353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45353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45353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45353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45353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45353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45353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45353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45353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45353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45353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45353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45353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45353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45353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45353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45353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45353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45353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45353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45353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45353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45353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45353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45353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45353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45353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45353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45353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45353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45353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45353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45353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45353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45353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45353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45353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45353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45353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45353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45353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45353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45353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45353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45353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45353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45353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45353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45353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45353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45353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45353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45353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45353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45353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45353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45353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45353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45353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45353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45353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45353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45353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45353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45353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45353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45353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45353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45353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45353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45353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45353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45353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45353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45353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45353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45353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45353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45353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45353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45353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45353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45353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45353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45353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45353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45353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45353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45353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45353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45353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45353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45353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45353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45353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45353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45353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45353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45353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45353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45353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45353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45353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45353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45353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45353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45353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45353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45353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45353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45353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45353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45353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45353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45353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45353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45353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45353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45353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45353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45353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45353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45353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45353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45353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45353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45353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45353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45353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45353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45353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45353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45353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45353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45353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45353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45353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45353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45353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45353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45353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45353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45353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45353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45353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45353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45353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45353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45353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45353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45353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45353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45353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45353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45353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45353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45353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45353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45353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45353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45353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45353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45353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45353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45353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45353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45353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45353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45353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45353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45353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45353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45353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45353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45353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45353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45353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45353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45353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45353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45353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45353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45353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45353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45353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45353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45353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45353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45353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45353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45353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45353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45353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45353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45353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45353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45353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45353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45353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45353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45353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45353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45353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45353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45353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45353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45353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45353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45353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45353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45353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45353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45353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45353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45353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45353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45353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45353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45353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45353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45353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45353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45353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45353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45353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45353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45353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45353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45353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45353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45353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45353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45353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45353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45353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45353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45353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45353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45353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45353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45353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45353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45353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45353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45353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45353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45353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45353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45353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45353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45353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45353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45353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45353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45353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45353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45353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45353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45353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45353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45353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45353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45353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45353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45353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45353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45353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45353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45353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45353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45353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45353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45353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45353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45353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45353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45353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45353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45353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45353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45353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45353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45353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45353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45353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45353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45353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45353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45353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45353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45353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45353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45353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45353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45353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45353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45353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45353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45353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45353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45353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45353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45353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45353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45353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45353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45353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45353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45353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45353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45353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45353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45353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45353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45353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45353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45353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45353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45353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45353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45353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45353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45353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45353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45353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45353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45353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45353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45353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45353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45353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45353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45353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45353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45353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45353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45353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45353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45353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45353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45353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45353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45353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45353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45353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45353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45353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45353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45353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45353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45353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45353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45353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45353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45353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45353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45353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45353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45353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45353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45353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45353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45353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45353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45353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45353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45353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45353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45353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45353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45353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45353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45353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45353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45353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45353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45353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45353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45353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45353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45353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45353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45353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45353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45353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45353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45353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45353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45353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45353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45353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45353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45353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45353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45353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45353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45353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45353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45353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45353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45353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45353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45353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45353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45353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45353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45353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45353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45353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45353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45353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45353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45353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45353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45353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45353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45353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45353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45353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45353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45353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45353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45353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45353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45353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45353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45353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45353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45353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45353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45353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45353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45353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45353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45353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45353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45353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45353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45353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45353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45353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45353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45353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45353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45353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45353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45353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45353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45353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45353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45353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45353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45353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45353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45353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45353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45353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45353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45353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45353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45353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45353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45353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45353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45353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45353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45353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45353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45353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45353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45353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45353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45353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45353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45353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45353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45353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45353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45353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45353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45353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45353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45353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45353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45353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45353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45353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45353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45353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45353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45353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45353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45353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45353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45353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45353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45353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45353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45353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45353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45353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45353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45353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45353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45353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45353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45353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45353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45353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45353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45353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45353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45353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45353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45353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45353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45353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45353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45353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45353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45353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45353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45353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45353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45353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45353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45353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45353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45353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45353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45353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45353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45353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45353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45353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45353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45353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45353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45353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45353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45353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45353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45353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45353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45353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45353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45353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45353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45353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45353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45353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45353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45353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45353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45353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45353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45353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45353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45353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45353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45353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45353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45353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45353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45353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45353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45353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45353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45353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45353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45353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45353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45353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45353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45353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45353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45353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45353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45353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45353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45353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45353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45353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45353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45353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45353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45353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45353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45353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45353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45353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45353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45353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45353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45353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45353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45353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45353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45353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45353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45353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45353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45353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45353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45353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45353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45353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45353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45353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45353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45353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45353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45353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45353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45353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45353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45353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45353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45353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45353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45353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45353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45353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45353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45353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45353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45353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45353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45353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45353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45353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45353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45353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45353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45353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45353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45353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45353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45353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45353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45353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45353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45353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45353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45353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45353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45353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45353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45353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45353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45353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45353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45353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45353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45353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45353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45353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45353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45353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45353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45353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45353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45353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45353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45353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45353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45353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45353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45353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45353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45353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45353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45353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45353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45353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45353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45353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45353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45353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45353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45353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45353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45353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45353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45353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45353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45353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45353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45353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45353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45353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45353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45353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45353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45353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45353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45353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45353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45353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45353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45353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45353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45353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45353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45353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45353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45353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45353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45353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45353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45353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45353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45353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45353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45353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45353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45353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45353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45353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45353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45353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45353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45353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45353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45353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45353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45353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45353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45353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45353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45353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45353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45353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45353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45353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45353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45353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45353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45353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45353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45353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45353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45353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45353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45353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45353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45353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45353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45353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45353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45353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45353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45353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45353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45353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45353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45353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45353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45353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45353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45353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45353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45353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45353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45353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45353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45353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45353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45353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45353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45353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45353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45353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45353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45353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45353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45353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45353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45353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45353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45353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45353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45353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45353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45353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45353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45353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45353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45353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45353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45353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45353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45353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45353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45353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45353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45353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45353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45353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45353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45353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45353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45353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45353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45353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45353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45353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45353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45353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45353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45353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45353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45353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45353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45353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45353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45353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45353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45353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45353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45353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45353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45353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45353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45353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45353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45353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45353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45353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45353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45353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45353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45353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45353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45353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45353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45353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45353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45353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45353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45353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45353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45353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45353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45353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45353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45353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45353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45353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45353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45353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45353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45353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45353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45353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45353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45353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45353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45353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45353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45353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45353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45353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45353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45353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45353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45353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45353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45353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45353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45353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45353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45353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45353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45353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45353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45353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45353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45353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45353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45353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45353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45353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45353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45353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45353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45353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45353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45353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45353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45353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45353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45353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45353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45353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45353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45353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45353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45353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45353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45353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45353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45353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45353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45353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45353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45353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45353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45353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45353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45353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45353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45353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45353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45353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45353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45353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45353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45353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45353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45353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45353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45353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45353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45353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45353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45353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45353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45353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45353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45353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45353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45353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45353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45353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45353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45353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45353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45353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45353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45353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45353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45353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45353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45353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45353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45353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45353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45353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45353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45353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45353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45353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45353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45353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45353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45353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45353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45353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45353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45353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45353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45353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45353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45353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45353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45353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45353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45353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45353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45353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45353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45353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45353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45353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45353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45353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45353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45353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45353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45353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45353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45353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45353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45353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45353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45353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45353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45353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45353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45353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45353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45353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45353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45353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45353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45353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45353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45353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45353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45353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45353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45353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45353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45353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45353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45353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45353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45353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45353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45353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45353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45353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45353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45353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45353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45353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45353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45353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45353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45353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45353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45353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45353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45353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45353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45353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45353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45353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45353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45353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45353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45353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45353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45353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45353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45353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45353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45353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45353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45353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45353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45353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45353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45353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45353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45353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45353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45353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45353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45353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45353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45353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45353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45353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45353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45353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45353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45353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45353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45353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45353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45353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45353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45353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45353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45353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45353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45353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45353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45353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45353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45353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45353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45353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45353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45353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45353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45353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45353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45353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45353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45353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45353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45353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45353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45353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45353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45353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45353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45353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45353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45353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45353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45353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45353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45353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45353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45353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45353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45353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45353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45353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45353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45353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45353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45353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45353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45353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45353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45353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45353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45353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45353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45353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45353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45353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45353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45353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45353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45353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45353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45353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45353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45353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45353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45353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45353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45353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45353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45353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45353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45353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45353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45353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45353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45353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45353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45353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45353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45353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45353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45353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45353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45353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45353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45353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45353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45353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45353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45353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45353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45353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45353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45353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45353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45353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45353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45353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45353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45353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45353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45353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45353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45353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45353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45353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45353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45353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45353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45353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45353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45353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45353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45353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45353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45353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45353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45353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45353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45353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45353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45353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45353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45353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45353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45353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45353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45353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45353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45353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45353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45353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45353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45353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45353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45353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45353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45353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45353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45353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45353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45353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45353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45353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45353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45353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45353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45353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45353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45353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45353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45353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45353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45353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45353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45353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45353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45353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45353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45353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45353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45353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45353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45353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45353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45353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45353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45353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45353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45353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45353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45353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45353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45353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45353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45353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45353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45353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45353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45353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45353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45353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45353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45353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45353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45353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45353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45353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45353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45353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45353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45353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45353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45353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45353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45353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45353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45353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45353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45353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45353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45353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45353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45353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45353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45353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45353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45353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45353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45353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45353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45353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45353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45353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45353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45353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45353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45353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45353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45353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45353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45353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45353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45353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45353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45353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45353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45353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45353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45353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45353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45353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45353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45353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45353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45353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45353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45353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45353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45353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45353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45353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45353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45353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45353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45353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45353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45353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45353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45353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45353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45353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45353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45353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45353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45353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45353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45353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45353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45353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45353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45353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45353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45353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45353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45353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45353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45353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45353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45353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45353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45353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45353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45353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45353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45353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45353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45353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45353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45353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45353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45353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45353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45353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45353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45353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45353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45353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45353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45353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45353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45353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45353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45353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45353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45353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45353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45353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45353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45353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45353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45353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45353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45353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45353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45353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45353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45353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45353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45353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45353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45353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45353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45353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45353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45353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45353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45353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45353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45353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45353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45353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45353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45353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45353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45353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45353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45353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45353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45353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45353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45353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45353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45353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45353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45353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45353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45353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45353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45353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45353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45353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45353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45353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45353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45353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45353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45353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45353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45353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45353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45353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45353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45353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45353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45353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45353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45353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45353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45353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45353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45353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45353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45353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45353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45353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45353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45353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45353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45353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45353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45353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45353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45353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45353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45353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45353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45353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45353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45353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45353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45353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45353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45353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45353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45353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45353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45353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45353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45353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45353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45353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45353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45353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45353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45353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45353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45353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45353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45353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45353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45353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45353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45353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45353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45353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45353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45353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45353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45353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45353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45353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45353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45353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45353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45353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45353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45353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45353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45353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45353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45353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45353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45353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45353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45353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45353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45353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45353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45353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45353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45353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45353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45353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45353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45353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45353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45353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45353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45353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45353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45353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45353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45353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45353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45353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45353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45353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45353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45353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45353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45353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45353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45353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45353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45353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45353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45353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45353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45353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45353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45353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45353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45353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45353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45353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45353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45353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45353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45353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45353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45353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45353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45353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45353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45353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45353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45353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45353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45353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45353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45353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45353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45353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45353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45353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45353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45353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45353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45353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45353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45353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45353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45353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45353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45353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45353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45353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45353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45353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45353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45353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45353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45353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45353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45353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45353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45353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45353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45353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45353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45353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45353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45353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45353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45353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45353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45353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45353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45353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45353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45353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45353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45353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45353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45353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45353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45353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45353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45353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45353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45353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45353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45353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45353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45353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45353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45353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45353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45353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45353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45353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45353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45353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45353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45353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45353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45353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45353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45353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45353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45353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45353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45353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45353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45353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45353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45353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45353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45353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45353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45353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45353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45353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45353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45353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45353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45353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45353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45353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45353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45353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45353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45353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45353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45353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45353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45353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45353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45353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45353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45353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45353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45353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45353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45353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45353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45353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45353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45353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45353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45353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45353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45353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45353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45353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45353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45353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45353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45353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45353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45353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45353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45353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45353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45353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45353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45353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45353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45353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45353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45353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45353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45353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45353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45353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45353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45353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45353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45353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45353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45353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45353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45353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45353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45353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45353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45353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45353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45353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45353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45353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45353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45353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45353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45353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45353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45353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45353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45353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45353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45353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45353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45353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45353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45353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45353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45353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45353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45353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45353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45353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45353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45353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45353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45353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45353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45353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45353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45353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45353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45353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45353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45353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45353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45353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45353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45353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45353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45353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45353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45353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45353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45353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45353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45353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45353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45353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45353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45353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45353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45353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45353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45353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45353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45353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45353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45353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45353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45353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45353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45353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45353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45353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45353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45353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45353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45353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45353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45353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45353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45353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45353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45353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45353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45353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45353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45353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45353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45353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45353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45353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45353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45353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45353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45353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45353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45353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45353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45353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45353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45353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45353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45353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45353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45353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45353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45353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45353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45353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45353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45353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45353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45353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45353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45353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45353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45353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45353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45353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45353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45353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45353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45353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45353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45353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45353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45353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45353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45353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45353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45353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45353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45353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45353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45353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45353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45353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45353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45353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45353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45353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45353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45353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45353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45353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45353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45353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45353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45353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45353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45353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45353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45353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45353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45353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45353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45353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45353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45353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45353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45353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45353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45353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45353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45353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45353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45353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45353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45353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45353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45353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45353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45353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45353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45353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45353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45353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45353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45353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45353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45353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45353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45353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45353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45353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45353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45353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45353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45353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45353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45353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45353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45353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45353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45353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45353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45353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45353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45353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45353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45353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45353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45353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45353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45353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45353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45353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45353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45353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45353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45353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45353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45353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45353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45353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45353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45353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45353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45353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45353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45353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45353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45353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45353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45353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45353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45353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45353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45353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45353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45353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45353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45353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45353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45353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45353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45353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45353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45353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45353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45353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45353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45353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45353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45353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45353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45353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45353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45353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45353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45353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45353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45353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45353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45353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45353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45353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45353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45353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45353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45353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45353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45353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45353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45353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45353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45353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45353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45353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45353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45353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45353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45353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45353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45353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45353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45353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45353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45353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45353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45353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45353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45353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45353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45353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45353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45353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45353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45353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45353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45353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45353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45353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45353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45353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45353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45353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45353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45353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45353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45353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45353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45353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45353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45353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45353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45353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45353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45353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45353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45353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45353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45353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45353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45353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45353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45353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45353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45353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45353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45353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45353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45353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45353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45353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45353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45353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45353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45353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45353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45353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45353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45353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45353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45353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45353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45353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45353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45353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45353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45353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45353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45353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45353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45353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45353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45353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45353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45353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45353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45353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45353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45353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45353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45353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45353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45353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45353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45353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45353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45353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45353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45353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45353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45353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45353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45353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45353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45353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45353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45353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45353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45353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45353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45353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45353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45353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45353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45353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45353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45353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45353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45353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45353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45353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45353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45353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45353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45353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45353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45353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45353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45353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45353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45353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45353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45353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45353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45353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45353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45353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45353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45353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45353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45353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45353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45353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45353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45353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45353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45353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45353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45353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45353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45353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45353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45353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45353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45353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45353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45353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45353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45353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45353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45353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45353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45353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45353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45353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45353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45353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45353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45353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45353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45353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45353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45353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45353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45353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45353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45353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45353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45353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45353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45353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45353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45353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45353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45353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45353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45353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45353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45353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45353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45353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45353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45353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45353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45353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45353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45353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45353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45353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45353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45353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45353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45353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45353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45353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45353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45353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45353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45353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45353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45353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45353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45353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45353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45353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45353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45353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45353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45353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45353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45353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45353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45353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45353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45353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45353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45353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45353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45353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45353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45353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45353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45353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45353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45353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45353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45353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45353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45353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45353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45353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45353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45353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45353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45353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45353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45353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45353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45353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45353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45353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45353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45353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45353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45353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45353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45353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45353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45353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45353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45353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45353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45353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45353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45353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45353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45353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45353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45353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45353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45353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45353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45353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45353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45353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45353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45353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45353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45353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45353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45353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45353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45353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45353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45353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45353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45353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45353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45353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45353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45353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45353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45353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45353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45353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45353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45353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45353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45353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45353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45353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45353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45353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45353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45353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45353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45353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45353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45353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45353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45353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45353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45353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45353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45353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45353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45353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45353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45353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45353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45353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45353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45353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45353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45353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45353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45353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45353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45353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45353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45353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45353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45353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45353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45353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45353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45353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45353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45353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45353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45353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45353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45353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45353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45353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45353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45353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45353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45353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45353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45353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45353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45353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45353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45353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45353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45353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45353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45353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45353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45353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45353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45353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45353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45353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45353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45353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45353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45353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45353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45353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45353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45353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45353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45353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45353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45353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45353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45353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45353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45353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45353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45353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45353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45353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45353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45353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45353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45353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45353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45353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45353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45353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45353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45353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45353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45353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45353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45353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45353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45353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45353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45353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45353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45353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45353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45353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45353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45353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45353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45353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45353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45353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45353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45353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45353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45353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45353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45353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45353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45353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45353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45353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45353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45353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45353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45353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45353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45353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45353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45353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45353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45353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45353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45353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45353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45353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45353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45353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45353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45353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45353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45353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45353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45353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45353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45353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45353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45353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45353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45353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45353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45353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45353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45353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45353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45353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45353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45353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45353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45353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45353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45353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45353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45353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45353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45353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45353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45353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45353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45353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45353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45353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45353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45353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45353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45353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45353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45353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45353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45353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45353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45353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45353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45353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45353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45353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45353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45353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45353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45353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45353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45353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45353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45353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45353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45353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45353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45353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45353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45353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45353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45353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45353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45353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45353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45353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45353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45353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45353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45353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45353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45353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45353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45353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45353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45353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45353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45353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45353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45353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45353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45353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45353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45353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45353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45353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45353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45353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45353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45353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45353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45353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45353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45353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45353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45353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45353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45353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45353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45353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45353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45353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45353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45353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45353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45353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45353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45353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45353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45353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45353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45353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45353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45353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45353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45353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45353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45353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45353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45353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45353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45353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45353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45353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45353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45353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45353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45353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45353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45353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45353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45353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45353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45353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45353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45353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45353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45353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45353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45353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45353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45353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45353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45353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45353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45353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45353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45353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45353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45353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45353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45353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45353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45353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45353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45353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45353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45353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45353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45353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45353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45353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45353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45353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45353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45353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45353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45353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45353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45353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45353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45353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45353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45353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45353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45353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45353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45353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45353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45353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45353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45353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45353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45353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45353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45353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45353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45353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45353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45353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45353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45353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45353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45353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45353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45353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45353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45353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45353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45353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45353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45353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4305-2024</t>
        </is>
      </c>
      <c r="B6532" s="1" t="n">
        <v>45324</v>
      </c>
      <c r="C6532" s="1" t="n">
        <v>45353</v>
      </c>
      <c r="D6532" t="inlineStr">
        <is>
          <t>SÖDERMANLANDS LÄN</t>
        </is>
      </c>
      <c r="E6532" t="inlineStr">
        <is>
          <t>ESKILSTUNA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45353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4387-2024</t>
        </is>
      </c>
      <c r="B6534" s="1" t="n">
        <v>45327</v>
      </c>
      <c r="C6534" s="1" t="n">
        <v>45353</v>
      </c>
      <c r="D6534" t="inlineStr">
        <is>
          <t>SÖDERMANLANDS LÄN</t>
        </is>
      </c>
      <c r="E6534" t="inlineStr">
        <is>
          <t>KATRINEHOLM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4473-2024</t>
        </is>
      </c>
      <c r="B6535" s="1" t="n">
        <v>45327</v>
      </c>
      <c r="C6535" s="1" t="n">
        <v>45353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Övriga Aktiebolag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4406-2024</t>
        </is>
      </c>
      <c r="B6536" s="1" t="n">
        <v>45327</v>
      </c>
      <c r="C6536" s="1" t="n">
        <v>45353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Holmen skog AB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4451-2024</t>
        </is>
      </c>
      <c r="B6537" s="1" t="n">
        <v>45327</v>
      </c>
      <c r="C6537" s="1" t="n">
        <v>45353</v>
      </c>
      <c r="D6537" t="inlineStr">
        <is>
          <t>SÖDERMANLANDS LÄN</t>
        </is>
      </c>
      <c r="E6537" t="inlineStr">
        <is>
          <t>FLEN</t>
        </is>
      </c>
      <c r="G6537" t="n">
        <v>5.9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4536-2024</t>
        </is>
      </c>
      <c r="B6538" s="1" t="n">
        <v>45327</v>
      </c>
      <c r="C6538" s="1" t="n">
        <v>45353</v>
      </c>
      <c r="D6538" t="inlineStr">
        <is>
          <t>SÖDERMANLANDS LÄN</t>
        </is>
      </c>
      <c r="E6538" t="inlineStr">
        <is>
          <t>FLEN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4652-2024</t>
        </is>
      </c>
      <c r="B6539" s="1" t="n">
        <v>45328</v>
      </c>
      <c r="C6539" s="1" t="n">
        <v>45353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6.1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4645-2024</t>
        </is>
      </c>
      <c r="B6540" s="1" t="n">
        <v>45328</v>
      </c>
      <c r="C6540" s="1" t="n">
        <v>45353</v>
      </c>
      <c r="D6540" t="inlineStr">
        <is>
          <t>SÖDERMANLANDS LÄN</t>
        </is>
      </c>
      <c r="E6540" t="inlineStr">
        <is>
          <t>KATRINEHOLM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4657-2024</t>
        </is>
      </c>
      <c r="B6541" s="1" t="n">
        <v>45328</v>
      </c>
      <c r="C6541" s="1" t="n">
        <v>45353</v>
      </c>
      <c r="D6541" t="inlineStr">
        <is>
          <t>SÖDERMANLANDS LÄN</t>
        </is>
      </c>
      <c r="E6541" t="inlineStr">
        <is>
          <t>FLEN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4650-2024</t>
        </is>
      </c>
      <c r="B6542" s="1" t="n">
        <v>45328</v>
      </c>
      <c r="C6542" s="1" t="n">
        <v>45353</v>
      </c>
      <c r="D6542" t="inlineStr">
        <is>
          <t>SÖDERMANLANDS LÄN</t>
        </is>
      </c>
      <c r="E6542" t="inlineStr">
        <is>
          <t>KATRINEHOLM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4655-2024</t>
        </is>
      </c>
      <c r="B6543" s="1" t="n">
        <v>45328</v>
      </c>
      <c r="C6543" s="1" t="n">
        <v>45353</v>
      </c>
      <c r="D6543" t="inlineStr">
        <is>
          <t>SÖDERMANLANDS LÄN</t>
        </is>
      </c>
      <c r="E6543" t="inlineStr">
        <is>
          <t>KATRINEHOLM</t>
        </is>
      </c>
      <c r="G6543" t="n">
        <v>17.7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4724-2024</t>
        </is>
      </c>
      <c r="B6544" s="1" t="n">
        <v>45328</v>
      </c>
      <c r="C6544" s="1" t="n">
        <v>45353</v>
      </c>
      <c r="D6544" t="inlineStr">
        <is>
          <t>SÖDERMANLANDS LÄN</t>
        </is>
      </c>
      <c r="E6544" t="inlineStr">
        <is>
          <t>FLEN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4667-2024</t>
        </is>
      </c>
      <c r="B6545" s="1" t="n">
        <v>45328</v>
      </c>
      <c r="C6545" s="1" t="n">
        <v>45353</v>
      </c>
      <c r="D6545" t="inlineStr">
        <is>
          <t>SÖDERMANLANDS LÄN</t>
        </is>
      </c>
      <c r="E6545" t="inlineStr">
        <is>
          <t>KATRINEHOLM</t>
        </is>
      </c>
      <c r="F6545" t="inlineStr">
        <is>
          <t>Övriga Aktiebolag</t>
        </is>
      </c>
      <c r="G6545" t="n">
        <v>10.2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4737-2024</t>
        </is>
      </c>
      <c r="B6546" s="1" t="n">
        <v>45328</v>
      </c>
      <c r="C6546" s="1" t="n">
        <v>45353</v>
      </c>
      <c r="D6546" t="inlineStr">
        <is>
          <t>SÖDERMANLANDS LÄN</t>
        </is>
      </c>
      <c r="E6546" t="inlineStr">
        <is>
          <t>NYKÖPING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45353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45353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4932-2024</t>
        </is>
      </c>
      <c r="B6549" s="1" t="n">
        <v>45329</v>
      </c>
      <c r="C6549" s="1" t="n">
        <v>45353</v>
      </c>
      <c r="D6549" t="inlineStr">
        <is>
          <t>SÖDERMANLANDS LÄN</t>
        </is>
      </c>
      <c r="E6549" t="inlineStr">
        <is>
          <t>NYKÖPING</t>
        </is>
      </c>
      <c r="G6549" t="n">
        <v>17.8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4872-2024</t>
        </is>
      </c>
      <c r="B6550" s="1" t="n">
        <v>45329</v>
      </c>
      <c r="C6550" s="1" t="n">
        <v>45353</v>
      </c>
      <c r="D6550" t="inlineStr">
        <is>
          <t>SÖDERMANLANDS LÄN</t>
        </is>
      </c>
      <c r="E6550" t="inlineStr">
        <is>
          <t>KATRINEHOLM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4885-2024</t>
        </is>
      </c>
      <c r="B6551" s="1" t="n">
        <v>45329</v>
      </c>
      <c r="C6551" s="1" t="n">
        <v>45353</v>
      </c>
      <c r="D6551" t="inlineStr">
        <is>
          <t>SÖDERMANLANDS LÄN</t>
        </is>
      </c>
      <c r="E6551" t="inlineStr">
        <is>
          <t>NYKÖPING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4917-2024</t>
        </is>
      </c>
      <c r="B6552" s="1" t="n">
        <v>45329</v>
      </c>
      <c r="C6552" s="1" t="n">
        <v>45353</v>
      </c>
      <c r="D6552" t="inlineStr">
        <is>
          <t>SÖDERMANLANDS LÄN</t>
        </is>
      </c>
      <c r="E6552" t="inlineStr">
        <is>
          <t>NYKÖPING</t>
        </is>
      </c>
      <c r="G6552" t="n">
        <v>6.5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4967-2024</t>
        </is>
      </c>
      <c r="B6553" s="1" t="n">
        <v>45329</v>
      </c>
      <c r="C6553" s="1" t="n">
        <v>45353</v>
      </c>
      <c r="D6553" t="inlineStr">
        <is>
          <t>SÖDERMANLANDS LÄN</t>
        </is>
      </c>
      <c r="E6553" t="inlineStr">
        <is>
          <t>KATRINEHOLM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4933-2024</t>
        </is>
      </c>
      <c r="B6554" s="1" t="n">
        <v>45329</v>
      </c>
      <c r="C6554" s="1" t="n">
        <v>45353</v>
      </c>
      <c r="D6554" t="inlineStr">
        <is>
          <t>SÖDERMANLANDS LÄN</t>
        </is>
      </c>
      <c r="E6554" t="inlineStr">
        <is>
          <t>NYKÖPING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4977-2024</t>
        </is>
      </c>
      <c r="B6555" s="1" t="n">
        <v>45329</v>
      </c>
      <c r="C6555" s="1" t="n">
        <v>45353</v>
      </c>
      <c r="D6555" t="inlineStr">
        <is>
          <t>SÖDERMANLANDS LÄN</t>
        </is>
      </c>
      <c r="E6555" t="inlineStr">
        <is>
          <t>ESKILSTUNA</t>
        </is>
      </c>
      <c r="F6555" t="inlineStr">
        <is>
          <t>Kyrkan</t>
        </is>
      </c>
      <c r="G6555" t="n">
        <v>12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4877-2024</t>
        </is>
      </c>
      <c r="B6556" s="1" t="n">
        <v>45329</v>
      </c>
      <c r="C6556" s="1" t="n">
        <v>45353</v>
      </c>
      <c r="D6556" t="inlineStr">
        <is>
          <t>SÖDERMANLANDS LÄN</t>
        </is>
      </c>
      <c r="E6556" t="inlineStr">
        <is>
          <t>NYKÖPING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4910-2024</t>
        </is>
      </c>
      <c r="B6557" s="1" t="n">
        <v>45329</v>
      </c>
      <c r="C6557" s="1" t="n">
        <v>45353</v>
      </c>
      <c r="D6557" t="inlineStr">
        <is>
          <t>SÖDERMANLANDS LÄN</t>
        </is>
      </c>
      <c r="E6557" t="inlineStr">
        <is>
          <t>NYKÖPING</t>
        </is>
      </c>
      <c r="G6557" t="n">
        <v>3.1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4958-2024</t>
        </is>
      </c>
      <c r="B6558" s="1" t="n">
        <v>45329</v>
      </c>
      <c r="C6558" s="1" t="n">
        <v>45353</v>
      </c>
      <c r="D6558" t="inlineStr">
        <is>
          <t>SÖDERMANLANDS LÄN</t>
        </is>
      </c>
      <c r="E6558" t="inlineStr">
        <is>
          <t>KATRINEHOLM</t>
        </is>
      </c>
      <c r="G6558" t="n">
        <v>10.1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45353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45353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5029-2024</t>
        </is>
      </c>
      <c r="B6561" s="1" t="n">
        <v>45329</v>
      </c>
      <c r="C6561" s="1" t="n">
        <v>45353</v>
      </c>
      <c r="D6561" t="inlineStr">
        <is>
          <t>SÖDERMANLANDS LÄN</t>
        </is>
      </c>
      <c r="E6561" t="inlineStr">
        <is>
          <t>KATRINEHOLM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5041-2024</t>
        </is>
      </c>
      <c r="B6562" s="1" t="n">
        <v>45329</v>
      </c>
      <c r="C6562" s="1" t="n">
        <v>45353</v>
      </c>
      <c r="D6562" t="inlineStr">
        <is>
          <t>SÖDERMANLANDS LÄN</t>
        </is>
      </c>
      <c r="E6562" t="inlineStr">
        <is>
          <t>ESKILSTUNA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5032-2024</t>
        </is>
      </c>
      <c r="B6563" s="1" t="n">
        <v>45329</v>
      </c>
      <c r="C6563" s="1" t="n">
        <v>45353</v>
      </c>
      <c r="D6563" t="inlineStr">
        <is>
          <t>SÖDERMANLANDS LÄN</t>
        </is>
      </c>
      <c r="E6563" t="inlineStr">
        <is>
          <t>KATRINEHOLM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5044-2024</t>
        </is>
      </c>
      <c r="B6564" s="1" t="n">
        <v>45329</v>
      </c>
      <c r="C6564" s="1" t="n">
        <v>45353</v>
      </c>
      <c r="D6564" t="inlineStr">
        <is>
          <t>SÖDERMANLANDS LÄN</t>
        </is>
      </c>
      <c r="E6564" t="inlineStr">
        <is>
          <t>ESKILSTUNA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5160-2024</t>
        </is>
      </c>
      <c r="B6565" s="1" t="n">
        <v>45330</v>
      </c>
      <c r="C6565" s="1" t="n">
        <v>45353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5194-2024</t>
        </is>
      </c>
      <c r="B6566" s="1" t="n">
        <v>45330</v>
      </c>
      <c r="C6566" s="1" t="n">
        <v>45353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5312-2024</t>
        </is>
      </c>
      <c r="B6567" s="1" t="n">
        <v>45330</v>
      </c>
      <c r="C6567" s="1" t="n">
        <v>45353</v>
      </c>
      <c r="D6567" t="inlineStr">
        <is>
          <t>SÖDERMANLANDS LÄN</t>
        </is>
      </c>
      <c r="E6567" t="inlineStr">
        <is>
          <t>NYKÖPING</t>
        </is>
      </c>
      <c r="G6567" t="n">
        <v>10.9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5306-2024</t>
        </is>
      </c>
      <c r="B6568" s="1" t="n">
        <v>45330</v>
      </c>
      <c r="C6568" s="1" t="n">
        <v>45353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45353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5590-2024</t>
        </is>
      </c>
      <c r="B6570" s="1" t="n">
        <v>45332</v>
      </c>
      <c r="C6570" s="1" t="n">
        <v>45353</v>
      </c>
      <c r="D6570" t="inlineStr">
        <is>
          <t>SÖDERMANLANDS LÄN</t>
        </is>
      </c>
      <c r="E6570" t="inlineStr">
        <is>
          <t>NYKÖPING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45353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45353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5555-2024</t>
        </is>
      </c>
      <c r="B6573" s="1" t="n">
        <v>45334</v>
      </c>
      <c r="C6573" s="1" t="n">
        <v>45353</v>
      </c>
      <c r="D6573" t="inlineStr">
        <is>
          <t>SÖDERMANLANDS LÄN</t>
        </is>
      </c>
      <c r="E6573" t="inlineStr">
        <is>
          <t>GNESTA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45353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5694-2024</t>
        </is>
      </c>
      <c r="B6575" s="1" t="n">
        <v>45334</v>
      </c>
      <c r="C6575" s="1" t="n">
        <v>45353</v>
      </c>
      <c r="D6575" t="inlineStr">
        <is>
          <t>SÖDERMANLANDS LÄN</t>
        </is>
      </c>
      <c r="E6575" t="inlineStr">
        <is>
          <t>ESKILSTUNA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5695-2024</t>
        </is>
      </c>
      <c r="B6576" s="1" t="n">
        <v>45334</v>
      </c>
      <c r="C6576" s="1" t="n">
        <v>45353</v>
      </c>
      <c r="D6576" t="inlineStr">
        <is>
          <t>SÖDERMANLANDS LÄN</t>
        </is>
      </c>
      <c r="E6576" t="inlineStr">
        <is>
          <t>ESKILSTUNA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5857-2024</t>
        </is>
      </c>
      <c r="B6577" s="1" t="n">
        <v>45335</v>
      </c>
      <c r="C6577" s="1" t="n">
        <v>45353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5865-2024</t>
        </is>
      </c>
      <c r="B6578" s="1" t="n">
        <v>45335</v>
      </c>
      <c r="C6578" s="1" t="n">
        <v>45353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4.9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5757-2024</t>
        </is>
      </c>
      <c r="B6579" s="1" t="n">
        <v>45335</v>
      </c>
      <c r="C6579" s="1" t="n">
        <v>45353</v>
      </c>
      <c r="D6579" t="inlineStr">
        <is>
          <t>SÖDERMANLANDS LÄN</t>
        </is>
      </c>
      <c r="E6579" t="inlineStr">
        <is>
          <t>ESKILSTUNA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45353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45353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5827-2024</t>
        </is>
      </c>
      <c r="B6582" s="1" t="n">
        <v>45335</v>
      </c>
      <c r="C6582" s="1" t="n">
        <v>45353</v>
      </c>
      <c r="D6582" t="inlineStr">
        <is>
          <t>SÖDERMANLANDS LÄN</t>
        </is>
      </c>
      <c r="E6582" t="inlineStr">
        <is>
          <t>ESKILSTUNA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5835-2024</t>
        </is>
      </c>
      <c r="B6583" s="1" t="n">
        <v>45335</v>
      </c>
      <c r="C6583" s="1" t="n">
        <v>45353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Holmen skog AB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5869-2024</t>
        </is>
      </c>
      <c r="B6584" s="1" t="n">
        <v>45335</v>
      </c>
      <c r="C6584" s="1" t="n">
        <v>45353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45353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45353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45353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6109-2024</t>
        </is>
      </c>
      <c r="B6588" s="1" t="n">
        <v>45337</v>
      </c>
      <c r="C6588" s="1" t="n">
        <v>45353</v>
      </c>
      <c r="D6588" t="inlineStr">
        <is>
          <t>SÖDERMANLANDS LÄN</t>
        </is>
      </c>
      <c r="E6588" t="inlineStr">
        <is>
          <t>FLEN</t>
        </is>
      </c>
      <c r="G6588" t="n">
        <v>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6228-2024</t>
        </is>
      </c>
      <c r="B6589" s="1" t="n">
        <v>45337</v>
      </c>
      <c r="C6589" s="1" t="n">
        <v>45353</v>
      </c>
      <c r="D6589" t="inlineStr">
        <is>
          <t>SÖDERMANLANDS LÄN</t>
        </is>
      </c>
      <c r="E6589" t="inlineStr">
        <is>
          <t>GNESTA</t>
        </is>
      </c>
      <c r="G6589" t="n">
        <v>10.4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6427-2024</t>
        </is>
      </c>
      <c r="B6590" s="1" t="n">
        <v>45338</v>
      </c>
      <c r="C6590" s="1" t="n">
        <v>45353</v>
      </c>
      <c r="D6590" t="inlineStr">
        <is>
          <t>SÖDERMANLANDS LÄN</t>
        </is>
      </c>
      <c r="E6590" t="inlineStr">
        <is>
          <t>NYKÖPING</t>
        </is>
      </c>
      <c r="F6590" t="inlineStr">
        <is>
          <t>Holmen skog AB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45353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6519-2024</t>
        </is>
      </c>
      <c r="B6592" s="1" t="n">
        <v>45341</v>
      </c>
      <c r="C6592" s="1" t="n">
        <v>45353</v>
      </c>
      <c r="D6592" t="inlineStr">
        <is>
          <t>SÖDERMANLANDS LÄN</t>
        </is>
      </c>
      <c r="E6592" t="inlineStr">
        <is>
          <t>GNESTA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6520-2024</t>
        </is>
      </c>
      <c r="B6593" s="1" t="n">
        <v>45341</v>
      </c>
      <c r="C6593" s="1" t="n">
        <v>45353</v>
      </c>
      <c r="D6593" t="inlineStr">
        <is>
          <t>SÖDERMANLANDS LÄN</t>
        </is>
      </c>
      <c r="E6593" t="inlineStr">
        <is>
          <t>GNESTA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6530-2024</t>
        </is>
      </c>
      <c r="B6594" s="1" t="n">
        <v>45341</v>
      </c>
      <c r="C6594" s="1" t="n">
        <v>45353</v>
      </c>
      <c r="D6594" t="inlineStr">
        <is>
          <t>SÖDERMANLANDS LÄN</t>
        </is>
      </c>
      <c r="E6594" t="inlineStr">
        <is>
          <t>FLEN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6521-2024</t>
        </is>
      </c>
      <c r="B6595" s="1" t="n">
        <v>45341</v>
      </c>
      <c r="C6595" s="1" t="n">
        <v>45353</v>
      </c>
      <c r="D6595" t="inlineStr">
        <is>
          <t>SÖDERMANLANDS LÄN</t>
        </is>
      </c>
      <c r="E6595" t="inlineStr">
        <is>
          <t>GNESTA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6522-2024</t>
        </is>
      </c>
      <c r="B6596" s="1" t="n">
        <v>45341</v>
      </c>
      <c r="C6596" s="1" t="n">
        <v>45353</v>
      </c>
      <c r="D6596" t="inlineStr">
        <is>
          <t>SÖDERMANLANDS LÄN</t>
        </is>
      </c>
      <c r="E6596" t="inlineStr">
        <is>
          <t>GNESTA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6536-2024</t>
        </is>
      </c>
      <c r="B6597" s="1" t="n">
        <v>45341</v>
      </c>
      <c r="C6597" s="1" t="n">
        <v>45353</v>
      </c>
      <c r="D6597" t="inlineStr">
        <is>
          <t>SÖDERMANLANDS LÄN</t>
        </is>
      </c>
      <c r="E6597" t="inlineStr">
        <is>
          <t>GNESTA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6558-2024</t>
        </is>
      </c>
      <c r="B6598" s="1" t="n">
        <v>45341</v>
      </c>
      <c r="C6598" s="1" t="n">
        <v>45353</v>
      </c>
      <c r="D6598" t="inlineStr">
        <is>
          <t>SÖDERMANLANDS LÄN</t>
        </is>
      </c>
      <c r="E6598" t="inlineStr">
        <is>
          <t>ESKILSTUNA</t>
        </is>
      </c>
      <c r="G6598" t="n">
        <v>12.6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6562-2024</t>
        </is>
      </c>
      <c r="B6599" s="1" t="n">
        <v>45341</v>
      </c>
      <c r="C6599" s="1" t="n">
        <v>45353</v>
      </c>
      <c r="D6599" t="inlineStr">
        <is>
          <t>SÖDERMANLANDS LÄN</t>
        </is>
      </c>
      <c r="E6599" t="inlineStr">
        <is>
          <t>ESKILSTUNA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6598-2024</t>
        </is>
      </c>
      <c r="B6600" s="1" t="n">
        <v>45341</v>
      </c>
      <c r="C6600" s="1" t="n">
        <v>45353</v>
      </c>
      <c r="D6600" t="inlineStr">
        <is>
          <t>SÖDERMANLANDS LÄN</t>
        </is>
      </c>
      <c r="E6600" t="inlineStr">
        <is>
          <t>ESKILSTUNA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6659-2024</t>
        </is>
      </c>
      <c r="B6601" s="1" t="n">
        <v>45341</v>
      </c>
      <c r="C6601" s="1" t="n">
        <v>45353</v>
      </c>
      <c r="D6601" t="inlineStr">
        <is>
          <t>SÖDERMANLANDS LÄN</t>
        </is>
      </c>
      <c r="E6601" t="inlineStr">
        <is>
          <t>ESKILSTUNA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6713-2024</t>
        </is>
      </c>
      <c r="B6602" s="1" t="n">
        <v>45342</v>
      </c>
      <c r="C6602" s="1" t="n">
        <v>45353</v>
      </c>
      <c r="D6602" t="inlineStr">
        <is>
          <t>SÖDERMANLANDS LÄN</t>
        </is>
      </c>
      <c r="E6602" t="inlineStr">
        <is>
          <t>NYKÖPING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45353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6714-2024</t>
        </is>
      </c>
      <c r="B6604" s="1" t="n">
        <v>45342</v>
      </c>
      <c r="C6604" s="1" t="n">
        <v>45353</v>
      </c>
      <c r="D6604" t="inlineStr">
        <is>
          <t>SÖDERMANLANDS LÄN</t>
        </is>
      </c>
      <c r="E6604" t="inlineStr">
        <is>
          <t>NYKÖPING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6711-2024</t>
        </is>
      </c>
      <c r="B6605" s="1" t="n">
        <v>45342</v>
      </c>
      <c r="C6605" s="1" t="n">
        <v>45353</v>
      </c>
      <c r="D6605" t="inlineStr">
        <is>
          <t>SÖDERMANLANDS LÄN</t>
        </is>
      </c>
      <c r="E6605" t="inlineStr">
        <is>
          <t>NYKÖPING</t>
        </is>
      </c>
      <c r="G6605" t="n">
        <v>3.4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6953-2024</t>
        </is>
      </c>
      <c r="B6606" s="1" t="n">
        <v>45343</v>
      </c>
      <c r="C6606" s="1" t="n">
        <v>45353</v>
      </c>
      <c r="D6606" t="inlineStr">
        <is>
          <t>SÖDERMANLANDS LÄN</t>
        </is>
      </c>
      <c r="E6606" t="inlineStr">
        <is>
          <t>ESKILSTUNA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6964-2024</t>
        </is>
      </c>
      <c r="B6607" s="1" t="n">
        <v>45343</v>
      </c>
      <c r="C6607" s="1" t="n">
        <v>45353</v>
      </c>
      <c r="D6607" t="inlineStr">
        <is>
          <t>SÖDERMANLANDS LÄN</t>
        </is>
      </c>
      <c r="E6607" t="inlineStr">
        <is>
          <t>FLEN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6982-2024</t>
        </is>
      </c>
      <c r="B6608" s="1" t="n">
        <v>45343</v>
      </c>
      <c r="C6608" s="1" t="n">
        <v>45353</v>
      </c>
      <c r="D6608" t="inlineStr">
        <is>
          <t>SÖDERMANLANDS LÄN</t>
        </is>
      </c>
      <c r="E6608" t="inlineStr">
        <is>
          <t>FLEN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6979-2024</t>
        </is>
      </c>
      <c r="B6609" s="1" t="n">
        <v>45343</v>
      </c>
      <c r="C6609" s="1" t="n">
        <v>45353</v>
      </c>
      <c r="D6609" t="inlineStr">
        <is>
          <t>SÖDERMANLANDS LÄN</t>
        </is>
      </c>
      <c r="E6609" t="inlineStr">
        <is>
          <t>GNESTA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6991-2024</t>
        </is>
      </c>
      <c r="B6610" s="1" t="n">
        <v>45343</v>
      </c>
      <c r="C6610" s="1" t="n">
        <v>45353</v>
      </c>
      <c r="D6610" t="inlineStr">
        <is>
          <t>SÖDERMANLANDS LÄN</t>
        </is>
      </c>
      <c r="E6610" t="inlineStr">
        <is>
          <t>ESKILSTUNA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7136-2024</t>
        </is>
      </c>
      <c r="B6611" s="1" t="n">
        <v>45343</v>
      </c>
      <c r="C6611" s="1" t="n">
        <v>45353</v>
      </c>
      <c r="D6611" t="inlineStr">
        <is>
          <t>SÖDERMANLANDS LÄN</t>
        </is>
      </c>
      <c r="E6611" t="inlineStr">
        <is>
          <t>VINGÅKER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7000-2024</t>
        </is>
      </c>
      <c r="B6612" s="1" t="n">
        <v>45343</v>
      </c>
      <c r="C6612" s="1" t="n">
        <v>45353</v>
      </c>
      <c r="D6612" t="inlineStr">
        <is>
          <t>SÖDERMANLANDS LÄN</t>
        </is>
      </c>
      <c r="E6612" t="inlineStr">
        <is>
          <t>ESKILSTUNA</t>
        </is>
      </c>
      <c r="G6612" t="n">
        <v>5.5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7008-2024</t>
        </is>
      </c>
      <c r="B6613" s="1" t="n">
        <v>45343</v>
      </c>
      <c r="C6613" s="1" t="n">
        <v>45353</v>
      </c>
      <c r="D6613" t="inlineStr">
        <is>
          <t>SÖDERMANLANDS LÄN</t>
        </is>
      </c>
      <c r="E6613" t="inlineStr">
        <is>
          <t>NYKÖPING</t>
        </is>
      </c>
      <c r="F6613" t="inlineStr">
        <is>
          <t>Holmen skog AB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7074-2024</t>
        </is>
      </c>
      <c r="B6614" s="1" t="n">
        <v>45343</v>
      </c>
      <c r="C6614" s="1" t="n">
        <v>45353</v>
      </c>
      <c r="D6614" t="inlineStr">
        <is>
          <t>SÖDERMANLANDS LÄN</t>
        </is>
      </c>
      <c r="E6614" t="inlineStr">
        <is>
          <t>NYKÖPING</t>
        </is>
      </c>
      <c r="F6614" t="inlineStr">
        <is>
          <t>Kommuner</t>
        </is>
      </c>
      <c r="G6614" t="n">
        <v>6.8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7204-2024</t>
        </is>
      </c>
      <c r="B6615" s="1" t="n">
        <v>45344</v>
      </c>
      <c r="C6615" s="1" t="n">
        <v>45353</v>
      </c>
      <c r="D6615" t="inlineStr">
        <is>
          <t>SÖDERMANLANDS LÄN</t>
        </is>
      </c>
      <c r="E6615" t="inlineStr">
        <is>
          <t>TROSA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7216-2024</t>
        </is>
      </c>
      <c r="B6616" s="1" t="n">
        <v>45344</v>
      </c>
      <c r="C6616" s="1" t="n">
        <v>45353</v>
      </c>
      <c r="D6616" t="inlineStr">
        <is>
          <t>SÖDERMANLANDS LÄN</t>
        </is>
      </c>
      <c r="E6616" t="inlineStr">
        <is>
          <t>STRÄNGNÄS</t>
        </is>
      </c>
      <c r="G6616" t="n">
        <v>11.7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7121-2024</t>
        </is>
      </c>
      <c r="B6617" s="1" t="n">
        <v>45344</v>
      </c>
      <c r="C6617" s="1" t="n">
        <v>45353</v>
      </c>
      <c r="D6617" t="inlineStr">
        <is>
          <t>SÖDERMANLANDS LÄN</t>
        </is>
      </c>
      <c r="E6617" t="inlineStr">
        <is>
          <t>NYKÖPING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7219-2024</t>
        </is>
      </c>
      <c r="B6618" s="1" t="n">
        <v>45344</v>
      </c>
      <c r="C6618" s="1" t="n">
        <v>45353</v>
      </c>
      <c r="D6618" t="inlineStr">
        <is>
          <t>SÖDERMANLANDS LÄN</t>
        </is>
      </c>
      <c r="E6618" t="inlineStr">
        <is>
          <t>STRÄNGNÄS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7218-2024</t>
        </is>
      </c>
      <c r="B6619" s="1" t="n">
        <v>45344</v>
      </c>
      <c r="C6619" s="1" t="n">
        <v>45353</v>
      </c>
      <c r="D6619" t="inlineStr">
        <is>
          <t>SÖDERMANLANDS LÄN</t>
        </is>
      </c>
      <c r="E6619" t="inlineStr">
        <is>
          <t>STRÄNGNÄS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7177-2024</t>
        </is>
      </c>
      <c r="B6620" s="1" t="n">
        <v>45344</v>
      </c>
      <c r="C6620" s="1" t="n">
        <v>45353</v>
      </c>
      <c r="D6620" t="inlineStr">
        <is>
          <t>SÖDERMANLANDS LÄN</t>
        </is>
      </c>
      <c r="E6620" t="inlineStr">
        <is>
          <t>TROSA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7213-2024</t>
        </is>
      </c>
      <c r="B6621" s="1" t="n">
        <v>45344</v>
      </c>
      <c r="C6621" s="1" t="n">
        <v>45353</v>
      </c>
      <c r="D6621" t="inlineStr">
        <is>
          <t>SÖDERMANLANDS LÄN</t>
        </is>
      </c>
      <c r="E6621" t="inlineStr">
        <is>
          <t>STRÄNGNÄS</t>
        </is>
      </c>
      <c r="G6621" t="n">
        <v>3.1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7217-2024</t>
        </is>
      </c>
      <c r="B6622" s="1" t="n">
        <v>45344</v>
      </c>
      <c r="C6622" s="1" t="n">
        <v>45353</v>
      </c>
      <c r="D6622" t="inlineStr">
        <is>
          <t>SÖDERMANLANDS LÄN</t>
        </is>
      </c>
      <c r="E6622" t="inlineStr">
        <is>
          <t>TROSA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7305-2024</t>
        </is>
      </c>
      <c r="B6623" s="1" t="n">
        <v>45344</v>
      </c>
      <c r="C6623" s="1" t="n">
        <v>45353</v>
      </c>
      <c r="D6623" t="inlineStr">
        <is>
          <t>SÖDERMANLANDS LÄN</t>
        </is>
      </c>
      <c r="E6623" t="inlineStr">
        <is>
          <t>KATRINEHOLM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7331-2024</t>
        </is>
      </c>
      <c r="B6624" s="1" t="n">
        <v>45345</v>
      </c>
      <c r="C6624" s="1" t="n">
        <v>45353</v>
      </c>
      <c r="D6624" t="inlineStr">
        <is>
          <t>SÖDERMANLANDS LÄN</t>
        </is>
      </c>
      <c r="E6624" t="inlineStr">
        <is>
          <t>ESKILSTUNA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7446-2024</t>
        </is>
      </c>
      <c r="B6625" s="1" t="n">
        <v>45345</v>
      </c>
      <c r="C6625" s="1" t="n">
        <v>45353</v>
      </c>
      <c r="D6625" t="inlineStr">
        <is>
          <t>SÖDERMANLANDS LÄN</t>
        </is>
      </c>
      <c r="E6625" t="inlineStr">
        <is>
          <t>NYKÖPING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7376-2024</t>
        </is>
      </c>
      <c r="B6626" s="1" t="n">
        <v>45345</v>
      </c>
      <c r="C6626" s="1" t="n">
        <v>45353</v>
      </c>
      <c r="D6626" t="inlineStr">
        <is>
          <t>SÖDERMANLANDS LÄN</t>
        </is>
      </c>
      <c r="E6626" t="inlineStr">
        <is>
          <t>FLEN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7380-2024</t>
        </is>
      </c>
      <c r="B6627" s="1" t="n">
        <v>45345</v>
      </c>
      <c r="C6627" s="1" t="n">
        <v>45353</v>
      </c>
      <c r="D6627" t="inlineStr">
        <is>
          <t>SÖDERMANLANDS LÄN</t>
        </is>
      </c>
      <c r="E6627" t="inlineStr">
        <is>
          <t>FLEN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7378-2024</t>
        </is>
      </c>
      <c r="B6628" s="1" t="n">
        <v>45345</v>
      </c>
      <c r="C6628" s="1" t="n">
        <v>45353</v>
      </c>
      <c r="D6628" t="inlineStr">
        <is>
          <t>SÖDERMANLANDS LÄN</t>
        </is>
      </c>
      <c r="E6628" t="inlineStr">
        <is>
          <t>FLEN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7394-2024</t>
        </is>
      </c>
      <c r="B6629" s="1" t="n">
        <v>45345</v>
      </c>
      <c r="C6629" s="1" t="n">
        <v>45353</v>
      </c>
      <c r="D6629" t="inlineStr">
        <is>
          <t>SÖDERMANLANDS LÄN</t>
        </is>
      </c>
      <c r="E6629" t="inlineStr">
        <is>
          <t>GNESTA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7398-2024</t>
        </is>
      </c>
      <c r="B6630" s="1" t="n">
        <v>45345</v>
      </c>
      <c r="C6630" s="1" t="n">
        <v>45353</v>
      </c>
      <c r="D6630" t="inlineStr">
        <is>
          <t>SÖDERMANLANDS LÄN</t>
        </is>
      </c>
      <c r="E6630" t="inlineStr">
        <is>
          <t>KATRINEHOLM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7406-2024</t>
        </is>
      </c>
      <c r="B6631" s="1" t="n">
        <v>45345</v>
      </c>
      <c r="C6631" s="1" t="n">
        <v>45353</v>
      </c>
      <c r="D6631" t="inlineStr">
        <is>
          <t>SÖDERMANLANDS LÄN</t>
        </is>
      </c>
      <c r="E6631" t="inlineStr">
        <is>
          <t>ESKILSTUNA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7381-2024</t>
        </is>
      </c>
      <c r="B6632" s="1" t="n">
        <v>45345</v>
      </c>
      <c r="C6632" s="1" t="n">
        <v>45353</v>
      </c>
      <c r="D6632" t="inlineStr">
        <is>
          <t>SÖDERMANLANDS LÄN</t>
        </is>
      </c>
      <c r="E6632" t="inlineStr">
        <is>
          <t>FLEN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7409-2024</t>
        </is>
      </c>
      <c r="B6633" s="1" t="n">
        <v>45345</v>
      </c>
      <c r="C6633" s="1" t="n">
        <v>45353</v>
      </c>
      <c r="D6633" t="inlineStr">
        <is>
          <t>SÖDERMANLANDS LÄN</t>
        </is>
      </c>
      <c r="E6633" t="inlineStr">
        <is>
          <t>ESKILSTUNA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7423-2024</t>
        </is>
      </c>
      <c r="B6634" s="1" t="n">
        <v>45345</v>
      </c>
      <c r="C6634" s="1" t="n">
        <v>45353</v>
      </c>
      <c r="D6634" t="inlineStr">
        <is>
          <t>SÖDERMANLANDS LÄN</t>
        </is>
      </c>
      <c r="E6634" t="inlineStr">
        <is>
          <t>GNESTA</t>
        </is>
      </c>
      <c r="G6634" t="n">
        <v>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45353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7540-2024</t>
        </is>
      </c>
      <c r="B6636" s="1" t="n">
        <v>45348</v>
      </c>
      <c r="C6636" s="1" t="n">
        <v>45353</v>
      </c>
      <c r="D6636" t="inlineStr">
        <is>
          <t>SÖDERMANLANDS LÄN</t>
        </is>
      </c>
      <c r="E6636" t="inlineStr">
        <is>
          <t>NYKÖPING</t>
        </is>
      </c>
      <c r="F6636" t="inlineStr">
        <is>
          <t>Holmen skog AB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7556-2024</t>
        </is>
      </c>
      <c r="B6637" s="1" t="n">
        <v>45348</v>
      </c>
      <c r="C6637" s="1" t="n">
        <v>45353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7565-2024</t>
        </is>
      </c>
      <c r="B6638" s="1" t="n">
        <v>45348</v>
      </c>
      <c r="C6638" s="1" t="n">
        <v>45353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7641-2024</t>
        </is>
      </c>
      <c r="B6639" s="1" t="n">
        <v>45348</v>
      </c>
      <c r="C6639" s="1" t="n">
        <v>45353</v>
      </c>
      <c r="D6639" t="inlineStr">
        <is>
          <t>SÖDERMANLANDS LÄN</t>
        </is>
      </c>
      <c r="E6639" t="inlineStr">
        <is>
          <t>KATRINEHOLM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7525-2024</t>
        </is>
      </c>
      <c r="B6640" s="1" t="n">
        <v>45348</v>
      </c>
      <c r="C6640" s="1" t="n">
        <v>45353</v>
      </c>
      <c r="D6640" t="inlineStr">
        <is>
          <t>SÖDERMANLANDS LÄN</t>
        </is>
      </c>
      <c r="E6640" t="inlineStr">
        <is>
          <t>FLEN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7526-2024</t>
        </is>
      </c>
      <c r="B6641" s="1" t="n">
        <v>45348</v>
      </c>
      <c r="C6641" s="1" t="n">
        <v>45353</v>
      </c>
      <c r="D6641" t="inlineStr">
        <is>
          <t>SÖDERMANLANDS LÄN</t>
        </is>
      </c>
      <c r="E6641" t="inlineStr">
        <is>
          <t>FLEN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7753-2024</t>
        </is>
      </c>
      <c r="B6642" s="1" t="n">
        <v>45348</v>
      </c>
      <c r="C6642" s="1" t="n">
        <v>45353</v>
      </c>
      <c r="D6642" t="inlineStr">
        <is>
          <t>SÖDERMANLANDS LÄN</t>
        </is>
      </c>
      <c r="E6642" t="inlineStr">
        <is>
          <t>KATRINEHOLM</t>
        </is>
      </c>
      <c r="G6642" t="n">
        <v>14.5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7756-2024</t>
        </is>
      </c>
      <c r="B6643" s="1" t="n">
        <v>45348</v>
      </c>
      <c r="C6643" s="1" t="n">
        <v>45353</v>
      </c>
      <c r="D6643" t="inlineStr">
        <is>
          <t>SÖDERMANLANDS LÄN</t>
        </is>
      </c>
      <c r="E6643" t="inlineStr">
        <is>
          <t>NYKÖPING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7747-2024</t>
        </is>
      </c>
      <c r="B6644" s="1" t="n">
        <v>45348</v>
      </c>
      <c r="C6644" s="1" t="n">
        <v>45353</v>
      </c>
      <c r="D6644" t="inlineStr">
        <is>
          <t>SÖDERMANLANDS LÄN</t>
        </is>
      </c>
      <c r="E6644" t="inlineStr">
        <is>
          <t>KATRINEHOLM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7670-2024</t>
        </is>
      </c>
      <c r="B6645" s="1" t="n">
        <v>45348</v>
      </c>
      <c r="C6645" s="1" t="n">
        <v>45353</v>
      </c>
      <c r="D6645" t="inlineStr">
        <is>
          <t>SÖDERMANLANDS LÄN</t>
        </is>
      </c>
      <c r="E6645" t="inlineStr">
        <is>
          <t>KATRINEHOLM</t>
        </is>
      </c>
      <c r="G6645" t="n">
        <v>3.1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7776-2024</t>
        </is>
      </c>
      <c r="B6646" s="1" t="n">
        <v>45349</v>
      </c>
      <c r="C6646" s="1" t="n">
        <v>45353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7781-2024</t>
        </is>
      </c>
      <c r="B6647" s="1" t="n">
        <v>45349</v>
      </c>
      <c r="C6647" s="1" t="n">
        <v>45353</v>
      </c>
      <c r="D6647" t="inlineStr">
        <is>
          <t>SÖDERMANLANDS LÄN</t>
        </is>
      </c>
      <c r="E6647" t="inlineStr">
        <is>
          <t>STRÄNGNÄS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7824-2024</t>
        </is>
      </c>
      <c r="B6648" s="1" t="n">
        <v>45349</v>
      </c>
      <c r="C6648" s="1" t="n">
        <v>45353</v>
      </c>
      <c r="D6648" t="inlineStr">
        <is>
          <t>SÖDERMANLANDS LÄN</t>
        </is>
      </c>
      <c r="E6648" t="inlineStr">
        <is>
          <t>NYKÖPING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7867-2024</t>
        </is>
      </c>
      <c r="B6649" s="1" t="n">
        <v>45350</v>
      </c>
      <c r="C6649" s="1" t="n">
        <v>45353</v>
      </c>
      <c r="D6649" t="inlineStr">
        <is>
          <t>SÖDERMANLANDS LÄN</t>
        </is>
      </c>
      <c r="E6649" t="inlineStr">
        <is>
          <t>KATRINEHOLM</t>
        </is>
      </c>
      <c r="F6649" t="inlineStr">
        <is>
          <t>Kyrkan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7951-2024</t>
        </is>
      </c>
      <c r="B6650" s="1" t="n">
        <v>45350</v>
      </c>
      <c r="C6650" s="1" t="n">
        <v>45353</v>
      </c>
      <c r="D6650" t="inlineStr">
        <is>
          <t>SÖDERMANLANDS LÄN</t>
        </is>
      </c>
      <c r="E6650" t="inlineStr">
        <is>
          <t>FLEN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7960-2024</t>
        </is>
      </c>
      <c r="B6651" s="1" t="n">
        <v>45350</v>
      </c>
      <c r="C6651" s="1" t="n">
        <v>45353</v>
      </c>
      <c r="D6651" t="inlineStr">
        <is>
          <t>SÖDERMANLANDS LÄN</t>
        </is>
      </c>
      <c r="E6651" t="inlineStr">
        <is>
          <t>FLEN</t>
        </is>
      </c>
      <c r="G6651" t="n">
        <v>10.4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8006-2024</t>
        </is>
      </c>
      <c r="B6652" s="1" t="n">
        <v>45350</v>
      </c>
      <c r="C6652" s="1" t="n">
        <v>45353</v>
      </c>
      <c r="D6652" t="inlineStr">
        <is>
          <t>SÖDERMANLANDS LÄN</t>
        </is>
      </c>
      <c r="E6652" t="inlineStr">
        <is>
          <t>NYKÖPING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7968-2024</t>
        </is>
      </c>
      <c r="B6653" s="1" t="n">
        <v>45350</v>
      </c>
      <c r="C6653" s="1" t="n">
        <v>45353</v>
      </c>
      <c r="D6653" t="inlineStr">
        <is>
          <t>SÖDERMANLANDS LÄN</t>
        </is>
      </c>
      <c r="E6653" t="inlineStr">
        <is>
          <t>FLEN</t>
        </is>
      </c>
      <c r="G6653" t="n">
        <v>3.8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8324-2024</t>
        </is>
      </c>
      <c r="B6654" s="1" t="n">
        <v>45350</v>
      </c>
      <c r="C6654" s="1" t="n">
        <v>45353</v>
      </c>
      <c r="D6654" t="inlineStr">
        <is>
          <t>SÖDERMANLANDS LÄN</t>
        </is>
      </c>
      <c r="E6654" t="inlineStr">
        <is>
          <t>NYKÖPING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45353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8143-2024</t>
        </is>
      </c>
      <c r="B6656" s="1" t="n">
        <v>45351</v>
      </c>
      <c r="C6656" s="1" t="n">
        <v>45353</v>
      </c>
      <c r="D6656" t="inlineStr">
        <is>
          <t>SÖDERMANLANDS LÄN</t>
        </is>
      </c>
      <c r="E6656" t="inlineStr">
        <is>
          <t>ESKILSTUNA</t>
        </is>
      </c>
      <c r="F6656" t="inlineStr">
        <is>
          <t>Sveaskog</t>
        </is>
      </c>
      <c r="G6656" t="n">
        <v>9.5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45353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45353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8261-2024</t>
        </is>
      </c>
      <c r="B6659" s="1" t="n">
        <v>45352</v>
      </c>
      <c r="C6659" s="1" t="n">
        <v>45353</v>
      </c>
      <c r="D6659" t="inlineStr">
        <is>
          <t>SÖDERMANLANDS LÄN</t>
        </is>
      </c>
      <c r="E6659" t="inlineStr">
        <is>
          <t>NYKÖPING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8387-2024</t>
        </is>
      </c>
      <c r="B6660" s="1" t="n">
        <v>45352</v>
      </c>
      <c r="C6660" s="1" t="n">
        <v>45353</v>
      </c>
      <c r="D6660" t="inlineStr">
        <is>
          <t>SÖDERMANLANDS LÄN</t>
        </is>
      </c>
      <c r="E6660" t="inlineStr">
        <is>
          <t>NYKÖPING</t>
        </is>
      </c>
      <c r="F6660" t="inlineStr">
        <is>
          <t>Sveaskog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8390-2024</t>
        </is>
      </c>
      <c r="B6661" s="1" t="n">
        <v>45352</v>
      </c>
      <c r="C6661" s="1" t="n">
        <v>45353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8358-2024</t>
        </is>
      </c>
      <c r="B6662" s="1" t="n">
        <v>45352</v>
      </c>
      <c r="C6662" s="1" t="n">
        <v>45353</v>
      </c>
      <c r="D6662" t="inlineStr">
        <is>
          <t>SÖDERMANLANDS LÄN</t>
        </is>
      </c>
      <c r="E6662" t="inlineStr">
        <is>
          <t>GNESTA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8385-2024</t>
        </is>
      </c>
      <c r="B6663" s="1" t="n">
        <v>45352</v>
      </c>
      <c r="C6663" s="1" t="n">
        <v>45353</v>
      </c>
      <c r="D6663" t="inlineStr">
        <is>
          <t>SÖDERMANLANDS LÄN</t>
        </is>
      </c>
      <c r="E6663" t="inlineStr">
        <is>
          <t>VINGÅKER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8389-2024</t>
        </is>
      </c>
      <c r="B6664" s="1" t="n">
        <v>45352</v>
      </c>
      <c r="C6664" s="1" t="n">
        <v>45353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8394-2024</t>
        </is>
      </c>
      <c r="B6665" s="1" t="n">
        <v>45352</v>
      </c>
      <c r="C6665" s="1" t="n">
        <v>45353</v>
      </c>
      <c r="D6665" t="inlineStr">
        <is>
          <t>SÖDERMANLANDS LÄN</t>
        </is>
      </c>
      <c r="E6665" t="inlineStr">
        <is>
          <t>KATRINEHOLM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>
      <c r="A6666" t="inlineStr">
        <is>
          <t>A 8388-2024</t>
        </is>
      </c>
      <c r="B6666" s="1" t="n">
        <v>45352</v>
      </c>
      <c r="C6666" s="1" t="n">
        <v>45353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2024-03-02T13:06:52Z</dcterms:created>
  <dcterms:modified xmlns:dcterms="http://purl.org/dc/terms/" xmlns:xsi="http://www.w3.org/2001/XMLSchema-instance" xsi:type="dcterms:W3CDTF">2024-03-02T13:06:58Z</dcterms:modified>
</cp:coreProperties>
</file>