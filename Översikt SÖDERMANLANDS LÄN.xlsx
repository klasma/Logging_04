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45636</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45636</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45636</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45636</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45636</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45636</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45636</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45636</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45636</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45636</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45636</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45636</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45636</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45636</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45636</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45636</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45636</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45636</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45636</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45636</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45636</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45636</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45636</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45636</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45636</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45636</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45636</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45636</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45636</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45636</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45636</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45636</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45636</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45636</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45636</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45636</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45636</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45636</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45636</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45636</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45636</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45636</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45636</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45636</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45636</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45636</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45636</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45636</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45636</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45636</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45636</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45636</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45636</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42793-2023</t>
        </is>
      </c>
      <c r="B58" s="1" t="n">
        <v>45181</v>
      </c>
      <c r="C58" s="1" t="n">
        <v>45636</v>
      </c>
      <c r="D58" t="inlineStr">
        <is>
          <t>SÖDERMANLANDS LÄN</t>
        </is>
      </c>
      <c r="E58" t="inlineStr">
        <is>
          <t>ESKILSTUNA</t>
        </is>
      </c>
      <c r="F58" t="inlineStr">
        <is>
          <t>Allmännings- och besparingsskogar</t>
        </is>
      </c>
      <c r="G58" t="n">
        <v>14.7</v>
      </c>
      <c r="H58" t="n">
        <v>2</v>
      </c>
      <c r="I58" t="n">
        <v>3</v>
      </c>
      <c r="J58" t="n">
        <v>4</v>
      </c>
      <c r="K58" t="n">
        <v>0</v>
      </c>
      <c r="L58" t="n">
        <v>0</v>
      </c>
      <c r="M58" t="n">
        <v>0</v>
      </c>
      <c r="N58" t="n">
        <v>0</v>
      </c>
      <c r="O58" t="n">
        <v>4</v>
      </c>
      <c r="P58" t="n">
        <v>0</v>
      </c>
      <c r="Q58" t="n">
        <v>7</v>
      </c>
      <c r="R58" s="2" t="inlineStr">
        <is>
          <t>Motaggsvamp
Spillkråka
Tallticka
Talltita
Blomkålssvamp
Dropptaggsvamp
Mindre märgborre</t>
        </is>
      </c>
      <c r="S58">
        <f>HYPERLINK("https://klasma.github.io/Logging_0484/artfynd/A 42793-2023 artfynd.xlsx", "A 42793-2023")</f>
        <v/>
      </c>
      <c r="T58">
        <f>HYPERLINK("https://klasma.github.io/Logging_0484/kartor/A 42793-2023 karta.png", "A 42793-2023")</f>
        <v/>
      </c>
      <c r="U58">
        <f>HYPERLINK("https://klasma.github.io/Logging_0484/knärot/A 42793-2023 karta knärot.png", "A 42793-2023")</f>
        <v/>
      </c>
      <c r="V58">
        <f>HYPERLINK("https://klasma.github.io/Logging_0484/klagomål/A 42793-2023 FSC-klagomål.docx", "A 42793-2023")</f>
        <v/>
      </c>
      <c r="W58">
        <f>HYPERLINK("https://klasma.github.io/Logging_0484/klagomålsmail/A 42793-2023 FSC-klagomål mail.docx", "A 42793-2023")</f>
        <v/>
      </c>
      <c r="X58">
        <f>HYPERLINK("https://klasma.github.io/Logging_0484/tillsyn/A 42793-2023 tillsynsbegäran.docx", "A 42793-2023")</f>
        <v/>
      </c>
      <c r="Y58">
        <f>HYPERLINK("https://klasma.github.io/Logging_0484/tillsynsmail/A 42793-2023 tillsynsbegäran mail.docx", "A 42793-2023")</f>
        <v/>
      </c>
      <c r="Z58">
        <f>HYPERLINK("https://klasma.github.io/Logging_0484/fåglar/A 42793-2023 prioriterade fågelarter.docx", "A 42793-2023")</f>
        <v/>
      </c>
    </row>
    <row r="59" ht="15" customHeight="1">
      <c r="A59" t="inlineStr">
        <is>
          <t>A 55164-2023</t>
        </is>
      </c>
      <c r="B59" s="1" t="n">
        <v>45237</v>
      </c>
      <c r="C59" s="1" t="n">
        <v>45636</v>
      </c>
      <c r="D59" t="inlineStr">
        <is>
          <t>SÖDERMANLANDS LÄN</t>
        </is>
      </c>
      <c r="E59" t="inlineStr">
        <is>
          <t>KATRINEHOLM</t>
        </is>
      </c>
      <c r="G59" t="n">
        <v>17.8</v>
      </c>
      <c r="H59" t="n">
        <v>7</v>
      </c>
      <c r="I59" t="n">
        <v>0</v>
      </c>
      <c r="J59" t="n">
        <v>3</v>
      </c>
      <c r="K59" t="n">
        <v>1</v>
      </c>
      <c r="L59" t="n">
        <v>0</v>
      </c>
      <c r="M59" t="n">
        <v>0</v>
      </c>
      <c r="N59" t="n">
        <v>0</v>
      </c>
      <c r="O59" t="n">
        <v>4</v>
      </c>
      <c r="P59" t="n">
        <v>1</v>
      </c>
      <c r="Q59" t="n">
        <v>7</v>
      </c>
      <c r="R59" s="2" t="inlineStr">
        <is>
          <t>Stare
Björktrast
Gulsparv
Spillkråka
Trädlärka
Törnskata
Gullviva</t>
        </is>
      </c>
      <c r="S59">
        <f>HYPERLINK("https://klasma.github.io/Logging_0483/artfynd/A 55164-2023 artfynd.xlsx", "A 55164-2023")</f>
        <v/>
      </c>
      <c r="T59">
        <f>HYPERLINK("https://klasma.github.io/Logging_0483/kartor/A 55164-2023 karta.png", "A 55164-2023")</f>
        <v/>
      </c>
      <c r="V59">
        <f>HYPERLINK("https://klasma.github.io/Logging_0483/klagomål/A 55164-2023 FSC-klagomål.docx", "A 55164-2023")</f>
        <v/>
      </c>
      <c r="W59">
        <f>HYPERLINK("https://klasma.github.io/Logging_0483/klagomålsmail/A 55164-2023 FSC-klagomål mail.docx", "A 55164-2023")</f>
        <v/>
      </c>
      <c r="X59">
        <f>HYPERLINK("https://klasma.github.io/Logging_0483/tillsyn/A 55164-2023 tillsynsbegäran.docx", "A 55164-2023")</f>
        <v/>
      </c>
      <c r="Y59">
        <f>HYPERLINK("https://klasma.github.io/Logging_0483/tillsynsmail/A 55164-2023 tillsynsbegäran mail.docx", "A 55164-2023")</f>
        <v/>
      </c>
      <c r="Z59">
        <f>HYPERLINK("https://klasma.github.io/Logging_0483/fåglar/A 55164-2023 prioriterade fågelarter.docx", "A 55164-2023")</f>
        <v/>
      </c>
    </row>
    <row r="60" ht="15" customHeight="1">
      <c r="A60" t="inlineStr">
        <is>
          <t>A 23898-2024</t>
        </is>
      </c>
      <c r="B60" s="1" t="n">
        <v>45455</v>
      </c>
      <c r="C60" s="1" t="n">
        <v>45636</v>
      </c>
      <c r="D60" t="inlineStr">
        <is>
          <t>SÖDERMANLANDS LÄN</t>
        </is>
      </c>
      <c r="E60" t="inlineStr">
        <is>
          <t>NYKÖPING</t>
        </is>
      </c>
      <c r="F60" t="inlineStr">
        <is>
          <t>Kommuner</t>
        </is>
      </c>
      <c r="G60" t="n">
        <v>7.4</v>
      </c>
      <c r="H60" t="n">
        <v>1</v>
      </c>
      <c r="I60" t="n">
        <v>5</v>
      </c>
      <c r="J60" t="n">
        <v>0</v>
      </c>
      <c r="K60" t="n">
        <v>0</v>
      </c>
      <c r="L60" t="n">
        <v>0</v>
      </c>
      <c r="M60" t="n">
        <v>1</v>
      </c>
      <c r="N60" t="n">
        <v>0</v>
      </c>
      <c r="O60" t="n">
        <v>1</v>
      </c>
      <c r="P60" t="n">
        <v>1</v>
      </c>
      <c r="Q60" t="n">
        <v>7</v>
      </c>
      <c r="R60" s="2" t="inlineStr">
        <is>
          <t>Skogsalm
Blodticka
Blåmossa
Brandticka
Stubbspretmossa
Ögonpyrola
Revlummer</t>
        </is>
      </c>
      <c r="S60">
        <f>HYPERLINK("https://klasma.github.io/Logging_0480/artfynd/A 23898-2024 artfynd.xlsx", "A 23898-2024")</f>
        <v/>
      </c>
      <c r="T60">
        <f>HYPERLINK("https://klasma.github.io/Logging_0480/kartor/A 23898-2024 karta.png", "A 23898-2024")</f>
        <v/>
      </c>
      <c r="V60">
        <f>HYPERLINK("https://klasma.github.io/Logging_0480/klagomål/A 23898-2024 FSC-klagomål.docx", "A 23898-2024")</f>
        <v/>
      </c>
      <c r="W60">
        <f>HYPERLINK("https://klasma.github.io/Logging_0480/klagomålsmail/A 23898-2024 FSC-klagomål mail.docx", "A 23898-2024")</f>
        <v/>
      </c>
      <c r="X60">
        <f>HYPERLINK("https://klasma.github.io/Logging_0480/tillsyn/A 23898-2024 tillsynsbegäran.docx", "A 23898-2024")</f>
        <v/>
      </c>
      <c r="Y60">
        <f>HYPERLINK("https://klasma.github.io/Logging_0480/tillsynsmail/A 23898-2024 tillsynsbegäran mail.docx", "A 23898-2024")</f>
        <v/>
      </c>
    </row>
    <row r="61" ht="15" customHeight="1">
      <c r="A61" t="inlineStr">
        <is>
          <t>A 29975-2024</t>
        </is>
      </c>
      <c r="B61" s="1" t="n">
        <v>45488</v>
      </c>
      <c r="C61" s="1" t="n">
        <v>45636</v>
      </c>
      <c r="D61" t="inlineStr">
        <is>
          <t>SÖDERMANLANDS LÄN</t>
        </is>
      </c>
      <c r="E61" t="inlineStr">
        <is>
          <t>GNESTA</t>
        </is>
      </c>
      <c r="G61" t="n">
        <v>6.7</v>
      </c>
      <c r="H61" t="n">
        <v>3</v>
      </c>
      <c r="I61" t="n">
        <v>0</v>
      </c>
      <c r="J61" t="n">
        <v>3</v>
      </c>
      <c r="K61" t="n">
        <v>0</v>
      </c>
      <c r="L61" t="n">
        <v>1</v>
      </c>
      <c r="M61" t="n">
        <v>0</v>
      </c>
      <c r="N61" t="n">
        <v>0</v>
      </c>
      <c r="O61" t="n">
        <v>4</v>
      </c>
      <c r="P61" t="n">
        <v>1</v>
      </c>
      <c r="Q61" t="n">
        <v>7</v>
      </c>
      <c r="R61" s="2" t="inlineStr">
        <is>
          <t>Ask
Klasefibbla
Svinrot
Vanlig backsmörblomma
Vanlig snok
Blåsippa
Gullviva</t>
        </is>
      </c>
      <c r="S61">
        <f>HYPERLINK("https://klasma.github.io/Logging_0461/artfynd/A 29975-2024 artfynd.xlsx", "A 29975-2024")</f>
        <v/>
      </c>
      <c r="T61">
        <f>HYPERLINK("https://klasma.github.io/Logging_0461/kartor/A 29975-2024 karta.png", "A 29975-2024")</f>
        <v/>
      </c>
      <c r="V61">
        <f>HYPERLINK("https://klasma.github.io/Logging_0461/klagomål/A 29975-2024 FSC-klagomål.docx", "A 29975-2024")</f>
        <v/>
      </c>
      <c r="W61">
        <f>HYPERLINK("https://klasma.github.io/Logging_0461/klagomålsmail/A 29975-2024 FSC-klagomål mail.docx", "A 29975-2024")</f>
        <v/>
      </c>
      <c r="X61">
        <f>HYPERLINK("https://klasma.github.io/Logging_0461/tillsyn/A 29975-2024 tillsynsbegäran.docx", "A 29975-2024")</f>
        <v/>
      </c>
      <c r="Y61">
        <f>HYPERLINK("https://klasma.github.io/Logging_0461/tillsynsmail/A 29975-2024 tillsynsbegäran mail.docx", "A 29975-2024")</f>
        <v/>
      </c>
    </row>
    <row r="62" ht="15" customHeight="1">
      <c r="A62" t="inlineStr">
        <is>
          <t>A 30651-2024</t>
        </is>
      </c>
      <c r="B62" s="1" t="n">
        <v>45495</v>
      </c>
      <c r="C62" s="1" t="n">
        <v>45636</v>
      </c>
      <c r="D62" t="inlineStr">
        <is>
          <t>SÖDERMANLANDS LÄN</t>
        </is>
      </c>
      <c r="E62" t="inlineStr">
        <is>
          <t>ESKILSTUNA</t>
        </is>
      </c>
      <c r="G62" t="n">
        <v>4.1</v>
      </c>
      <c r="H62" t="n">
        <v>4</v>
      </c>
      <c r="I62" t="n">
        <v>1</v>
      </c>
      <c r="J62" t="n">
        <v>1</v>
      </c>
      <c r="K62" t="n">
        <v>0</v>
      </c>
      <c r="L62" t="n">
        <v>1</v>
      </c>
      <c r="M62" t="n">
        <v>1</v>
      </c>
      <c r="N62" t="n">
        <v>0</v>
      </c>
      <c r="O62" t="n">
        <v>3</v>
      </c>
      <c r="P62" t="n">
        <v>2</v>
      </c>
      <c r="Q62" t="n">
        <v>7</v>
      </c>
      <c r="R62" s="2" t="inlineStr">
        <is>
          <t>Skogsalm
Ask
Spillkråka
Svart trolldruva
Grönvit nattviol
Nattviol
Blåsippa</t>
        </is>
      </c>
      <c r="S62">
        <f>HYPERLINK("https://klasma.github.io/Logging_0484/artfynd/A 30651-2024 artfynd.xlsx", "A 30651-2024")</f>
        <v/>
      </c>
      <c r="T62">
        <f>HYPERLINK("https://klasma.github.io/Logging_0484/kartor/A 30651-2024 karta.png", "A 30651-2024")</f>
        <v/>
      </c>
      <c r="V62">
        <f>HYPERLINK("https://klasma.github.io/Logging_0484/klagomål/A 30651-2024 FSC-klagomål.docx", "A 30651-2024")</f>
        <v/>
      </c>
      <c r="W62">
        <f>HYPERLINK("https://klasma.github.io/Logging_0484/klagomålsmail/A 30651-2024 FSC-klagomål mail.docx", "A 30651-2024")</f>
        <v/>
      </c>
      <c r="X62">
        <f>HYPERLINK("https://klasma.github.io/Logging_0484/tillsyn/A 30651-2024 tillsynsbegäran.docx", "A 30651-2024")</f>
        <v/>
      </c>
      <c r="Y62">
        <f>HYPERLINK("https://klasma.github.io/Logging_0484/tillsynsmail/A 30651-2024 tillsynsbegäran mail.docx", "A 30651-2024")</f>
        <v/>
      </c>
      <c r="Z62">
        <f>HYPERLINK("https://klasma.github.io/Logging_0484/fåglar/A 30651-2024 prioriterade fågelarter.docx", "A 30651-2024")</f>
        <v/>
      </c>
    </row>
    <row r="63" ht="15" customHeight="1">
      <c r="A63" t="inlineStr">
        <is>
          <t>A 49039-2024</t>
        </is>
      </c>
      <c r="B63" s="1" t="n">
        <v>45594</v>
      </c>
      <c r="C63" s="1" t="n">
        <v>45636</v>
      </c>
      <c r="D63" t="inlineStr">
        <is>
          <t>SÖDERMANLANDS LÄN</t>
        </is>
      </c>
      <c r="E63" t="inlineStr">
        <is>
          <t>NYKÖPING</t>
        </is>
      </c>
      <c r="F63" t="inlineStr">
        <is>
          <t>Holmen skog AB</t>
        </is>
      </c>
      <c r="G63" t="n">
        <v>21.6</v>
      </c>
      <c r="H63" t="n">
        <v>0</v>
      </c>
      <c r="I63" t="n">
        <v>1</v>
      </c>
      <c r="J63" t="n">
        <v>6</v>
      </c>
      <c r="K63" t="n">
        <v>0</v>
      </c>
      <c r="L63" t="n">
        <v>0</v>
      </c>
      <c r="M63" t="n">
        <v>0</v>
      </c>
      <c r="N63" t="n">
        <v>0</v>
      </c>
      <c r="O63" t="n">
        <v>6</v>
      </c>
      <c r="P63" t="n">
        <v>0</v>
      </c>
      <c r="Q63" t="n">
        <v>7</v>
      </c>
      <c r="R63" s="2" t="inlineStr">
        <is>
          <t>Dvärgbägarlav
Kolflarnlav
Kortskaftad ärgspik
Motaggsvamp
Tallticka
Vedskivlav
Blåmossa</t>
        </is>
      </c>
      <c r="S63">
        <f>HYPERLINK("https://klasma.github.io/Logging_0480/artfynd/A 49039-2024 artfynd.xlsx", "A 49039-2024")</f>
        <v/>
      </c>
      <c r="T63">
        <f>HYPERLINK("https://klasma.github.io/Logging_0480/kartor/A 49039-2024 karta.png", "A 49039-2024")</f>
        <v/>
      </c>
      <c r="V63">
        <f>HYPERLINK("https://klasma.github.io/Logging_0480/klagomål/A 49039-2024 FSC-klagomål.docx", "A 49039-2024")</f>
        <v/>
      </c>
      <c r="W63">
        <f>HYPERLINK("https://klasma.github.io/Logging_0480/klagomålsmail/A 49039-2024 FSC-klagomål mail.docx", "A 49039-2024")</f>
        <v/>
      </c>
      <c r="X63">
        <f>HYPERLINK("https://klasma.github.io/Logging_0480/tillsyn/A 49039-2024 tillsynsbegäran.docx", "A 49039-2024")</f>
        <v/>
      </c>
      <c r="Y63">
        <f>HYPERLINK("https://klasma.github.io/Logging_0480/tillsynsmail/A 49039-2024 tillsynsbegäran mail.docx", "A 49039-2024")</f>
        <v/>
      </c>
    </row>
    <row r="64" ht="15" customHeight="1">
      <c r="A64" t="inlineStr">
        <is>
          <t>A 51652-2019</t>
        </is>
      </c>
      <c r="B64" s="1" t="n">
        <v>43740</v>
      </c>
      <c r="C64" s="1" t="n">
        <v>45636</v>
      </c>
      <c r="D64" t="inlineStr">
        <is>
          <t>SÖDERMANLANDS LÄN</t>
        </is>
      </c>
      <c r="E64" t="inlineStr">
        <is>
          <t>ESKILSTUNA</t>
        </is>
      </c>
      <c r="G64" t="n">
        <v>9.300000000000001</v>
      </c>
      <c r="H64" t="n">
        <v>6</v>
      </c>
      <c r="I64" t="n">
        <v>0</v>
      </c>
      <c r="J64" t="n">
        <v>2</v>
      </c>
      <c r="K64" t="n">
        <v>0</v>
      </c>
      <c r="L64" t="n">
        <v>0</v>
      </c>
      <c r="M64" t="n">
        <v>0</v>
      </c>
      <c r="N64" t="n">
        <v>0</v>
      </c>
      <c r="O64" t="n">
        <v>2</v>
      </c>
      <c r="P64" t="n">
        <v>0</v>
      </c>
      <c r="Q64" t="n">
        <v>6</v>
      </c>
      <c r="R64" s="2" t="inlineStr">
        <is>
          <t>Brunlångöra
Nordfladdermus
Dvärgpipistrell
Större brunfladdermus
Trollpipistrell
Vattenfladdermus</t>
        </is>
      </c>
      <c r="S64">
        <f>HYPERLINK("https://klasma.github.io/Logging_0484/artfynd/A 51652-2019 artfynd.xlsx", "A 51652-2019")</f>
        <v/>
      </c>
      <c r="T64">
        <f>HYPERLINK("https://klasma.github.io/Logging_0484/kartor/A 51652-2019 karta.png", "A 51652-2019")</f>
        <v/>
      </c>
      <c r="V64">
        <f>HYPERLINK("https://klasma.github.io/Logging_0484/klagomål/A 51652-2019 FSC-klagomål.docx", "A 51652-2019")</f>
        <v/>
      </c>
      <c r="W64">
        <f>HYPERLINK("https://klasma.github.io/Logging_0484/klagomålsmail/A 51652-2019 FSC-klagomål mail.docx", "A 51652-2019")</f>
        <v/>
      </c>
      <c r="X64">
        <f>HYPERLINK("https://klasma.github.io/Logging_0484/tillsyn/A 51652-2019 tillsynsbegäran.docx", "A 51652-2019")</f>
        <v/>
      </c>
      <c r="Y64">
        <f>HYPERLINK("https://klasma.github.io/Logging_0484/tillsynsmail/A 51652-2019 tillsynsbegäran mail.docx", "A 51652-2019")</f>
        <v/>
      </c>
    </row>
    <row r="65" ht="15" customHeight="1">
      <c r="A65" t="inlineStr">
        <is>
          <t>A 59510-2019</t>
        </is>
      </c>
      <c r="B65" s="1" t="n">
        <v>43776</v>
      </c>
      <c r="C65" s="1" t="n">
        <v>45636</v>
      </c>
      <c r="D65" t="inlineStr">
        <is>
          <t>SÖDERMANLANDS LÄN</t>
        </is>
      </c>
      <c r="E65" t="inlineStr">
        <is>
          <t>FLEN</t>
        </is>
      </c>
      <c r="G65" t="n">
        <v>2.4</v>
      </c>
      <c r="H65" t="n">
        <v>1</v>
      </c>
      <c r="I65" t="n">
        <v>3</v>
      </c>
      <c r="J65" t="n">
        <v>2</v>
      </c>
      <c r="K65" t="n">
        <v>0</v>
      </c>
      <c r="L65" t="n">
        <v>0</v>
      </c>
      <c r="M65" t="n">
        <v>0</v>
      </c>
      <c r="N65" t="n">
        <v>0</v>
      </c>
      <c r="O65" t="n">
        <v>2</v>
      </c>
      <c r="P65" t="n">
        <v>0</v>
      </c>
      <c r="Q65" t="n">
        <v>6</v>
      </c>
      <c r="R65" s="2" t="inlineStr">
        <is>
          <t>Granticka
Tallticka
Barkticka
Papegojvaxskivling
Rävticka
Blåsippa</t>
        </is>
      </c>
      <c r="S65">
        <f>HYPERLINK("https://klasma.github.io/Logging_0482/artfynd/A 59510-2019 artfynd.xlsx", "A 59510-2019")</f>
        <v/>
      </c>
      <c r="T65">
        <f>HYPERLINK("https://klasma.github.io/Logging_0482/kartor/A 59510-2019 karta.png", "A 59510-2019")</f>
        <v/>
      </c>
      <c r="V65">
        <f>HYPERLINK("https://klasma.github.io/Logging_0482/klagomål/A 59510-2019 FSC-klagomål.docx", "A 59510-2019")</f>
        <v/>
      </c>
      <c r="W65">
        <f>HYPERLINK("https://klasma.github.io/Logging_0482/klagomålsmail/A 59510-2019 FSC-klagomål mail.docx", "A 59510-2019")</f>
        <v/>
      </c>
      <c r="X65">
        <f>HYPERLINK("https://klasma.github.io/Logging_0482/tillsyn/A 59510-2019 tillsynsbegäran.docx", "A 59510-2019")</f>
        <v/>
      </c>
      <c r="Y65">
        <f>HYPERLINK("https://klasma.github.io/Logging_0482/tillsynsmail/A 59510-2019 tillsynsbegäran mail.docx", "A 59510-2019")</f>
        <v/>
      </c>
    </row>
    <row r="66" ht="15" customHeight="1">
      <c r="A66" t="inlineStr">
        <is>
          <t>A 13835-2020</t>
        </is>
      </c>
      <c r="B66" s="1" t="n">
        <v>43896</v>
      </c>
      <c r="C66" s="1" t="n">
        <v>45636</v>
      </c>
      <c r="D66" t="inlineStr">
        <is>
          <t>SÖDERMANLANDS LÄN</t>
        </is>
      </c>
      <c r="E66" t="inlineStr">
        <is>
          <t>GNESTA</t>
        </is>
      </c>
      <c r="G66" t="n">
        <v>1.9</v>
      </c>
      <c r="H66" t="n">
        <v>1</v>
      </c>
      <c r="I66" t="n">
        <v>2</v>
      </c>
      <c r="J66" t="n">
        <v>2</v>
      </c>
      <c r="K66" t="n">
        <v>0</v>
      </c>
      <c r="L66" t="n">
        <v>0</v>
      </c>
      <c r="M66" t="n">
        <v>1</v>
      </c>
      <c r="N66" t="n">
        <v>0</v>
      </c>
      <c r="O66" t="n">
        <v>3</v>
      </c>
      <c r="P66" t="n">
        <v>1</v>
      </c>
      <c r="Q66" t="n">
        <v>6</v>
      </c>
      <c r="R66" s="2" t="inlineStr">
        <is>
          <t>Skogsalm
Tallticka
Vårstarr
Hasselticka
Läderskål
Blåsippa</t>
        </is>
      </c>
      <c r="S66">
        <f>HYPERLINK("https://klasma.github.io/Logging_0461/artfynd/A 13835-2020 artfynd.xlsx", "A 13835-2020")</f>
        <v/>
      </c>
      <c r="T66">
        <f>HYPERLINK("https://klasma.github.io/Logging_0461/kartor/A 13835-2020 karta.png", "A 13835-2020")</f>
        <v/>
      </c>
      <c r="V66">
        <f>HYPERLINK("https://klasma.github.io/Logging_0461/klagomål/A 13835-2020 FSC-klagomål.docx", "A 13835-2020")</f>
        <v/>
      </c>
      <c r="W66">
        <f>HYPERLINK("https://klasma.github.io/Logging_0461/klagomålsmail/A 13835-2020 FSC-klagomål mail.docx", "A 13835-2020")</f>
        <v/>
      </c>
      <c r="X66">
        <f>HYPERLINK("https://klasma.github.io/Logging_0461/tillsyn/A 13835-2020 tillsynsbegäran.docx", "A 13835-2020")</f>
        <v/>
      </c>
      <c r="Y66">
        <f>HYPERLINK("https://klasma.github.io/Logging_0461/tillsynsmail/A 13835-2020 tillsynsbegäran mail.docx", "A 13835-2020")</f>
        <v/>
      </c>
    </row>
    <row r="67" ht="15" customHeight="1">
      <c r="A67" t="inlineStr">
        <is>
          <t>A 14041-2020</t>
        </is>
      </c>
      <c r="B67" s="1" t="n">
        <v>43906</v>
      </c>
      <c r="C67" s="1" t="n">
        <v>45636</v>
      </c>
      <c r="D67" t="inlineStr">
        <is>
          <t>SÖDERMANLANDS LÄN</t>
        </is>
      </c>
      <c r="E67" t="inlineStr">
        <is>
          <t>NYKÖPING</t>
        </is>
      </c>
      <c r="F67" t="inlineStr">
        <is>
          <t>Kommuner</t>
        </is>
      </c>
      <c r="G67" t="n">
        <v>11.9</v>
      </c>
      <c r="H67" t="n">
        <v>5</v>
      </c>
      <c r="I67" t="n">
        <v>0</v>
      </c>
      <c r="J67" t="n">
        <v>3</v>
      </c>
      <c r="K67" t="n">
        <v>1</v>
      </c>
      <c r="L67" t="n">
        <v>0</v>
      </c>
      <c r="M67" t="n">
        <v>0</v>
      </c>
      <c r="N67" t="n">
        <v>0</v>
      </c>
      <c r="O67" t="n">
        <v>4</v>
      </c>
      <c r="P67" t="n">
        <v>1</v>
      </c>
      <c r="Q67" t="n">
        <v>6</v>
      </c>
      <c r="R67" s="2" t="inlineStr">
        <is>
          <t>Kricka
Granticka
Rödvingetrast
Ärtsångare
Sångsvan
Trana</t>
        </is>
      </c>
      <c r="S67">
        <f>HYPERLINK("https://klasma.github.io/Logging_0480/artfynd/A 14041-2020 artfynd.xlsx", "A 14041-2020")</f>
        <v/>
      </c>
      <c r="T67">
        <f>HYPERLINK("https://klasma.github.io/Logging_0480/kartor/A 14041-2020 karta.png", "A 14041-2020")</f>
        <v/>
      </c>
      <c r="U67">
        <f>HYPERLINK("https://klasma.github.io/Logging_0480/knärot/A 14041-2020 karta knärot.png", "A 14041-2020")</f>
        <v/>
      </c>
      <c r="V67">
        <f>HYPERLINK("https://klasma.github.io/Logging_0480/klagomål/A 14041-2020 FSC-klagomål.docx", "A 14041-2020")</f>
        <v/>
      </c>
      <c r="W67">
        <f>HYPERLINK("https://klasma.github.io/Logging_0480/klagomålsmail/A 14041-2020 FSC-klagomål mail.docx", "A 14041-2020")</f>
        <v/>
      </c>
      <c r="X67">
        <f>HYPERLINK("https://klasma.github.io/Logging_0480/tillsyn/A 14041-2020 tillsynsbegäran.docx", "A 14041-2020")</f>
        <v/>
      </c>
      <c r="Y67">
        <f>HYPERLINK("https://klasma.github.io/Logging_0480/tillsynsmail/A 14041-2020 tillsynsbegäran mail.docx", "A 14041-2020")</f>
        <v/>
      </c>
      <c r="Z67">
        <f>HYPERLINK("https://klasma.github.io/Logging_0480/fåglar/A 14041-2020 prioriterade fågelarter.docx", "A 14041-2020")</f>
        <v/>
      </c>
    </row>
    <row r="68" ht="15" customHeight="1">
      <c r="A68" t="inlineStr">
        <is>
          <t>A 14667-2020</t>
        </is>
      </c>
      <c r="B68" s="1" t="n">
        <v>43909</v>
      </c>
      <c r="C68" s="1" t="n">
        <v>45636</v>
      </c>
      <c r="D68" t="inlineStr">
        <is>
          <t>SÖDERMANLANDS LÄN</t>
        </is>
      </c>
      <c r="E68" t="inlineStr">
        <is>
          <t>NYKÖPING</t>
        </is>
      </c>
      <c r="F68" t="inlineStr">
        <is>
          <t>Kommuner</t>
        </is>
      </c>
      <c r="G68" t="n">
        <v>4.5</v>
      </c>
      <c r="H68" t="n">
        <v>5</v>
      </c>
      <c r="I68" t="n">
        <v>0</v>
      </c>
      <c r="J68" t="n">
        <v>4</v>
      </c>
      <c r="K68" t="n">
        <v>0</v>
      </c>
      <c r="L68" t="n">
        <v>1</v>
      </c>
      <c r="M68" t="n">
        <v>0</v>
      </c>
      <c r="N68" t="n">
        <v>0</v>
      </c>
      <c r="O68" t="n">
        <v>5</v>
      </c>
      <c r="P68" t="n">
        <v>1</v>
      </c>
      <c r="Q68" t="n">
        <v>6</v>
      </c>
      <c r="R68" s="2" t="inlineStr">
        <is>
          <t>Grönfink
Entita
Kråka
Talltita
Vedtrappmossa
Kungsfågel</t>
        </is>
      </c>
      <c r="S68">
        <f>HYPERLINK("https://klasma.github.io/Logging_0480/artfynd/A 14667-2020 artfynd.xlsx", "A 14667-2020")</f>
        <v/>
      </c>
      <c r="T68">
        <f>HYPERLINK("https://klasma.github.io/Logging_0480/kartor/A 14667-2020 karta.png", "A 14667-2020")</f>
        <v/>
      </c>
      <c r="V68">
        <f>HYPERLINK("https://klasma.github.io/Logging_0480/klagomål/A 14667-2020 FSC-klagomål.docx", "A 14667-2020")</f>
        <v/>
      </c>
      <c r="W68">
        <f>HYPERLINK("https://klasma.github.io/Logging_0480/klagomålsmail/A 14667-2020 FSC-klagomål mail.docx", "A 14667-2020")</f>
        <v/>
      </c>
      <c r="X68">
        <f>HYPERLINK("https://klasma.github.io/Logging_0480/tillsyn/A 14667-2020 tillsynsbegäran.docx", "A 14667-2020")</f>
        <v/>
      </c>
      <c r="Y68">
        <f>HYPERLINK("https://klasma.github.io/Logging_0480/tillsynsmail/A 14667-2020 tillsynsbegäran mail.docx", "A 14667-2020")</f>
        <v/>
      </c>
      <c r="Z68">
        <f>HYPERLINK("https://klasma.github.io/Logging_0480/fåglar/A 14667-2020 prioriterade fågelarter.docx", "A 14667-2020")</f>
        <v/>
      </c>
    </row>
    <row r="69" ht="15" customHeight="1">
      <c r="A69" t="inlineStr">
        <is>
          <t>A 19957-2020</t>
        </is>
      </c>
      <c r="B69" s="1" t="n">
        <v>43943</v>
      </c>
      <c r="C69" s="1" t="n">
        <v>45636</v>
      </c>
      <c r="D69" t="inlineStr">
        <is>
          <t>SÖDERMANLANDS LÄN</t>
        </is>
      </c>
      <c r="E69" t="inlineStr">
        <is>
          <t>NYKÖPING</t>
        </is>
      </c>
      <c r="G69" t="n">
        <v>5.3</v>
      </c>
      <c r="H69" t="n">
        <v>2</v>
      </c>
      <c r="I69" t="n">
        <v>0</v>
      </c>
      <c r="J69" t="n">
        <v>5</v>
      </c>
      <c r="K69" t="n">
        <v>0</v>
      </c>
      <c r="L69" t="n">
        <v>0</v>
      </c>
      <c r="M69" t="n">
        <v>0</v>
      </c>
      <c r="N69" t="n">
        <v>0</v>
      </c>
      <c r="O69" t="n">
        <v>5</v>
      </c>
      <c r="P69" t="n">
        <v>0</v>
      </c>
      <c r="Q69" t="n">
        <v>6</v>
      </c>
      <c r="R69" s="2" t="inlineStr">
        <is>
          <t>Bergjohannesört
Korskovall
Krusfrö
Mindre hackspett
Ängsskära
Blåsippa</t>
        </is>
      </c>
      <c r="S69">
        <f>HYPERLINK("https://klasma.github.io/Logging_0480/artfynd/A 19957-2020 artfynd.xlsx", "A 19957-2020")</f>
        <v/>
      </c>
      <c r="T69">
        <f>HYPERLINK("https://klasma.github.io/Logging_0480/kartor/A 19957-2020 karta.png", "A 19957-2020")</f>
        <v/>
      </c>
      <c r="V69">
        <f>HYPERLINK("https://klasma.github.io/Logging_0480/klagomål/A 19957-2020 FSC-klagomål.docx", "A 19957-2020")</f>
        <v/>
      </c>
      <c r="W69">
        <f>HYPERLINK("https://klasma.github.io/Logging_0480/klagomålsmail/A 19957-2020 FSC-klagomål mail.docx", "A 19957-2020")</f>
        <v/>
      </c>
      <c r="X69">
        <f>HYPERLINK("https://klasma.github.io/Logging_0480/tillsyn/A 19957-2020 tillsynsbegäran.docx", "A 19957-2020")</f>
        <v/>
      </c>
      <c r="Y69">
        <f>HYPERLINK("https://klasma.github.io/Logging_0480/tillsynsmail/A 19957-2020 tillsynsbegäran mail.docx", "A 19957-2020")</f>
        <v/>
      </c>
      <c r="Z69">
        <f>HYPERLINK("https://klasma.github.io/Logging_0480/fåglar/A 19957-2020 prioriterade fågelarter.docx", "A 19957-2020")</f>
        <v/>
      </c>
    </row>
    <row r="70" ht="15" customHeight="1">
      <c r="A70" t="inlineStr">
        <is>
          <t>A 20728-2020</t>
        </is>
      </c>
      <c r="B70" s="1" t="n">
        <v>43948</v>
      </c>
      <c r="C70" s="1" t="n">
        <v>45636</v>
      </c>
      <c r="D70" t="inlineStr">
        <is>
          <t>SÖDERMANLANDS LÄN</t>
        </is>
      </c>
      <c r="E70" t="inlineStr">
        <is>
          <t>GNESTA</t>
        </is>
      </c>
      <c r="G70" t="n">
        <v>2.7</v>
      </c>
      <c r="H70" t="n">
        <v>0</v>
      </c>
      <c r="I70" t="n">
        <v>5</v>
      </c>
      <c r="J70" t="n">
        <v>1</v>
      </c>
      <c r="K70" t="n">
        <v>0</v>
      </c>
      <c r="L70" t="n">
        <v>0</v>
      </c>
      <c r="M70" t="n">
        <v>0</v>
      </c>
      <c r="N70" t="n">
        <v>0</v>
      </c>
      <c r="O70" t="n">
        <v>1</v>
      </c>
      <c r="P70" t="n">
        <v>0</v>
      </c>
      <c r="Q70" t="n">
        <v>6</v>
      </c>
      <c r="R70" s="2" t="inlineStr">
        <is>
          <t>Ullticka
Bronshjon
Flagellkvastmossa
Grönpyrola
Svavelriska
Vågbandad barkbock</t>
        </is>
      </c>
      <c r="S70">
        <f>HYPERLINK("https://klasma.github.io/Logging_0461/artfynd/A 20728-2020 artfynd.xlsx", "A 20728-2020")</f>
        <v/>
      </c>
      <c r="T70">
        <f>HYPERLINK("https://klasma.github.io/Logging_0461/kartor/A 20728-2020 karta.png", "A 20728-2020")</f>
        <v/>
      </c>
      <c r="V70">
        <f>HYPERLINK("https://klasma.github.io/Logging_0461/klagomål/A 20728-2020 FSC-klagomål.docx", "A 20728-2020")</f>
        <v/>
      </c>
      <c r="W70">
        <f>HYPERLINK("https://klasma.github.io/Logging_0461/klagomålsmail/A 20728-2020 FSC-klagomål mail.docx", "A 20728-2020")</f>
        <v/>
      </c>
      <c r="X70">
        <f>HYPERLINK("https://klasma.github.io/Logging_0461/tillsyn/A 20728-2020 tillsynsbegäran.docx", "A 20728-2020")</f>
        <v/>
      </c>
      <c r="Y70">
        <f>HYPERLINK("https://klasma.github.io/Logging_0461/tillsynsmail/A 20728-2020 tillsynsbegäran mail.docx", "A 20728-2020")</f>
        <v/>
      </c>
    </row>
    <row r="71" ht="15" customHeight="1">
      <c r="A71" t="inlineStr">
        <is>
          <t>A 30895-2020</t>
        </is>
      </c>
      <c r="B71" s="1" t="n">
        <v>44008</v>
      </c>
      <c r="C71" s="1" t="n">
        <v>45636</v>
      </c>
      <c r="D71" t="inlineStr">
        <is>
          <t>SÖDERMANLANDS LÄN</t>
        </is>
      </c>
      <c r="E71" t="inlineStr">
        <is>
          <t>NYKÖPING</t>
        </is>
      </c>
      <c r="F71" t="inlineStr">
        <is>
          <t>Kommuner</t>
        </is>
      </c>
      <c r="G71" t="n">
        <v>8.199999999999999</v>
      </c>
      <c r="H71" t="n">
        <v>2</v>
      </c>
      <c r="I71" t="n">
        <v>3</v>
      </c>
      <c r="J71" t="n">
        <v>0</v>
      </c>
      <c r="K71" t="n">
        <v>1</v>
      </c>
      <c r="L71" t="n">
        <v>1</v>
      </c>
      <c r="M71" t="n">
        <v>0</v>
      </c>
      <c r="N71" t="n">
        <v>0</v>
      </c>
      <c r="O71" t="n">
        <v>2</v>
      </c>
      <c r="P71" t="n">
        <v>2</v>
      </c>
      <c r="Q71" t="n">
        <v>6</v>
      </c>
      <c r="R71" s="2" t="inlineStr">
        <is>
          <t>Ask
Bombmurkla
Grönpyrola
Guldkremla
Stubbspretmossa
Revlummer</t>
        </is>
      </c>
      <c r="S71">
        <f>HYPERLINK("https://klasma.github.io/Logging_0480/artfynd/A 30895-2020 artfynd.xlsx", "A 30895-2020")</f>
        <v/>
      </c>
      <c r="T71">
        <f>HYPERLINK("https://klasma.github.io/Logging_0480/kartor/A 30895-2020 karta.png", "A 30895-2020")</f>
        <v/>
      </c>
      <c r="V71">
        <f>HYPERLINK("https://klasma.github.io/Logging_0480/klagomål/A 30895-2020 FSC-klagomål.docx", "A 30895-2020")</f>
        <v/>
      </c>
      <c r="W71">
        <f>HYPERLINK("https://klasma.github.io/Logging_0480/klagomålsmail/A 30895-2020 FSC-klagomål mail.docx", "A 30895-2020")</f>
        <v/>
      </c>
      <c r="X71">
        <f>HYPERLINK("https://klasma.github.io/Logging_0480/tillsyn/A 30895-2020 tillsynsbegäran.docx", "A 30895-2020")</f>
        <v/>
      </c>
      <c r="Y71">
        <f>HYPERLINK("https://klasma.github.io/Logging_0480/tillsynsmail/A 30895-2020 tillsynsbegäran mail.docx", "A 30895-2020")</f>
        <v/>
      </c>
    </row>
    <row r="72" ht="15" customHeight="1">
      <c r="A72" t="inlineStr">
        <is>
          <t>A 34968-2020</t>
        </is>
      </c>
      <c r="B72" s="1" t="n">
        <v>44039</v>
      </c>
      <c r="C72" s="1" t="n">
        <v>45636</v>
      </c>
      <c r="D72" t="inlineStr">
        <is>
          <t>SÖDERMANLANDS LÄN</t>
        </is>
      </c>
      <c r="E72" t="inlineStr">
        <is>
          <t>STRÄNGNÄS</t>
        </is>
      </c>
      <c r="G72" t="n">
        <v>2.7</v>
      </c>
      <c r="H72" t="n">
        <v>1</v>
      </c>
      <c r="I72" t="n">
        <v>4</v>
      </c>
      <c r="J72" t="n">
        <v>0</v>
      </c>
      <c r="K72" t="n">
        <v>0</v>
      </c>
      <c r="L72" t="n">
        <v>0</v>
      </c>
      <c r="M72" t="n">
        <v>1</v>
      </c>
      <c r="N72" t="n">
        <v>0</v>
      </c>
      <c r="O72" t="n">
        <v>1</v>
      </c>
      <c r="P72" t="n">
        <v>1</v>
      </c>
      <c r="Q72" t="n">
        <v>6</v>
      </c>
      <c r="R72" s="2" t="inlineStr">
        <is>
          <t>Skogsalm
Bronshjon
Stubbspretmossa
Svart trolldruva
Vågbandad barkbock
Blåsippa</t>
        </is>
      </c>
      <c r="S72">
        <f>HYPERLINK("https://klasma.github.io/Logging_0486/artfynd/A 34968-2020 artfynd.xlsx", "A 34968-2020")</f>
        <v/>
      </c>
      <c r="T72">
        <f>HYPERLINK("https://klasma.github.io/Logging_0486/kartor/A 34968-2020 karta.png", "A 34968-2020")</f>
        <v/>
      </c>
      <c r="V72">
        <f>HYPERLINK("https://klasma.github.io/Logging_0486/klagomål/A 34968-2020 FSC-klagomål.docx", "A 34968-2020")</f>
        <v/>
      </c>
      <c r="W72">
        <f>HYPERLINK("https://klasma.github.io/Logging_0486/klagomålsmail/A 34968-2020 FSC-klagomål mail.docx", "A 34968-2020")</f>
        <v/>
      </c>
      <c r="X72">
        <f>HYPERLINK("https://klasma.github.io/Logging_0486/tillsyn/A 34968-2020 tillsynsbegäran.docx", "A 34968-2020")</f>
        <v/>
      </c>
      <c r="Y72">
        <f>HYPERLINK("https://klasma.github.io/Logging_0486/tillsynsmail/A 34968-2020 tillsynsbegäran mail.docx", "A 34968-2020")</f>
        <v/>
      </c>
    </row>
    <row r="73" ht="15" customHeight="1">
      <c r="A73" t="inlineStr">
        <is>
          <t>A 7247-2021</t>
        </is>
      </c>
      <c r="B73" s="1" t="n">
        <v>44238</v>
      </c>
      <c r="C73" s="1" t="n">
        <v>45636</v>
      </c>
      <c r="D73" t="inlineStr">
        <is>
          <t>SÖDERMANLANDS LÄN</t>
        </is>
      </c>
      <c r="E73" t="inlineStr">
        <is>
          <t>KATRINEHOLM</t>
        </is>
      </c>
      <c r="G73" t="n">
        <v>7.3</v>
      </c>
      <c r="H73" t="n">
        <v>0</v>
      </c>
      <c r="I73" t="n">
        <v>1</v>
      </c>
      <c r="J73" t="n">
        <v>5</v>
      </c>
      <c r="K73" t="n">
        <v>0</v>
      </c>
      <c r="L73" t="n">
        <v>0</v>
      </c>
      <c r="M73" t="n">
        <v>0</v>
      </c>
      <c r="N73" t="n">
        <v>0</v>
      </c>
      <c r="O73" t="n">
        <v>5</v>
      </c>
      <c r="P73" t="n">
        <v>0</v>
      </c>
      <c r="Q73" t="n">
        <v>6</v>
      </c>
      <c r="R73" s="2" t="inlineStr">
        <is>
          <t>Hapalopilus aurantiacus
Leptoporus erubescens
Motaggsvamp
Ullticka
Vedskivlav
Barkticka</t>
        </is>
      </c>
      <c r="S73">
        <f>HYPERLINK("https://klasma.github.io/Logging_0483/artfynd/A 7247-2021 artfynd.xlsx", "A 7247-2021")</f>
        <v/>
      </c>
      <c r="T73">
        <f>HYPERLINK("https://klasma.github.io/Logging_0483/kartor/A 7247-2021 karta.png", "A 7247-2021")</f>
        <v/>
      </c>
      <c r="V73">
        <f>HYPERLINK("https://klasma.github.io/Logging_0483/klagomål/A 7247-2021 FSC-klagomål.docx", "A 7247-2021")</f>
        <v/>
      </c>
      <c r="W73">
        <f>HYPERLINK("https://klasma.github.io/Logging_0483/klagomålsmail/A 7247-2021 FSC-klagomål mail.docx", "A 7247-2021")</f>
        <v/>
      </c>
      <c r="X73">
        <f>HYPERLINK("https://klasma.github.io/Logging_0483/tillsyn/A 7247-2021 tillsynsbegäran.docx", "A 7247-2021")</f>
        <v/>
      </c>
      <c r="Y73">
        <f>HYPERLINK("https://klasma.github.io/Logging_0483/tillsynsmail/A 7247-2021 tillsynsbegäran mail.docx", "A 7247-2021")</f>
        <v/>
      </c>
    </row>
    <row r="74" ht="15" customHeight="1">
      <c r="A74" t="inlineStr">
        <is>
          <t>A 54614-2021</t>
        </is>
      </c>
      <c r="B74" s="1" t="n">
        <v>44473</v>
      </c>
      <c r="C74" s="1" t="n">
        <v>45636</v>
      </c>
      <c r="D74" t="inlineStr">
        <is>
          <t>SÖDERMANLANDS LÄN</t>
        </is>
      </c>
      <c r="E74" t="inlineStr">
        <is>
          <t>KATRINEHOLM</t>
        </is>
      </c>
      <c r="G74" t="n">
        <v>1.3</v>
      </c>
      <c r="H74" t="n">
        <v>0</v>
      </c>
      <c r="I74" t="n">
        <v>3</v>
      </c>
      <c r="J74" t="n">
        <v>1</v>
      </c>
      <c r="K74" t="n">
        <v>2</v>
      </c>
      <c r="L74" t="n">
        <v>0</v>
      </c>
      <c r="M74" t="n">
        <v>0</v>
      </c>
      <c r="N74" t="n">
        <v>0</v>
      </c>
      <c r="O74" t="n">
        <v>3</v>
      </c>
      <c r="P74" t="n">
        <v>2</v>
      </c>
      <c r="Q74" t="n">
        <v>6</v>
      </c>
      <c r="R74" s="2" t="inlineStr">
        <is>
          <t>Grangråticka
Kopparspindling
Persiljespindling
Fjällig taggsvamp s.str.
Fällmossa
Hasselticka</t>
        </is>
      </c>
      <c r="S74">
        <f>HYPERLINK("https://klasma.github.io/Logging_0483/artfynd/A 54614-2021 artfynd.xlsx", "A 54614-2021")</f>
        <v/>
      </c>
      <c r="T74">
        <f>HYPERLINK("https://klasma.github.io/Logging_0483/kartor/A 54614-2021 karta.png", "A 54614-2021")</f>
        <v/>
      </c>
      <c r="V74">
        <f>HYPERLINK("https://klasma.github.io/Logging_0483/klagomål/A 54614-2021 FSC-klagomål.docx", "A 54614-2021")</f>
        <v/>
      </c>
      <c r="W74">
        <f>HYPERLINK("https://klasma.github.io/Logging_0483/klagomålsmail/A 54614-2021 FSC-klagomål mail.docx", "A 54614-2021")</f>
        <v/>
      </c>
      <c r="X74">
        <f>HYPERLINK("https://klasma.github.io/Logging_0483/tillsyn/A 54614-2021 tillsynsbegäran.docx", "A 54614-2021")</f>
        <v/>
      </c>
      <c r="Y74">
        <f>HYPERLINK("https://klasma.github.io/Logging_0483/tillsynsmail/A 54614-2021 tillsynsbegäran mail.docx", "A 54614-2021")</f>
        <v/>
      </c>
    </row>
    <row r="75" ht="15" customHeight="1">
      <c r="A75" t="inlineStr">
        <is>
          <t>A 71970-2021</t>
        </is>
      </c>
      <c r="B75" s="1" t="n">
        <v>44544</v>
      </c>
      <c r="C75" s="1" t="n">
        <v>45636</v>
      </c>
      <c r="D75" t="inlineStr">
        <is>
          <t>SÖDERMANLANDS LÄN</t>
        </is>
      </c>
      <c r="E75" t="inlineStr">
        <is>
          <t>ESKILSTUNA</t>
        </is>
      </c>
      <c r="G75" t="n">
        <v>18.1</v>
      </c>
      <c r="H75" t="n">
        <v>4</v>
      </c>
      <c r="I75" t="n">
        <v>2</v>
      </c>
      <c r="J75" t="n">
        <v>1</v>
      </c>
      <c r="K75" t="n">
        <v>1</v>
      </c>
      <c r="L75" t="n">
        <v>0</v>
      </c>
      <c r="M75" t="n">
        <v>0</v>
      </c>
      <c r="N75" t="n">
        <v>0</v>
      </c>
      <c r="O75" t="n">
        <v>2</v>
      </c>
      <c r="P75" t="n">
        <v>1</v>
      </c>
      <c r="Q75" t="n">
        <v>6</v>
      </c>
      <c r="R75" s="2" t="inlineStr">
        <is>
          <t>Knärot
Spillkråka
Grönpyrola
Kalktallört
Fläcknycklar
Revlummer</t>
        </is>
      </c>
      <c r="S75">
        <f>HYPERLINK("https://klasma.github.io/Logging_0484/artfynd/A 71970-2021 artfynd.xlsx", "A 71970-2021")</f>
        <v/>
      </c>
      <c r="T75">
        <f>HYPERLINK("https://klasma.github.io/Logging_0484/kartor/A 71970-2021 karta.png", "A 71970-2021")</f>
        <v/>
      </c>
      <c r="U75">
        <f>HYPERLINK("https://klasma.github.io/Logging_0484/knärot/A 71970-2021 karta knärot.png", "A 71970-2021")</f>
        <v/>
      </c>
      <c r="V75">
        <f>HYPERLINK("https://klasma.github.io/Logging_0484/klagomål/A 71970-2021 FSC-klagomål.docx", "A 71970-2021")</f>
        <v/>
      </c>
      <c r="W75">
        <f>HYPERLINK("https://klasma.github.io/Logging_0484/klagomålsmail/A 71970-2021 FSC-klagomål mail.docx", "A 71970-2021")</f>
        <v/>
      </c>
      <c r="X75">
        <f>HYPERLINK("https://klasma.github.io/Logging_0484/tillsyn/A 71970-2021 tillsynsbegäran.docx", "A 71970-2021")</f>
        <v/>
      </c>
      <c r="Y75">
        <f>HYPERLINK("https://klasma.github.io/Logging_0484/tillsynsmail/A 71970-2021 tillsynsbegäran mail.docx", "A 71970-2021")</f>
        <v/>
      </c>
      <c r="Z75">
        <f>HYPERLINK("https://klasma.github.io/Logging_0484/fåglar/A 71970-2021 prioriterade fågelarter.docx", "A 71970-2021")</f>
        <v/>
      </c>
    </row>
    <row r="76" ht="15" customHeight="1">
      <c r="A76" t="inlineStr">
        <is>
          <t>A 54002-2022</t>
        </is>
      </c>
      <c r="B76" s="1" t="n">
        <v>44876</v>
      </c>
      <c r="C76" s="1" t="n">
        <v>45636</v>
      </c>
      <c r="D76" t="inlineStr">
        <is>
          <t>SÖDERMANLANDS LÄN</t>
        </is>
      </c>
      <c r="E76" t="inlineStr">
        <is>
          <t>KATRINEHOLM</t>
        </is>
      </c>
      <c r="G76" t="n">
        <v>18</v>
      </c>
      <c r="H76" t="n">
        <v>1</v>
      </c>
      <c r="I76" t="n">
        <v>4</v>
      </c>
      <c r="J76" t="n">
        <v>0</v>
      </c>
      <c r="K76" t="n">
        <v>0</v>
      </c>
      <c r="L76" t="n">
        <v>0</v>
      </c>
      <c r="M76" t="n">
        <v>1</v>
      </c>
      <c r="N76" t="n">
        <v>0</v>
      </c>
      <c r="O76" t="n">
        <v>1</v>
      </c>
      <c r="P76" t="n">
        <v>1</v>
      </c>
      <c r="Q76" t="n">
        <v>6</v>
      </c>
      <c r="R76" s="2" t="inlineStr">
        <is>
          <t>Skogsalm
Björksplintborre
Fällmossa
Hasselticka
Stekelbock
Blåsippa</t>
        </is>
      </c>
      <c r="S76">
        <f>HYPERLINK("https://klasma.github.io/Logging_0483/artfynd/A 54002-2022 artfynd.xlsx", "A 54002-2022")</f>
        <v/>
      </c>
      <c r="T76">
        <f>HYPERLINK("https://klasma.github.io/Logging_0483/kartor/A 54002-2022 karta.png", "A 54002-2022")</f>
        <v/>
      </c>
      <c r="V76">
        <f>HYPERLINK("https://klasma.github.io/Logging_0483/klagomål/A 54002-2022 FSC-klagomål.docx", "A 54002-2022")</f>
        <v/>
      </c>
      <c r="W76">
        <f>HYPERLINK("https://klasma.github.io/Logging_0483/klagomålsmail/A 54002-2022 FSC-klagomål mail.docx", "A 54002-2022")</f>
        <v/>
      </c>
      <c r="X76">
        <f>HYPERLINK("https://klasma.github.io/Logging_0483/tillsyn/A 54002-2022 tillsynsbegäran.docx", "A 54002-2022")</f>
        <v/>
      </c>
      <c r="Y76">
        <f>HYPERLINK("https://klasma.github.io/Logging_0483/tillsynsmail/A 54002-2022 tillsynsbegäran mail.docx", "A 54002-2022")</f>
        <v/>
      </c>
    </row>
    <row r="77" ht="15" customHeight="1">
      <c r="A77" t="inlineStr">
        <is>
          <t>A 8757-2023</t>
        </is>
      </c>
      <c r="B77" s="1" t="n">
        <v>44978</v>
      </c>
      <c r="C77" s="1" t="n">
        <v>45636</v>
      </c>
      <c r="D77" t="inlineStr">
        <is>
          <t>SÖDERMANLANDS LÄN</t>
        </is>
      </c>
      <c r="E77" t="inlineStr">
        <is>
          <t>ESKILSTUNA</t>
        </is>
      </c>
      <c r="F77" t="inlineStr">
        <is>
          <t>Övriga Aktiebolag</t>
        </is>
      </c>
      <c r="G77" t="n">
        <v>6.8</v>
      </c>
      <c r="H77" t="n">
        <v>5</v>
      </c>
      <c r="I77" t="n">
        <v>1</v>
      </c>
      <c r="J77" t="n">
        <v>2</v>
      </c>
      <c r="K77" t="n">
        <v>0</v>
      </c>
      <c r="L77" t="n">
        <v>0</v>
      </c>
      <c r="M77" t="n">
        <v>0</v>
      </c>
      <c r="N77" t="n">
        <v>0</v>
      </c>
      <c r="O77" t="n">
        <v>2</v>
      </c>
      <c r="P77" t="n">
        <v>0</v>
      </c>
      <c r="Q77" t="n">
        <v>6</v>
      </c>
      <c r="R77" s="2" t="inlineStr">
        <is>
          <t>Spillkråka
Talltita
Mindre märgborre
Gröngöling
Grönsiska
Kungsfågel</t>
        </is>
      </c>
      <c r="S77">
        <f>HYPERLINK("https://klasma.github.io/Logging_0484/artfynd/A 8757-2023 artfynd.xlsx", "A 8757-2023")</f>
        <v/>
      </c>
      <c r="T77">
        <f>HYPERLINK("https://klasma.github.io/Logging_0484/kartor/A 8757-2023 karta.png", "A 8757-2023")</f>
        <v/>
      </c>
      <c r="U77">
        <f>HYPERLINK("https://klasma.github.io/Logging_0484/knärot/A 8757-2023 karta knärot.png", "A 8757-2023")</f>
        <v/>
      </c>
      <c r="V77">
        <f>HYPERLINK("https://klasma.github.io/Logging_0484/klagomål/A 8757-2023 FSC-klagomål.docx", "A 8757-2023")</f>
        <v/>
      </c>
      <c r="W77">
        <f>HYPERLINK("https://klasma.github.io/Logging_0484/klagomålsmail/A 8757-2023 FSC-klagomål mail.docx", "A 8757-2023")</f>
        <v/>
      </c>
      <c r="X77">
        <f>HYPERLINK("https://klasma.github.io/Logging_0484/tillsyn/A 8757-2023 tillsynsbegäran.docx", "A 8757-2023")</f>
        <v/>
      </c>
      <c r="Y77">
        <f>HYPERLINK("https://klasma.github.io/Logging_0484/tillsynsmail/A 8757-2023 tillsynsbegäran mail.docx", "A 8757-2023")</f>
        <v/>
      </c>
      <c r="Z77">
        <f>HYPERLINK("https://klasma.github.io/Logging_0484/fåglar/A 8757-2023 prioriterade fågelarter.docx", "A 8757-2023")</f>
        <v/>
      </c>
    </row>
    <row r="78" ht="15" customHeight="1">
      <c r="A78" t="inlineStr">
        <is>
          <t>A 21221-2023</t>
        </is>
      </c>
      <c r="B78" s="1" t="n">
        <v>45062</v>
      </c>
      <c r="C78" s="1" t="n">
        <v>45636</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45636</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45636</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45636</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45636</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45636</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45636</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45636</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45636</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45636</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45636</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45636</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45636</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45636</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45636</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45636</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45636</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45636</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45636</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45636</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45636</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45636</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45636</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45636</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45636</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45636</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45636</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45636</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45636</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45636</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45636</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45636</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45636</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45636</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45636</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45636</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45636</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45636</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45636</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45636</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45636</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45636</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45636</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45636</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45636</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45636</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45636</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45636</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45636</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45636</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45636</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45636</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45636</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45636</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45636</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45636</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45636</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45636</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45636</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45636</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45636</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45636</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45636</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45636</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45636</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45636</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45636</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45636</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45636</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45636</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45636</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45636</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45636</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45636</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45636</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45636</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45636</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45636</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45636</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45636</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45636</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45636</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45636</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45636</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45636</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45636</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45636</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45636</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45636</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45636</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45636</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45636</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45636</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45636</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45636</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45636</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45636</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45636</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45636</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45636</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45636</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45636</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45636</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45636</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45636</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45636</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45636</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45636</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45636</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45636</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45636</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45636</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45636</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45636</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45636</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45636</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45636</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45636</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45636</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45636</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45636</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45636</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45636</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45636</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45636</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45636</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45636</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45636</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45636</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45636</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45636</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45636</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45636</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45636</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45636</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45636</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45636</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45636</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45636</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45636</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45636</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45636</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45636</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45636</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45636</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45636</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45636</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45636</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45636</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45636</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45636</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45636</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45636</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45636</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45636</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45636</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45636</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45636</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45636</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45636</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45636</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45636</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45636</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45636</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45636</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45636</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45636</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45636</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45636</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45636</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45636</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45636</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45636</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45636</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45636</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45636</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45636</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45636</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45636</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45636</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45636</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45636</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45636</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45636</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45636</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45636</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45636</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45636</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45636</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45636</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45636</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45636</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45636</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45636</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45636</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45636</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45636</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45636</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45636</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45636</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45636</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45636</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45636</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45636</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45636</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45636</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45636</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45636</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45636</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45636</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45636</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45636</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45636</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45636</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45636</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45636</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45636</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45636</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45636</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45636</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45636</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45636</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45636</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45636</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45636</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45636</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45636</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45636</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45636</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45636</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45636</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45636</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45636</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45636</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45636</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45636</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45636</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45636</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45636</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45636</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45636</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45636</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45636</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45636</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45636</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45636</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45636</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45636</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45636</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45636</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45636</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45636</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45636</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45636</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45636</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45636</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45636</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45636</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45636</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45636</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45636</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45636</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45636</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45636</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45636</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45636</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45636</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45636</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45636</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45636</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45636</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45636</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45636</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45636</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45636</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45636</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45636</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45636</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45636</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45636</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45636</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45636</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45636</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45636</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45636</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45636</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45636</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45636</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45636</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45636</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45636</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45636</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45636</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45636</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45636</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45636</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45636</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45636</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45636</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45636</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45636</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45636</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45636</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45636</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45636</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45636</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45636</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45636</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45636</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45636</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45636</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45636</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45636</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45636</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45636</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45636</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45636</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45636</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45636</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45636</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45636</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45636</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45636</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45636</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45636</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45636</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45636</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45636</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45636</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45636</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45636</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45636</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45636</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45636</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45636</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45636</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45636</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45636</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45636</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45636</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45636</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45636</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45636</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45636</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45636</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45636</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45636</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45636</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45636</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45636</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45636</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45636</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45636</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45636</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45636</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45636</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45636</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45636</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45636</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45636</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45636</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45636</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45636</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45636</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45636</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45636</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45636</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45636</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45636</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45636</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45636</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45636</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45636</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45636</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45636</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45636</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45636</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45636</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45636</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45636</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45636</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45636</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45636</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45636</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45636</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45636</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45636</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45636</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45636</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45636</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45636</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45636</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45636</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45636</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45636</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45636</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45636</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45636</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45636</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45636</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45636</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45636</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45636</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45636</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45636</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45636</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45636</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45636</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45636</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45636</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45636</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45636</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45636</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45636</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45636</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45636</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45636</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45636</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45636</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45636</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45636</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45636</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45636</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45636</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45636</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45636</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45636</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45636</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45636</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45636</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45636</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45636</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45636</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45636</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45636</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45636</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45636</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45636</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45636</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45636</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45636</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45636</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45636</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45636</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45636</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45636</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45636</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45636</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45636</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45636</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45636</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45636</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45636</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45636</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45636</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45636</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45636</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45636</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45636</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45636</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45636</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45636</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45636</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45636</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45636</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45636</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45636</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45636</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45636</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45636</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45636</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45636</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45636</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45636</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45636</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45636</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45636</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45636</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45636</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45636</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45636</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45636</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45636</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45636</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45636</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45636</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45636</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45636</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45636</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45636</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45636</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45636</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45636</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45636</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45636</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45636</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45636</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45636</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45636</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45636</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45636</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45636</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45636</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45636</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45636</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45636</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45636</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45636</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45636</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45636</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45636</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45636</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45636</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45636</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45636</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45636</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45636</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45636</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45636</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45636</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45636</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45636</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45636</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45636</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45636</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45636</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45636</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45636</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45636</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45636</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45636</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45636</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45636</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45636</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45636</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45636</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45636</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45636</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45636</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45636</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45636</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45636</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45636</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45636</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45636</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45636</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45636</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45636</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45636</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45636</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45636</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45636</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45636</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45636</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45636</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45636</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45636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45636</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45636</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45636</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45636</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45636</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45636</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45636</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45636</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45636</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45636</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45636</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45636</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45636</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45636</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45636</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45636</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45636</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45636</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45636</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45636</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45636</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45636</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45636</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45636</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45636</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45636</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45636</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45636</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45636</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45636</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45636</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45636</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45636</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45636</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45636</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45636</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45636</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45636</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45636</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45636</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45636</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45636</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45636</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45636</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45636</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45636</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45636</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45636</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45636</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45636</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45636</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45636</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45636</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45636</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45636</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45636</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45636</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45636</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45636</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45636</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45636</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45636</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45636</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45636</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45636</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45636</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45636</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45636</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45636</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45636</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45636</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45636</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45636</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45636</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45636</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45636</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45636</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45636</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45636</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45636</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45636</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45636</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45636</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45636</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45636</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45636</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45636</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45636</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45636</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45636</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45636</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45636</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45636</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45636</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45636</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45636</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45636</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45636</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45636</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45636</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45636</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45636</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45636</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45636</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45636</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45636</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45636</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45636</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45636</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45636</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45636</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45636</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45636</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45636</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45636</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45636</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45636</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45636</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45636</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45636</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45636</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45636</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45636</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45636</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45636</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45636</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45636</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45636</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45636</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45636</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45636</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45636</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45636</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45636</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45636</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45636</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45636</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45636</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45636</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45636</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45636</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45636</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45636</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45636</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45636</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45636</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45636</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45636</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45636</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45636</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45636</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45636</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45636</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45636</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45636</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45636</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45636</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45636</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45636</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45636</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45636</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45636</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45636</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45636</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45636</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45636</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45636</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45636</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45636</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45636</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45636</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45636</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45636</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45636</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45636</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45636</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45636</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45636</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45636</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45636</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45636</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45636</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45636</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45636</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45636</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45636</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45636</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45636</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45636</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45636</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45636</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45636</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45636</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45636</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45636</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45636</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45636</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45636</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45636</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45636</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45636</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45636</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45636</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45636</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45636</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45636</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45636</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45636</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45636</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45636</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45636</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45636</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45636</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45636</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45636</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45636</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45636</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45636</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45636</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45636</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45636</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45636</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45636</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45636</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45636</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45636</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45636</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45636</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45636</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45636</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45636</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45636</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45636</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45636</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45636</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45636</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45636</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45636</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45636</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45636</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45636</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45636</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45636</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45636</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45636</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45636</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45636</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45636</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45636</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45636</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45636</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45636</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45636</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45636</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45636</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45636</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45636</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45636</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45636</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45636</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45636</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45636</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45636</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45636</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45636</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45636</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45636</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45636</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45636</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45636</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45636</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45636</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45636</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45636</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45636</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45636</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45636</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45636</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45636</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45636</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45636</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45636</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45636</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45636</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45636</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45636</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45636</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45636</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45636</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45636</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45636</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45636</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45636</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45636</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45636</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45636</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45636</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45636</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45636</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45636</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45636</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45636</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45636</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45636</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45636</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45636</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45636</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45636</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45636</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45636</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45636</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45636</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45636</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45636</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45636</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45636</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45636</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45636</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45636</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45636</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45636</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45636</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45636</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45636</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45636</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45636</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45636</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45636</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45636</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45636</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45636</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45636</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45636</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45636</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45636</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45636</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45636</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45636</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45636</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45636</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45636</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45636</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45636</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45636</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45636</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45636</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45636</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45636</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45636</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45636</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45636</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45636</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45636</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45636</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45636</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45636</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45636</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45636</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45636</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45636</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45636</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45636</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45636</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45636</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45636</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45636</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45636</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45636</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45636</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45636</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45636</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45636</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45636</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45636</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45636</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45636</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45636</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45636</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45636</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45636</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45636</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45636</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45636</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45636</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45636</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45636</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45636</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45636</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45636</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45636</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45636</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45636</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45636</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45636</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45636</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45636</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45636</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45636</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45636</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45636</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45636</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45636</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45636</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45636</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45636</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45636</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45636</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45636</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45636</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45636</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45636</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45636</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45636</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45636</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45636</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45636</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45636</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45636</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45636</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45636</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45636</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45636</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45636</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45636</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45636</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45636</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45636</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45636</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45636</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45636</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45636</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45636</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45636</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45636</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45636</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45636</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45636</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45636</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45636</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45636</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45636</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45636</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45636</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45636</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45636</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45636</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45636</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45636</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45636</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45636</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45636</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45636</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45636</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45636</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45636</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45636</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45636</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45636</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45636</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45636</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45636</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45636</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45636</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45636</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45636</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45636</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45636</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45636</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45636</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45636</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45636</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45636</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45636</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45636</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45636</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45636</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45636</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45636</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45636</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45636</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45636</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45636</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45636</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45636</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45636</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45636</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45636</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45636</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45636</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45636</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45636</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45636</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45636</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45636</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45636</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45636</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45636</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45636</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45636</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45636</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45636</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45636</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45636</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45636</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45636</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45636</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45636</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45636</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45636</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45636</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45636</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45636</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45636</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45636</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45636</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45636</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45636</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45636</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45636</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45636</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45636</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45636</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45636</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45636</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45636</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45636</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45636</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45636</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45636</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45636</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45636</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45636</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45636</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45636</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45636</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45636</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45636</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45636</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45636</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45636</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45636</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45636</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45636</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45636</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45636</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45636</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45636</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45636</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45636</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45636</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45636</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45636</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45636</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45636</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45636</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45636</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45636</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45636</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45636</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45636</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45636</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45636</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45636</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45636</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45636</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45636</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45636</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45636</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45636</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45636</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45636</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45636</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45636</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45636</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45636</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45636</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45636</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45636</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45636</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45636</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45636</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45636</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45636</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45636</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45636</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45636</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45636</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45636</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45636</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45636</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45636</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45636</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45636</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45636</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45636</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45636</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45636</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45636</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45636</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45636</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45636</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45636</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45636</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45636</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45636</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45636</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45636</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45636</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45636</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45636</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45636</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45636</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45636</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45636</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45636</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45636</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45636</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45636</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45636</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45636</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45636</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45636</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45636</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45636</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45636</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45636</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45636</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45636</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45636</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45636</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45636</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45636</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45636</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45636</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45636</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45636</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45636</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45636</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45636</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45636</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45636</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45636</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45636</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45636</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45636</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45636</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45636</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45636</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45636</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45636</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45636</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45636</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45636</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45636</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45636</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45636</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45636</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45636</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45636</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45636</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45636</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45636</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45636</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45636</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45636</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45636</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45636</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45636</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45636</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45636</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45636</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45636</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45636</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45636</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45636</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45636</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45636</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45636</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45636</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45636</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45636</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45636</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45636</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45636</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45636</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45636</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45636</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45636</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45636</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45636</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45636</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45636</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45636</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45636</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45636</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45636</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45636</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45636</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45636</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45636</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45636</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45636</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45636</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45636</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45636</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45636</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45636</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45636</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45636</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45636</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45636</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45636</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45636</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45636</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45636</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45636</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45636</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45636</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45636</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45636</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45636</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45636</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45636</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45636</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45636</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45636</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45636</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45636</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45636</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45636</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45636</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45636</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45636</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45636</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45636</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45636</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45636</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45636</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45636</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45636</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45636</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45636</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45636</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45636</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45636</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45636</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45636</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45636</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45636</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45636</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45636</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45636</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45636</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45636</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45636</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45636</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45636</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45636</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45636</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45636</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45636</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45636</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45636</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45636</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45636</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45636</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45636</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45636</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45636</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45636</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45636</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45636</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45636</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45636</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45636</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45636</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45636</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45636</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45636</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45636</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45636</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45636</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45636</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45636</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45636</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45636</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45636</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45636</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45636</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45636</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45636</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45636</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45636</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45636</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45636</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45636</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45636</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45636</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45636</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45636</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45636</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45636</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45636</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45636</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45636</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45636</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45636</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45636</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45636</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45636</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45636</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45636</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45636</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45636</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45636</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45636</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45636</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45636</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45636</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45636</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45636</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45636</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45636</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45636</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45636</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45636</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45636</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45636</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45636</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45636</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45636</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45636</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45636</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45636</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45636</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45636</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45636</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45636</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45636</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45636</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45636</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45636</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45636</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45636</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45636</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45636</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45636</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45636</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45636</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45636</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45636</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45636</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45636</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45636</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45636</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45636</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45636</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45636</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45636</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45636</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45636</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45636</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45636</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45636</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45636</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45636</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45636</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45636</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45636</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45636</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45636</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45636</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45636</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45636</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45636</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45636</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45636</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45636</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45636</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45636</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45636</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45636</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45636</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45636</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45636</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45636</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45636</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45636</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45636</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45636</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45636</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45636</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45636</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45636</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45636</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45636</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45636</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45636</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45636</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45636</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45636</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45636</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45636</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45636</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45636</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45636</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45636</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45636</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45636</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45636</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45636</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45636</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45636</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45636</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45636</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45636</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45636</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45636</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45636</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45636</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45636</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45636</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45636</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45636</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45636</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45636</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45636</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45636</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45636</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45636</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45636</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45636</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45636</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45636</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45636</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45636</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45636</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45636</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45636</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45636</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45636</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45636</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45636</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45636</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45636</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45636</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45636</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45636</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45636</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45636</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45636</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45636</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45636</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45636</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45636</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45636</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45636</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45636</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45636</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45636</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45636</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45636</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45636</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45636</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45636</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45636</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45636</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45636</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45636</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45636</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45636</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45636</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45636</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45636</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45636</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45636</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45636</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45636</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45636</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45636</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45636</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45636</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45636</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45636</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45636</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45636</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45636</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45636</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45636</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45636</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45636</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45636</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45636</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45636</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45636</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45636</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45636</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45636</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45636</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45636</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45636</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45636</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45636</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45636</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45636</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45636</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45636</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45636</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45636</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45636</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45636</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45636</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45636</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45636</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45636</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45636</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45636</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45636</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45636</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45636</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45636</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45636</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45636</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45636</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45636</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45636</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45636</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45636</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45636</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45636</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45636</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45636</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45636</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45636</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45636</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45636</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45636</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45636</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45636</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45636</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45636</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45636</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45636</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45636</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45636</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45636</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45636</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45636</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45636</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45636</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45636</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45636</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45636</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45636</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45636</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45636</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45636</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45636</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45636</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45636</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45636</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45636</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45636</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45636</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45636</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45636</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45636</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45636</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45636</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45636</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45636</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45636</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45636</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45636</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45636</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45636</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45636</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45636</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45636</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45636</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45636</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45636</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45636</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45636</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45636</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45636</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45636</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45636</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45636</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45636</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45636</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45636</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45636</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45636</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45636</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45636</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45636</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45636</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45636</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45636</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45636</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45636</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45636</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45636</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45636</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45636</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45636</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45636</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45636</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45636</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45636</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45636</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45636</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45636</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45636</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45636</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45636</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45636</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45636</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45636</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45636</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45636</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45636</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45636</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45636</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45636</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45636</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45636</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45636</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45636</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45636</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45636</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45636</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45636</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45636</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45636</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45636</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45636</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45636</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45636</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45636</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45636</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45636</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45636</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45636</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45636</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45636</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45636</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45636</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45636</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45636</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45636</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45636</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45636</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45636</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45636</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45636</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45636</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45636</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45636</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45636</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45636</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45636</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45636</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45636</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45636</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45636</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45636</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45636</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45636</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45636</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45636</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45636</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45636</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45636</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45636</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45636</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45636</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45636</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45636</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45636</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45636</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45636</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45636</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45636</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45636</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45636</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45636</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45636</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45636</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45636</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45636</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45636</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45636</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45636</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45636</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45636</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45636</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45636</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45636</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45636</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45636</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45636</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45636</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45636</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45636</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45636</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45636</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45636</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45636</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45636</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45636</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45636</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45636</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45636</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45636</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45636</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45636</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45636</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45636</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45636</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45636</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45636</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45636</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45636</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45636</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45636</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45636</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45636</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45636</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45636</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45636</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45636</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45636</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45636</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45636</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45636</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45636</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45636</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45636</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45636</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45636</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45636</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45636</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45636</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45636</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45636</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45636</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45636</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45636</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45636</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45636</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45636</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45636</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45636</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45636</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45636</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45636</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45636</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45636</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45636</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45636</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45636</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45636</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45636</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45636</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45636</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45636</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45636</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45636</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45636</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45636</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45636</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45636</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45636</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45636</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45636</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45636</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45636</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45636</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45636</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45636</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45636</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45636</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45636</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45636</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45636</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45636</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45636</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45636</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45636</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45636</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45636</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45636</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45636</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45636</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45636</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45636</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45636</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45636</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45636</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45636</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45636</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45636</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45636</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45636</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45636</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45636</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45636</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45636</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45636</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45636</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45636</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45636</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45636</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45636</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45636</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45636</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45636</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45636</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45636</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45636</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45636</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45636</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45636</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45636</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45636</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45636</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45636</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45636</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45636</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45636</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45636</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45636</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45636</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45636</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45636</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45636</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45636</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45636</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45636</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45636</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45636</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45636</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45636</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45636</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45636</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45636</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45636</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45636</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45636</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45636</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45636</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45636</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45636</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45636</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45636</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45636</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45636</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45636</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45636</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45636</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45636</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45636</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45636</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45636</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45636</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45636</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45636</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45636</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45636</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45636</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45636</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45636</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45636</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45636</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45636</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45636</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45636</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45636</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45636</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45636</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45636</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45636</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45636</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45636</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45636</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45636</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45636</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45636</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45636</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45636</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45636</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45636</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45636</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45636</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45636</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45636</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45636</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45636</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45636</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45636</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45636</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45636</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45636</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45636</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45636</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45636</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45636</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45636</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45636</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45636</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45636</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45636</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45636</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45636</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45636</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45636</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45636</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45636</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45636</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45636</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45636</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45636</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45636</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45636</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45636</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45636</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45636</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45636</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45636</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45636</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45636</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45636</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45636</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45636</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45636</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45636</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45636</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45636</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45636</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45636</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45636</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45636</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45636</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45636</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45636</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45636</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45636</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45636</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45636</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45636</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45636</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45636</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45636</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45636</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45636</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45636</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45636</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45636</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45636</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45636</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45636</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45636</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45636</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45636</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45636</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45636</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45636</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45636</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45636</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45636</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45636</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45636</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45636</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45636</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45636</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45636</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45636</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45636</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45636</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45636</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45636</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45636</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45636</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45636</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45636</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45636</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45636</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45636</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45636</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45636</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45636</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45636</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45636</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45636</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45636</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45636</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45636</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45636</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45636</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45636</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45636</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45636</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45636</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45636</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45636</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45636</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45636</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45636</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45636</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45636</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45636</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45636</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45636</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45636</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45636</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45636</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45636</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45636</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45636</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45636</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45636</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45636</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45636</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45636</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45636</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45636</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45636</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45636</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45636</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45636</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45636</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45636</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45636</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45636</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45636</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45636</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45636</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45636</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45636</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45636</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45636</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45636</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45636</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45636</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45636</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45636</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45636</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45636</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45636</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45636</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45636</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45636</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45636</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45636</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45636</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45636</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45636</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45636</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45636</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45636</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45636</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45636</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45636</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45636</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45636</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45636</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45636</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45636</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45636</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45636</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45636</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45636</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45636</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45636</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45636</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45636</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45636</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45636</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45636</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45636</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45636</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45636</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45636</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45636</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45636</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45636</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45636</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45636</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45636</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45636</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45636</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45636</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45636</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45636</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45636</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45636</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45636</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45636</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45636</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45636</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45636</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45636</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45636</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45636</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45636</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45636</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45636</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45636</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45636</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45636</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45636</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45636</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45636</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45636</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45636</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45636</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45636</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45636</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45636</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45636</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45636</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45636</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45636</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45636</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45636</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45636</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45636</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45636</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45636</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45636</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45636</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45636</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45636</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45636</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45636</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45636</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45636</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45636</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45636</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45636</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45636</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45636</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45636</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45636</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45636</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45636</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45636</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45636</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45636</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45636</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45636</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45636</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45636</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45636</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45636</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45636</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45636</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45636</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45636</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45636</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45636</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45636</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45636</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45636</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45636</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45636</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45636</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45636</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45636</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45636</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45636</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45636</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45636</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45636</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45636</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45636</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45636</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45636</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45636</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45636</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45636</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45636</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45636</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45636</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45636</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45636</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45636</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45636</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45636</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45636</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45636</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45636</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45636</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45636</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45636</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45636</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45636</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45636</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45636</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45636</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45636</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45636</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45636</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45636</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45636</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45636</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45636</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45636</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45636</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45636</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45636</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45636</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45636</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45636</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45636</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45636</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45636</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45636</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45636</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45636</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45636</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45636</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45636</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45636</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45636</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45636</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45636</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45636</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45636</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45636</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45636</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45636</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45636</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45636</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45636</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45636</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45636</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45636</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45636</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45636</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45636</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45636</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45636</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45636</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45636</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45636</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45636</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45636</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45636</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45636</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45636</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45636</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45636</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45636</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45636</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45636</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45636</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45636</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45636</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45636</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45636</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45636</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45636</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45636</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45636</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45636</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45636</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45636</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45636</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45636</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45636</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45636</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45636</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45636</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45636</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45636</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45636</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45636</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45636</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45636</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45636</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45636</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45636</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45636</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45636</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45636</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45636</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45636</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45636</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45636</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45636</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45636</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45636</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45636</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45636</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45636</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45636</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45636</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45636</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45636</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45636</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45636</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45636</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45636</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45636</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45636</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45636</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45636</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45636</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45636</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45636</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45636</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45636</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45636</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45636</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45636</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45636</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45636</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45636</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45636</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45636</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45636</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45636</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45636</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45636</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45636</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45636</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45636</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45636</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45636</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45636</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45636</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45636</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45636</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45636</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45636</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45636</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45636</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45636</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45636</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45636</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45636</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45636</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45636</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45636</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45636</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45636</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45636</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45636</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45636</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45636</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45636</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45636</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45636</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45636</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45636</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45636</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45636</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45636</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45636</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45636</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45636</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45636</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45636</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45636</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45636</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45636</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45636</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45636</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45636</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45636</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45636</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45636</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45636</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45636</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45636</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45636</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45636</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45636</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45636</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45636</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45636</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45636</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45636</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45636</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45636</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45636</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45636</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45636</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45636</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45636</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45636</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45636</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45636</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45636</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45636</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45636</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45636</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45636</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45636</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45636</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45636</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45636</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45636</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45636</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45636</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45636</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45636</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45636</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45636</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45636</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45636</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45636</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45636</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45636</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45636</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45636</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45636</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45636</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45636</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45636</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45636</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45636</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45636</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45636</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45636</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45636</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45636</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45636</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45636</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45636</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45636</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45636</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45636</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45636</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45636</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45636</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45636</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45636</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45636</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45636</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45636</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45636</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45636</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45636</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45636</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45636</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45636</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45636</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45636</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45636</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45636</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45636</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45636</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45636</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45636</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45636</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45636</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45636</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45636</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45636</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45636</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45636</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45636</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45636</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45636</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45636</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45636</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45636</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45636</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45636</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45636</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45636</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45636</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45636</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45636</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45636</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45636</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45636</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45636</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45636</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45636</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45636</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45636</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45636</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45636</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45636</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45636</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45636</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45636</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45636</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45636</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45636</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45636</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45636</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45636</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45636</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45636</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45636</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45636</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45636</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45636</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45636</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45636</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45636</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45636</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45636</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45636</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45636</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45636</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45636</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45636</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45636</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45636</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45636</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45636</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45636</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45636</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45636</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45636</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45636</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45636</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45636</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45636</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45636</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45636</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45636</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45636</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45636</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45636</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45636</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45636</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45636</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45636</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45636</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45636</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45636</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45636</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45636</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45636</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45636</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45636</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45636</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45636</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45636</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45636</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45636</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45636</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45636</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45636</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45636</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45636</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45636</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45636</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45636</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45636</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45636</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45636</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45636</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45636</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45636</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45636</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45636</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45636</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45636</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45636</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45636</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45636</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45636</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45636</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45636</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45636</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45636</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45636</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45636</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45636</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45636</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45636</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45636</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45636</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45636</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45636</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45636</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45636</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45636</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45636</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45636</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45636</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45636</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45636</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45636</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45636</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45636</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45636</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45636</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45636</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45636</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45636</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45636</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45636</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45636</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45636</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45636</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45636</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45636</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45636</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45636</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45636</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45636</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45636</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45636</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45636</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45636</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45636</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45636</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45636</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45636</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45636</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45636</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45636</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45636</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45636</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45636</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45636</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45636</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45636</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45636</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45636</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45636</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45636</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45636</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45636</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45636</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45636</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45636</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45636</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45636</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45636</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45636</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45636</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45636</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45636</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45636</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45636</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45636</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45636</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45636</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45636</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45636</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45636</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45636</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45636</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45636</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45636</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45636</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45636</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45636</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45636</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45636</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45636</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45636</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45636</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45636</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45636</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45636</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45636</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45636</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45636</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45636</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45636</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45636</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45636</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45636</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45636</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45636</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45636</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45636</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45636</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45636</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45636</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45636</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45636</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45636</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45636</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45636</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45636</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45636</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45636</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45636</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45636</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45636</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45636</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45636</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45636</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45636</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45636</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45636</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45636</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45636</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45636</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45636</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45636</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45636</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45636</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45636</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45636</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45636</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45636</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45636</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45636</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45636</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45636</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45636</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45636</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45636</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45636</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45636</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45636</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45636</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45636</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45636</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45636</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45636</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45636</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45636</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45636</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45636</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45636</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45636</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45636</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45636</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45636</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45636</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45636</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45636</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45636</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45636</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45636</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45636</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45636</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45636</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45636</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45636</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45636</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45636</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45636</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45636</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45636</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45636</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45636</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45636</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45636</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45636</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45636</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45636</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45636</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45636</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45636</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45636</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45636</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45636</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45636</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45636</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45636</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45636</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45636</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45636</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45636</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45636</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45636</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45636</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45636</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45636</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45636</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45636</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45636</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45636</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45636</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45636</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45636</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45636</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45636</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45636</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45636</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45636</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45636</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45636</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45636</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45636</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45636</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45636</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45636</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45636</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45636</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45636</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45636</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45636</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45636</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45636</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45636</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45636</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45636</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45636</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45636</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45636</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45636</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45636</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45636</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45636</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45636</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45636</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45636</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45636</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45636</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45636</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45636</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45636</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45636</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45636</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45636</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45636</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45636</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45636</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45636</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45636</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45636</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45636</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45636</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45636</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45636</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45636</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45636</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45636</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45636</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45636</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45636</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45636</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45636</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45636</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45636</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45636</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45636</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45636</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45636</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45636</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45636</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45636</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45636</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45636</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45636</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45636</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45636</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45636</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45636</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45636</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45636</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45636</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45636</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45636</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45636</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45636</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45636</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45636</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45636</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45636</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45636</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45636</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45636</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45636</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45636</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45636</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45636</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45636</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45636</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45636</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45636</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45636</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45636</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45636</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45636</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45636</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45636</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45636</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45636</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45636</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45636</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45636</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45636</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45636</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45636</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45636</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45636</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45636</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45636</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45636</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45636</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45636</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45636</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45636</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45636</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45636</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45636</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45636</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45636</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45636</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45636</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45636</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45636</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45636</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45636</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45636</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45636</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45636</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45636</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45636</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45636</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45636</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45636</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45636</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45636</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45636</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45636</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45636</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45636</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45636</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45636</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45636</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45636</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45636</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45636</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45636</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45636</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45636</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45636</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45636</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45636</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45636</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45636</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45636</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45636</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45636</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45636</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45636</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45636</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45636</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45636</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45636</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45636</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45636</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45636</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45636</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45636</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45636</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45636</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45636</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45636</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45636</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45636</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45636</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45636</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45636</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45636</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45636</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45636</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45636</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45636</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45636</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45636</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45636</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45636</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45636</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45636</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45636</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45636</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45636</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45636</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45636</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45636</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45636</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45636</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45636</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45636</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45636</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45636</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45636</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45636</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45636</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45636</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45636</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45636</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45636</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45636</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45636</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45636</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45636</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45636</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45636</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45636</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45636</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45636</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45636</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45636</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45636</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45636</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45636</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45636</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45636</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45636</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45636</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45636</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45636</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45636</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45636</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45636</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45636</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45636</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45636</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45636</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45636</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45636</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45636</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45636</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45636</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45636</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45636</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45636</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45636</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45636</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45636</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45636</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45636</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45636</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45636</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45636</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45636</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45636</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45636</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45636</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45636</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45636</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45636</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45636</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45636</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45636</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45636</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45636</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45636</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45636</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45636</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45636</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45636</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45636</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45636</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45636</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45636</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45636</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45636</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45636</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45636</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45636</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45636</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45636</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45636</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45636</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45636</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45636</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45636</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45636</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45636</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45636</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45636</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45636</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45636</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45636</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45636</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45636</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45636</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45636</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45636</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45636</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45636</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45636</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45636</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45636</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45636</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45636</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45636</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45636</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45636</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45636</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45636</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45636</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45636</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45636</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45636</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45636</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45636</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45636</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45636</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45636</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45636</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45636</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45636</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45636</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45636</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45636</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45636</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45636</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45636</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45636</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45636</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45636</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45636</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45636</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45636</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45636</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45636</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45636</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45636</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45636</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45636</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45636</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45636</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45636</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45636</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45636</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45636</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45636</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45636</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45636</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45636</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45636</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45636</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45636</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45636</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45636</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45636</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45636</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45636</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45636</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45636</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45636</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45636</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45636</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45636</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45636</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45636</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45636</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45636</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45636</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45636</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45636</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45636</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45636</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45636</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45636</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45636</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45636</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45636</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45636</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45636</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45636</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45636</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45636</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45636</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45636</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45636</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45636</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45636</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45636</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45636</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45636</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45636</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45636</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45636</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45636</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45636</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45636</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45636</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45636</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45636</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45636</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45636</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45636</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45636</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45636</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45636</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45636</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45636</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45636</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45636</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45636</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45636</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45636</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45636</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45636</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45636</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45636</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45636</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45636</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45636</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45636</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45636</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45636</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45636</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45636</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45636</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45636</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45636</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45636</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45636</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45636</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45636</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45636</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45636</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45636</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45636</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45636</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45636</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45636</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45636</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45636</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45636</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45636</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45636</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45636</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45636</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45636</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45636</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45636</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45636</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45636</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45636</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45636</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45636</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45636</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45636</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45636</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45636</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45636</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45636</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45636</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45636</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45636</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45636</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45636</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45636</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45636</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45636</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45636</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45636</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45636</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45636</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45636</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45636</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45636</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45636</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45636</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45636</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45636</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45636</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45636</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45636</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45636</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45636</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45636</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45636</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45636</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45636</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45636</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45636</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45636</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45636</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45636</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45636</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45636</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45636</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45636</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45636</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45636</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45636</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45636</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45636</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45636</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45636</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45636</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45636</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45636</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45636</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45636</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45636</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45636</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45636</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45636</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45636</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45636</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45636</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45636</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45636</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45636</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45636</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45636</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45636</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45636</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45636</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45636</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45636</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45636</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45636</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45636</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45636</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45636</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45636</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45636</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45636</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45636</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45636</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45636</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45636</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45636</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45636</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45636</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45636</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45636</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45636</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45636</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45636</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45636</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45636</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45636</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45636</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45636</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45636</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45636</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45636</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45636</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45636</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45636</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45636</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45636</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45636</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45636</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45636</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45636</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45636</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45636</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45636</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45636</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45636</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45636</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45636</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45636</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45636</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45636</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45636</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45636</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45636</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45636</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45636</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45636</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45636</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45636</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45636</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45636</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45636</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45636</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45636</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45636</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45636</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45636</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45636</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45636</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45636</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45636</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45636</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45636</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45636</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45636</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45636</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45636</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45636</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45636</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45636</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45636</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45636</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45636</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45636</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45636</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45636</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45636</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45636</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45636</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45636</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45636</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45636</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45636</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45636</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45636</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45636</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45636</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45636</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45636</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45636</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45636</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45636</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45636</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45636</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45636</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45636</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45636</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45636</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45636</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45636</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45636</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45636</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45636</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45636</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45636</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45636</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45636</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45636</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45636</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45636</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45636</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45636</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45636</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45636</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45636</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45636</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45636</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45636</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45636</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45636</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45636</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45636</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45636</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45636</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45636</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45636</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45636</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45636</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45636</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45636</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45636</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45636</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45636</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45636</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45636</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45636</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45636</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45636</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45636</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45636</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45636</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45636</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45636</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45636</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45636</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45636</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45636</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45636</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45636</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45636</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45636</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45636</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45636</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45636</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45636</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45636</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45636</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45636</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45636</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45636</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45636</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45636</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45636</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45636</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45636</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45636</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45636</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45636</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45636</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45636</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45636</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45636</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45636</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45636</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45636</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45636</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45636</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45636</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45636</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45636</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45636</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45636</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45636</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45636</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45636</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45636</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45636</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45636</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45636</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45636</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45636</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45636</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45636</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45636</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45636</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45636</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45636</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45636</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45636</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45636</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45636</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45636</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45636</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45636</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45636</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45636</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45636</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45636</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45636</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45636</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45636</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45636</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45636</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45636</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45636</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45636</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45636</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45636</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45636</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45636</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45636</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45636</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45636</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45636</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45636</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45636</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45636</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45636</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45636</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45636</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45636</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45636</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45636</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45636</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45636</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45636</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45636</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45636</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45636</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45636</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45636</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45636</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45636</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45636</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45636</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45636</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45636</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45636</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45636</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45636</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45636</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45636</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45636</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45636</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45636</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45636</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45636</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45636</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45636</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45636</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45636</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45636</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45636</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45636</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45636</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45636</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45636</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45636</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45636</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45636</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45636</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45636</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45636</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45636</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45636</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45636</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45636</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45636</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45636</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45636</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45636</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45636</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45636</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45636</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45636</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45636</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45636</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45636</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45636</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45636</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45636</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45636</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45636</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45636</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45636</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45636</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45636</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45636</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45636</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45636</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45636</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45636</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45636</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45636</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45636</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45636</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45636</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45636</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45636</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45636</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45636</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45636</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45636</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45636</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45636</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45636</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45636</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45636</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45636</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45636</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45636</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45636</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45636</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45636</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45636</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45636</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45636</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45636</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45636</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45636</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45636</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45636</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45636</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45636</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45636</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45636</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45636</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45636</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45636</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45636</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45636</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45636</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45636</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45636</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45636</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45636</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45636</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45636</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45636</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45636</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45636</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45636</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45636</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45636</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45636</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45636</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45636</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45636</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45636</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45636</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45636</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45636</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45636</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45636</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45636</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45636</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45636</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45636</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45636</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45636</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45636</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45636</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45636</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45636</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45636</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45636</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45636</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45636</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45636</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45636</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45636</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45636</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45636</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45636</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45636</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45636</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45636</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45636</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45636</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45636</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45636</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45636</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45636</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45636</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45636</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45636</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45636</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45636</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45636</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45636</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45636</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45636</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45636</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45636</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45636</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45636</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45636</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45636</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45636</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45636</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45636</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45636</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45636</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45636</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45636</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45636</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45636</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45636</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45636</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45636</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45636</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45636</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45636</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45636</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45636</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45636</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45636</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45636</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45636</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45636</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45636</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45636</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45636</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45636</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45636</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45636</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45636</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45636</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45636</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45636</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45636</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45636</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45636</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45636</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45636</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45636</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45636</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45636</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45636</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45636</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45636</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45636</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45636</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45636</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45636</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45636</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45636</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45636</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45636</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45636</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45636</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45636</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45636</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45636</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45636</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45636</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45636</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45636</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45636</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45636</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45636</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45636</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45636</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45636</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45636</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45636</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45636</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45636</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45636</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45636</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45636</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45636</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45636</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45636</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45636</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45636</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45636</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45636</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45636</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45636</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45636</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45636</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45636</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45636</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45636</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45636</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45636</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45636</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45636</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45636</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45636</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45636</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45636</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45636</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45636</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45636</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45636</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45636</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45636</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45636</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45636</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45636</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45636</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45636</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45636</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45636</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45636</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45636</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45636</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45636</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45636</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45636</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45636</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45636</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45636</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45636</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45636</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45636</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45636</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45636</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45636</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45636</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45636</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45636</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45636</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45636</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45636</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45636</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45636</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45636</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45636</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45636</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45636</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45636</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45636</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45636</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45636</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45636</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45636</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45636</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45636</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45636</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45636</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45636</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45636</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45636</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45636</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45636</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45636</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45636</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45636</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45636</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45636</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45636</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45636</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45636</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45636</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45636</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45636</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45636</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45636</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45636</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45636</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45636</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45636</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45636</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45636</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45636</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45636</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45636</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45636</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45636</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45636</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45636</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45636</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45636</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45636</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45636</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45636</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45636</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45636</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45636</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45636</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45636</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45636</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45636</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45636</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45636</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45636</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45636</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45636</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45636</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45636</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45636</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45636</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45636</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45636</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45636</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45636</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45636</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45636</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45636</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45636</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45636</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45636</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45636</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45636</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45636</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45636</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45636</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45636</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45636</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45636</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45636</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45636</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45636</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45636</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45636</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45636</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45636</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45636</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45636</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45636</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45636</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45636</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45636</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45636</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45636</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45636</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45636</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45636</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45636</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45636</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45636</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45636</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45636</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45636</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45636</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45636</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45636</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45636</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45636</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45636</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45636</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45636</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45636</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45636</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45636</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45636</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45636</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45636</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45636</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45636</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45636</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45636</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45636</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45636</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45636</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45636</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45636</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45636</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45636</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45636</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45636</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45636</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45636</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45636</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45636</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45636</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45636</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45636</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45636</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45636</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45636</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45636</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45636</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45636</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45636</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45636</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45636</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45636</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45636</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45636</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45636</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45636</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45636</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45636</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45636</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45636</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45636</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45636</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45636</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45636</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45636</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45636</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45636</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45636</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45636</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45636</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45636</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45636</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45636</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45636</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45636</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45636</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45636</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45636</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45636</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45636</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45636</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45636</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45636</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45636</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45636</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45636</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45636</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45636</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45636</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45636</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45636</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45636</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45636</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45636</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45636</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45636</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45636</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45636</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45636</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45636</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45636</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45636</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45636</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45636</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45636</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45636</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45636</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45636</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45636</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45636</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45636</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45636</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45636</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45636</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45636</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45636</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45636</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45636</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45636</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45636</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45636</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45636</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45636</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45636</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45636</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45636</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45636</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45636</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45636</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45636</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45636</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45636</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45636</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45636</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45636</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45636</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45636</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45636</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45636</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45636</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45636</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45636</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45636</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45636</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45636</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45636</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45636</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45636</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45636</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45636</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45636</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45636</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45636</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45636</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45636</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45636</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45636</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45636</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45636</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45636</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45636</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45636</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45636</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45636</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45636</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45636</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45636</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45636</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45636</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45636</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45636</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45636</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45636</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45636</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45636</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45636</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45636</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45636</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45636</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45636</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45636</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45636</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45636</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45636</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45636</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45636</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45636</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45636</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45636</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45636</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45636</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45636</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45636</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45636</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45636</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45636</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45636</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45636</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45636</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45636</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45636</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45636</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45636</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45636</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45636</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45636</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45636</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45636</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45636</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45636</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45636</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45636</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45636</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45636</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45636</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45636</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45636</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45636</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45636</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45636</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45636</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45636</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45636</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45636</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45636</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45636</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45636</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45636</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45636</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45636</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45636</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45636</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45636</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45636</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45636</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45636</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45636</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45636</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45636</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45636</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45636</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45636</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45636</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45636</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45636</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45636</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45636</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45636</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45636</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45636</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45636</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45636</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45636</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45636</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45636</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45636</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45636</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45636</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45636</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45636</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45636</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45636</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45636</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45636</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45636</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45636</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45636</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45636</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45636</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45636</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45636</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45636</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45636</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45636</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45636</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45636</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45636</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45636</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45636</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45636</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45636</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45636</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45636</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45636</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45636</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45636</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45636</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45636</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45636</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45636</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45636</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45636</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45636</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45636</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45636</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45636</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45636</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45636</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45636</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45636</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45636</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45636</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45636</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45636</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45636</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45636</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45636</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45636</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45636</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45636</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45636</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45636</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45636</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45636</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45636</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45636</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45636</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45636</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45636</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45636</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45636</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45636</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45636</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45636</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45636</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45636</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45636</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45636</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45636</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45636</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45636</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45636</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45636</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45636</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45636</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45636</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45636</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45636</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45636</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45636</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45636</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45636</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45636</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45636</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45636</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45636</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45636</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45636</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45636</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45636</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45636</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45636</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45636</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45636</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45636</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45636</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45636</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45636</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45636</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45636</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45636</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45636</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45636</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45636</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45636</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45636</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45636</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45636</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45636</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45636</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45636</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45636</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45636</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45636</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45636</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45636</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45636</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45636</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45636</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45636</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45636</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45636</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45636</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45636</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45636</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45636</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45636</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45636</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45636</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45636</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45636</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45636</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45636</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45636</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45636</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45636</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45636</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45636</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45636</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45636</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45636</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45636</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45636</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45636</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45636</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45636</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45636</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45636</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45636</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45636</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45636</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45636</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45636</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45636</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45636</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45636</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45636</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45636</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45636</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45636</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45636</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45636</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45636</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45636</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45636</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45636</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45636</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45636</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45636</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45636</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45636</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45636</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45636</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45636</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45636</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45636</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45636</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45636</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45636</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45636</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45636</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45636</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45636</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45636</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45636</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45636</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45636</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45636</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45636</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45636</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45636</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45636</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45636</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45636</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45636</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45636</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45636</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45636</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45636</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45636</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45636</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45636</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45636</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45636</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45636</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45636</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45636</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45636</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45636</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45636</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45636</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45636</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45636</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45636</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45636</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45636</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45636</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45636</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45636</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45636</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45636</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45636</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45636</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45636</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45636</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45636</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45636</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45636</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45636</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45636</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45636</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45636</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45636</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45636</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45636</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45636</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45636</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45636</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45636</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45636</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45636</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45636</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45636</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45636</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45636</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45636</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45636</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45636</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45636</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45636</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45636</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45636</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45636</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45636</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45636</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45636</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45636</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45636</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45636</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45636</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45636</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45636</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45636</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45636</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45636</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45636</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45636</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45636</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45636</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45636</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45636</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45636</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45636</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45636</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45636</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45636</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45636</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45636</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45636</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45636</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45636</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45636</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45636</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45636</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45636</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45636</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45636</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45636</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45636</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45636</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45636</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45636</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45636</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45636</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45636</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45636</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45636</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45636</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45636</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45636</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45636</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45636</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45636</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45636</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45636</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45636</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45636</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45636</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45636</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45636</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45636</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45636</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45636</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45636</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45636</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45636</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45636</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45636</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45636</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45636</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45636</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45636</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45636</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45636</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45636</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45636</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45636</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45636</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45636</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45636</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45636</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45636</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45636</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45636</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45636</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45636</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45636</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45636</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45636</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45636</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45636</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45636</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45636</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45636</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45636</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45636</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45636</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45636</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45636</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45636</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45636</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45636</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45636</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45636</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45636</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45636</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45636</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45636</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45636</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45636</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45636</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45636</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45636</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45636</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45636</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45636</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45636</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45636</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45636</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45636</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45636</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45636</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45636</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45636</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45636</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45636</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45636</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45636</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45636</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45636</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45636</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45636</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45636</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45636</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45636</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45636</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45636</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45636</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45636</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45636</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45636</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45636</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45636</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45636</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45636</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45636</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45636</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45636</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45636</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45636</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45636</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45636</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45636</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45636</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45636</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45636</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45636</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45636</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45636</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45636</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45636</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45636</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45636</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45636</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45636</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45636</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45636</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45636</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45636</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45636</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45636</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45636</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45636</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45636</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45636</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45636</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45636</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45636</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45636</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45636</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45636</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45636</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45636</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45636</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45636</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45636</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45636</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45636</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45636</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45636</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45636</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45636</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45636</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45636</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45636</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45636</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45636</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45636</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45636</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45636</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45636</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45636</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45636</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45636</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45636</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45636</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45636</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45636</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45636</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45636</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45636</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45636</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45636</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45636</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45636</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45636</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45636</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45636</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45636</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45636</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45636</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45636</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45636</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45636</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45636</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45636</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45636</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45636</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45636</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45636</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45636</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45636</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45636</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45636</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45636</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45636</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45636</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45636</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45636</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45636</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45636</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45636</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45636</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45636</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45636</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45636</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45636</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45636</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45636</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45636</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45636</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45636</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45636</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45636</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45636</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45636</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45636</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45636</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45636</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45636</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45636</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45636</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45636</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45636</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45636</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45636</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45636</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45636</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45636</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45636</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45636</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45636</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45636</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45636</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45636</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45636</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45636</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45636</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45636</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45636</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45636</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45636</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45636</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45636</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45636</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45636</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45636</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45636</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45636</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45636</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45636</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45636</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45636</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45636</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45636</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45636</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45636</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45636</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45636</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45636</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45636</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45636</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45636</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45636</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45636</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45636</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45636</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45636</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45636</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45636</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45636</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45636</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45636</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45636</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45636</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45636</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45636</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45636</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45636</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45636</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45636</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45636</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45636</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45636</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45636</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45636</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45636</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45636</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45636</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45636</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45636</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45636</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45636</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45636</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45636</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45636</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45636</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45636</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45636</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45636</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45636</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45636</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45636</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45636</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45636</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45636</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45636</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45636</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45636</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45636</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45636</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45636</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45636</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45636</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45636</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45636</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45636</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45636</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45636</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45636</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45636</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45636</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45636</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45636</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45636</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45636</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45636</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45636</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45636</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45636</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45636</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45636</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45636</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45636</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45636</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45636</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45636</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45636</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45636</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45636</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45636</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45636</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45636</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45636</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45636</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45636</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45636</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45636</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45636</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45636</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45636</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45636</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45636</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45636</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45636</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45636</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45636</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45636</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45636</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45636</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45636</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45636</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45636</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45636</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45636</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45636</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45636</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45636</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45636</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45636</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45636</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45636</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45636</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45636</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45636</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45636</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45636</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45636</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45636</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45636</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45636</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45636</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45636</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45636</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45636</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45636</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45636</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45636</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45636</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45636</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45636</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45636</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45636</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45636</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45636</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45636</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45636</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45636</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45636</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45636</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45636</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45636</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45636</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45636</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45636</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45636</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45636</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45636</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45636</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45636</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45636</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45636</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45636</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45636</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45636</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45636</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45636</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45636</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45636</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45636</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45636</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45636</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45636</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45636</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45636</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45636</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45636</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45636</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45636</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45636</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45636</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45636</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45636</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45636</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45636</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45636</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45636</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45636</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45636</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45636</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45636</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45636</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45636</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45636</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45636</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45636</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45636</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45636</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45636</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45636</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45636</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45636</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45636</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45636</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45636</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45636</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45636</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45636</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45636</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45636</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45636</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45636</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45636</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45636</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45636</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45636</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45636</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45636</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45636</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45636</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45636</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45636</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45636</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45636</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45636</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45636</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45636</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45636</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45636</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45636</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45636</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45636</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45636</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45636</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45636</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45636</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45636</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45636</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45636</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45636</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45636</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45636</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45636</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45636</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45636</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45636</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45636</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45636</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45636</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45636</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45636</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45636</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45636</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45636</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45636</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45636</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45636</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45636</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45636</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45636</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45636</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45636</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45636</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45636</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45636</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45636</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45636</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45636</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45636</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45636</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45636</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45636</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45636</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45636</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45636</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45636</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45636</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45636</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45636</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45636</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45636</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45636</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45636</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45636</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45636</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45636</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45636</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45636</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45636</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45636</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45636</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45636</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45636</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45636</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45636</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45636</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45636</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45636</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45636</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45636</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45636</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45636</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45636</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45636</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45636</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45636</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45636</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45636</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45636</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45636</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45636</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45636</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45636</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45636</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45636</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45636</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45636</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45636</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45636</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45636</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45636</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45636</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45636</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45636</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45636</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45636</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45636</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45636</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45636</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45636</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45636</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45636</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45636</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45636</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45636</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45636</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45636</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45636</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45636</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45636</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45636</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45636</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45636</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45636</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45636</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45636</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45636</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45636</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45636</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45636</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45636</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45636</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45636</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45636</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45636</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45636</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45636</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45636</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45636</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45636</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45636</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45636</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45636</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45636</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45636</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45636</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45636</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45636</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45636</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45636</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45636</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45636</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45636</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45636</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45636</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45636</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45636</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45636</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45636</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45636</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45636</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45636</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45636</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45636</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45636</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45636</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45636</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45636</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45636</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45636</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45636</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45636</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45636</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45636</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45636</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45636</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45636</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45636</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45636</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45636</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45636</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45636</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45636</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45636</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45636</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45636</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45636</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45636</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45636</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45636</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45636</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45636</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45636</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45636</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45636</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45636</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45636</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45636</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45636</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45636</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45636</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45636</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45636</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45636</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45636</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45636</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45636</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45636</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45636</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45636</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45636</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45636</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45636</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45636</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45636</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45636</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45636</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45636</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45636</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45636</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45636</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45636</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45636</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45636</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45636</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45636</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45636</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45636</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45636</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45636</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45636</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45636</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45636</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45636</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45636</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45636</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45636</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45636</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45636</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45636</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45636</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45636</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45636</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45636</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45636</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45636</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45636</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45636</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45636</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45636</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45636</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45636</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45636</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45636</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45636</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45636</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45636</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45636</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45636</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45636</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45636</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45636</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45636</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45636</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45636</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45636</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45636</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45636</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45636</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45636</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45636</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45636</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45636</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45636</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45636</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45636</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45636</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45636</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45636</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45636</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45636</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45636</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45636</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45636</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45636</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45636</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45636</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45636</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45636</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45636</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45636</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45636</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45636</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45636</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45636</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45636</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45636</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45636</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45636</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45636</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45636</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45636</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45636</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45636</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45636</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45636</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45636</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45636</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45636</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45636</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45636</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45636</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45636</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45636</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45636</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45636</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45636</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45636</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45636</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45636</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45636</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45636</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45636</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45636</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45636</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45636</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45636</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45636</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45636</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45636</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45636</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45636</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45636</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45636</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45636</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45636</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45636</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45636</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45636</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45636</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45636</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45636</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45636</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45636</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45636</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45636</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45636</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45636</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45636</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45636</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45636</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45636</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45636</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45636</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45636</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45636</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45636</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45636</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45636</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45636</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45636</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45636</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45636</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45636</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45636</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45636</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45636</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45636</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45636</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45636</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45636</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45636</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45636</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45636</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45636</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45636</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45636</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45636</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45636</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45636</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45636</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45636</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45636</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45636</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45636</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45636</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45636</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45636</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45636</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45636</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45636</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45636</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45636</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45636</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45636</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45636</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45636</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45636</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45636</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45636</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45636</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45636</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45636</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45636</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45636</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45636</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45636</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45636</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45636</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45636</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45636</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45636</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45636</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45636</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45636</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45636</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45636</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45636</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45636</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45636</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45636</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45636</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45636</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45636</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45636</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45636</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45636</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45636</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45636</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45636</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45636</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45636</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45636</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45636</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45636</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45636</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45636</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45636</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45636</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45636</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45636</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45636</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45636</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45636</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45636</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45636</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45636</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45636</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45636</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45636</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45636</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45636</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45636</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45636</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45636</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45636</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45636</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45636</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45636</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45636</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45636</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45636</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45636</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45636</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45636</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45636</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45636</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45636</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45636</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45636</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45636</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45636</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45636</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45636</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45636</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45636</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45636</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45636</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45636</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45636</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45636</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45636</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45636</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45636</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45636</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45636</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45636</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45636</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45636</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45636</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45636</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45636</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45636</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45636</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45636</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45636</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45636</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45636</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45636</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45636</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45636</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45636</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45636</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45636</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45636</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45636</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45636</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45636</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45636</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45636</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45636</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45636</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45636</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45636</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45636</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45636</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45636</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45636</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45636</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45636</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45636</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45636</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45636</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45636</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45636</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45636</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45636</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45636</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45636</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45636</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45636</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45636</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45636</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45636</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45636</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45636</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45636</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45636</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45636</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45636</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45636</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45636</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45636</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45636</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45636</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45636</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45636</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45636</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45636</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45636</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45636</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45636</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45636</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45636</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45636</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45636</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45636</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45636</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45636</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45636</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45636</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45636</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45636</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45636</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45636</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45636</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45636</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45636</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45636</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45636</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45636</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45636</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45636</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45636</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45636</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45636</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45636</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45636</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45636</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45636</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45636</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45636</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45636</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45636</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45636</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45636</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45636</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45636</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45636</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45636</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45636</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45636</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45636</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45636</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45636</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45636</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45636</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45636</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45636</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45636</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45636</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45636</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45636</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45636</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45636</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45636</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45636</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45636</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45636</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45636</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45636</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45636</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45636</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45636</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45636</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45636</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45636</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45636</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45636</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45636</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45636</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45636</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45636</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45636</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45636</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45636</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45636</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45636</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45636</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45636</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45636</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45636</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45636</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45636</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45636</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45636</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45636</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45636</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45636</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45636</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45636</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45636</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45636</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45636</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45636</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45636</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45636</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45636</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45636</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45636</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45636</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45636</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45636</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45636</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45636</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45636</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45636</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45636</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45636</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45636</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45636</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45636</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45636</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45636</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45636</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45636</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45636</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45636</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45636</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45636</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45636</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45636</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45636</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45636</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45636</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45636</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45636</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45636</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45636</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45636</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45636</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45636</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45636</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45636</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45636</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45636</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45636</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45636</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45636</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45636</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45636</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45636</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45636</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45636</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45636</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45636</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45636</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45636</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45636</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45636</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45636</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45636</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45636</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45636</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45636</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45636</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45636</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45636</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45636</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45636</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45636</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45636</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45636</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45636</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45636</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45636</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45636</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45636</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45636</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45636</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45636</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45636</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45636</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45636</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45636</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45636</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45636</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45636</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45636</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45636</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45636</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45636</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45636</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45636</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45636</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45636</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45636</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45636</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45636</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45636</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45636</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45636</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45636</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45636</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45636</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45636</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45636</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45636</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45636</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45636</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45636</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45636</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45636</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45636</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45636</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45636</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45636</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45636</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45636</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45636</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45636</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45636</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45636</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45636</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45636</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45636</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45636</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45636</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45636</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45636</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45636</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45636</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45636</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45636</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45636</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45636</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45636</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45636</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45636</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45636</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45636</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45636</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45636</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45636</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45636</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45636</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45636</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45636</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45636</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45636</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45636</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45636</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45636</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45636</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45636</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45636</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45636</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45636</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45636</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45636</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45636</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45636</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45636</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45636</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45636</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45636</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45636</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45636</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45636</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45636</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45636</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45636</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45636</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45636</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45636</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45636</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45636</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45636</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45636</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45636</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45636</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45636</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45636</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45636</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45636</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45636</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45636</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45636</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45636</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45636</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45636</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45636</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45636</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45636</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45636</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45636</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45636</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45636</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45636</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45636</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45636</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45636</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45636</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45636</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45636</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45636</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45636</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45636</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45636</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45636</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45636</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45636</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45636</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45636</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45636</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45636</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45636</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45636</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45636</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45636</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45636</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45636</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45636</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45636</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45636</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45636</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45636</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45636</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45636</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45636</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45636</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45636</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45636</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45636</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45636</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45636</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45636</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45636</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45636</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45636</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45636</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45636</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45636</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45636</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45636</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45636</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45636</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45636</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45636</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45636</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45636</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45636</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45636</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45636</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45636</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45636</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45636</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45636</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45636</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45636</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45636</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45636</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45636</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45636</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45636</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45636</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45636</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45636</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45636</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45636</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45636</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45636</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45636</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45636</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45636</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45636</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45636</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45636</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45636</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45636</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45636</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45636</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45636</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45636</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45636</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45636</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45636</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45636</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45636</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45636</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45636</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45636</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45636</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45636</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45636</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45636</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45636</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45636</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45636</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45636</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45636</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45636</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45636</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45636</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45636</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45636</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45636</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45636</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45636</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45636</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45636</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45636</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45636</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45636</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45636</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45636</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45636</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45636</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45636</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45636</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45636</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45636</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45636</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45636</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45636</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45636</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45636</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45636</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45636</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45636</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45636</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45636</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45636</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45636</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45636</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45636</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45636</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45636</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45636</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45636</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45636</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45636</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45636</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45636</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45636</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45636</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45636</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45636</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45636</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45636</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45636</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45636</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45636</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45636</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45636</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45636</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45636</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45636</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45636</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45636</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45636</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45636</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45636</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45636</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45636</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45636</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45636</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45636</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45636</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45636</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45636</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45636</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45636</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45636</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45636</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45636</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45636</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45636</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45636</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45636</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45636</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45636</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45636</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45636</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45636</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45636</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45636</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45636</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45636</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45636</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45636</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45636</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45636</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45636</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45636</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45636</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45636</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45636</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45636</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45636</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45636</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45636</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45636</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45636</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45636</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45636</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45636</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45636</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45636</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45636</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45636</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45636</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45636</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45636</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45636</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45636</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45636</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45636</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45636</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45636</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45636</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45636</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45636</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45636</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45636</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45636</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45636</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45636</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45636</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45636</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45636</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45636</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45636</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45636</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45636</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45636</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45636</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45636</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45636</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45636</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45636</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45636</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45636</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45636</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45636</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45636</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45636</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45636</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45636</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45636</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45636</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45636</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45636</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45636</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45636</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45636</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45636</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45636</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45636</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45636</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45636</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45636</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45636</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45636</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45636</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45636</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45636</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45636</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45636</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45636</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45636</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45636</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45636</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45636</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45636</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45636</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45636</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45636</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45636</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45636</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45636</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45636</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45636</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45636</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45636</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45636</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45636</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45636</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45636</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45636</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45636</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45636</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45636</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45636</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45636</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45636</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45636</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45636</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45636</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45636</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45636</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45636</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45636</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45636</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45636</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45636</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45636</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45636</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45636</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45636</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45636</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45636</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45636</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45636</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45636</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45636</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45636</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45636</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45636</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45636</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45636</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45636</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45636</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45636</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45636</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45636</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45636</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45636</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45636</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45636</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45636</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45636</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45636</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45636</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45636</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45636</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45636</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45636</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45636</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45636</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45636</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45636</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45636</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45636</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45636</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45636</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45636</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45636</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45636</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45636</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45636</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45636</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45636</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45636</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45636</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45636</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45636</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45636</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45636</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45636</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45636</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45636</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45636</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45636</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45636</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45636</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45636</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45636</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45636</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45636</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45636</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45636</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45636</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45636</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45636</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45636</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45636</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45636</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45636</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45636</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45636</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45636</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45636</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45636</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45636</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45636</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45636</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45636</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45636</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45636</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45636</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45636</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45636</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45636</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45636</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45636</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45636</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45636</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45636</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45636</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45636</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45636</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45636</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45636</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45636</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45636</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45636</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45636</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45636</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45636</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45636</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45636</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45636</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45636</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45636</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45636</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45636</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45636</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45636</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45636</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45636</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45636</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45636</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45636</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45636</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45636</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45636</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45636</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45636</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45636</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45636</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45636</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45636</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45636</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45636</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45636</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45636</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45636</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45636</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45636</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45636</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45636</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45636</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45636</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45636</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45636</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45636</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45636</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45636</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45636</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45636</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45636</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45636</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45636</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45636</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45636</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45636</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45636</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45636</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45636</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45636</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45636</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45636</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45636</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45636</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45636</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45636</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45636</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45636</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45636</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45636</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45636</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45636</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45636</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45636</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45636</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45636</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45636</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45636</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45636</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45636</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45636</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45636</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45636</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45636</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45636</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45636</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45636</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45636</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45636</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45636</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45636</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45636</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45636</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45636</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45636</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45636</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45636</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45636</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45636</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45636</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45636</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45636</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45636</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45636</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45636</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45636</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45636</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45636</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45636</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45636</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45636</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45636</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45636</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45636</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45636</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45636</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45636</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45636</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45636</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45636</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45636</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45636</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45636</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45636</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45636</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45636</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45636</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45636</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45636</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45636</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45636</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45636</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45636</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45636</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45636</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45636</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45636</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45636</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45636</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45636</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45636</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45636</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45636</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45636</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45636</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45636</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45636</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45636</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45636</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45636</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45636</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45636</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45636</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45636</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45636</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45636</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45636</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45636</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45636</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45636</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45636</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45636</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45636</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45636</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45636</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45636</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45636</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45636</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45636</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45636</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45636</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45636</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45636</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45636</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45636</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45636</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45636</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45636</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45636</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45636</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45636</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45636</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45636</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45636</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45636</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45636</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45636</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45636</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45636</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45636</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45636</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45636</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45636</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45636</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45636</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45636</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45636</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45636</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45636</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45636</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45636</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45636</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45636</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45636</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45636</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45636</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45636</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45636</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45636</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45636</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45636</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45636</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45636</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45636</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45636</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45636</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45636</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45636</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45636</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45636</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45636</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45636</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45636</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45636</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45636</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45636</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45636</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45636</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45636</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45636</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45636</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45636</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45636</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45636</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45636</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45636</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45636</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45636</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45636</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45636</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45636</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45636</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45636</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45636</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45636</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45636</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45636</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45636</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45636</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45636</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45636</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45636</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45636</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45636</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45636</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45636</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45636</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45636</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45636</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45636</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45636</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45636</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45636</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45636</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45636</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45636</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45636</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45636</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45636</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45636</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45636</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45636</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45636</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45636</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45636</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45636</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45636</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45636</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45636</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45636</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45636</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45636</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45636</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45636</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45636</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45636</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45636</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45636</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45636</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45636</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45636</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45636</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45636</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45636</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45636</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45636</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45636</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45636</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45636</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45636</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45636</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45636</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45636</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45636</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45636</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45636</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45636</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45636</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45636</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45636</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45636</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45636</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45636</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45636</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45636</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45636</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45636</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45636</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45636</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45636</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45636</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45636</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45636</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45636</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45636</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45636</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45636</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45636</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45636</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45636</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45636</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45636</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45636</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45636</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45636</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45636</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45636</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45636</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45636</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45636</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45636</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45636</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45636</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45636</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45636</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45636</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45636</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45636</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45636</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45636</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45636</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45636</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45636</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45636</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45636</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45636</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45636</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45636</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45636</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45636</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45636</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45636</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45636</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45636</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45636</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45636</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45636</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45636</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45636</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45636</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45636</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45636</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45636</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45636</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45636</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45636</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45636</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45636</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45636</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45636</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45636</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45636</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45636</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45636</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45636</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45636</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45636</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45636</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45636</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45636</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45636</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45636</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45636</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45636</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45636</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45636</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45636</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45636</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45636</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45636</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45636</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45636</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45636</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45636</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45636</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45636</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45636</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45636</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45636</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45636</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45636</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45636</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45636</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45636</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45636</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45636</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45636</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45636</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45636</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45636</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45636</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45636</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45636</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45636</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45636</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45636</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45636</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45636</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45636</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45636</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45636</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45636</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45636</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45636</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45636</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45636</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45636</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45636</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45636</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45636</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45636</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45636</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45636</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45636</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45636</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45636</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45636</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45636</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45636</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45636</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45636</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45636</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45636</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45636</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45636</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45636</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45636</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45636</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45636</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45636</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45636</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45636</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45636</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45636</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45636</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45636</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45636</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45636</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45636</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45636</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45636</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45636</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45636</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45636</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45636</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45636</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45636</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45636</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45636</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45636</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45636</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45636</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45636</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45636</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45636</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45636</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45636</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45636</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45636</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45636</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45636</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45636</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45636</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45636</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45636</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45636</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45636</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45636</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45636</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45636</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45636</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45636</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45636</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45636</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45636</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45636</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45636</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45636</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45636</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45636</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45636</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45636</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45636</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45636</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45636</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45636</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45636</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45636</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45636</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45636</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45636</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45636</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45636</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45636</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45636</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45636</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45636</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45636</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45636</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45636</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45636</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45636</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45636</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45636</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45636</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45636</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45636</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45636</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45636</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45636</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45636</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45636</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45636</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45636</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45636</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45636</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45636</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45636</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45636</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45636</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45636</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45636</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45636</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45636</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45636</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45636</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45636</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45636</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45636</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45636</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45636</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45636</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45636</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45636</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45636</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45636</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45636</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45636</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45636</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45636</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45636</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45636</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45636</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45636</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45636</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45636</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45636</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45636</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45636</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45636</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45636</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45636</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45636</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45636</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45636</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45636</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45636</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45636</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45636</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45636</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45636</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45636</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45636</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45636</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45636</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45636</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45636</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45636</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45636</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45636</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45636</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45636</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45636</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45636</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45636</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45636</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45636</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45636</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45636</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45636</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45636</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45636</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45636</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45636</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45636</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45636</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45636</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45636</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45636</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45636</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45636</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45636</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45636</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45636</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45636</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45636</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45636</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45636</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45636</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45636</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45636</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45636</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45636</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45636</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45636</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45636</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45636</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45636</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45636</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45636</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45636</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45636</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45636</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45636</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45636</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45636</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45636</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45636</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45636</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45636</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45636</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45636</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45636</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45636</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45636</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45636</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45636</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45636</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45636</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45636</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45636</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45636</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45636</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45636</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45636</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45636</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45636</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45636</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45636</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45636</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45636</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45636</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45636</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45636</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45636</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45636</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45636</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45636</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45636</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45636</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45636</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45636</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45636</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45636</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45636</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45636</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45636</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45636</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45636</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45636</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45636</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45636</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45636</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45636</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45636</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45636</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45636</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45636</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45636</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45636</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45636</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45636</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45636</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45636</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45636</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45636</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45636</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45636</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45636</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45636</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45636</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45636</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45636</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45636</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45636</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45636</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45636</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45636</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45636</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45636</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45636</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45636</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45636</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45636</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45636</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45636</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45636</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45636</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45636</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45636</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45636</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52274-2024</t>
        </is>
      </c>
      <c r="B7081" s="1" t="n">
        <v>45608</v>
      </c>
      <c r="C7081" s="1" t="n">
        <v>45636</v>
      </c>
      <c r="D7081" t="inlineStr">
        <is>
          <t>SÖDERMANLANDS LÄN</t>
        </is>
      </c>
      <c r="E7081" t="inlineStr">
        <is>
          <t>ESKILSTUNA</t>
        </is>
      </c>
      <c r="F7081" t="inlineStr">
        <is>
          <t>Övriga Aktiebolag</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52290-2024</t>
        </is>
      </c>
      <c r="B7082" s="1" t="n">
        <v>45608</v>
      </c>
      <c r="C7082" s="1" t="n">
        <v>45636</v>
      </c>
      <c r="D7082" t="inlineStr">
        <is>
          <t>SÖDERMANLANDS LÄN</t>
        </is>
      </c>
      <c r="E7082" t="inlineStr">
        <is>
          <t>ESKILSTUNA</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45636</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52450-2024</t>
        </is>
      </c>
      <c r="B7084" s="1" t="n">
        <v>45609</v>
      </c>
      <c r="C7084" s="1" t="n">
        <v>45636</v>
      </c>
      <c r="D7084" t="inlineStr">
        <is>
          <t>SÖDERMANLANDS LÄN</t>
        </is>
      </c>
      <c r="E7084" t="inlineStr">
        <is>
          <t>STRÄNGNÄS</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52452-2024</t>
        </is>
      </c>
      <c r="B7085" s="1" t="n">
        <v>45609</v>
      </c>
      <c r="C7085" s="1" t="n">
        <v>45636</v>
      </c>
      <c r="D7085" t="inlineStr">
        <is>
          <t>SÖDERMANLANDS LÄN</t>
        </is>
      </c>
      <c r="E7085" t="inlineStr">
        <is>
          <t>STRÄNGNÄS</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52443-2024</t>
        </is>
      </c>
      <c r="B7086" s="1" t="n">
        <v>45609</v>
      </c>
      <c r="C7086" s="1" t="n">
        <v>45636</v>
      </c>
      <c r="D7086" t="inlineStr">
        <is>
          <t>SÖDERMANLANDS LÄN</t>
        </is>
      </c>
      <c r="E7086" t="inlineStr">
        <is>
          <t>STRÄNGNÄS</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45636</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45636</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52630-2024</t>
        </is>
      </c>
      <c r="B7089" s="1" t="n">
        <v>45610</v>
      </c>
      <c r="C7089" s="1" t="n">
        <v>45636</v>
      </c>
      <c r="D7089" t="inlineStr">
        <is>
          <t>SÖDERMANLANDS LÄN</t>
        </is>
      </c>
      <c r="E7089" t="inlineStr">
        <is>
          <t>KATRINEHOLM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52775-2024</t>
        </is>
      </c>
      <c r="B7090" s="1" t="n">
        <v>45610</v>
      </c>
      <c r="C7090" s="1" t="n">
        <v>45636</v>
      </c>
      <c r="D7090" t="inlineStr">
        <is>
          <t>SÖDERMANLANDS LÄN</t>
        </is>
      </c>
      <c r="E7090" t="inlineStr">
        <is>
          <t>FLEN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53181-2024</t>
        </is>
      </c>
      <c r="B7091" s="1" t="n">
        <v>45611</v>
      </c>
      <c r="C7091" s="1" t="n">
        <v>45636</v>
      </c>
      <c r="D7091" t="inlineStr">
        <is>
          <t>SÖDERMANLANDS LÄN</t>
        </is>
      </c>
      <c r="E7091" t="inlineStr">
        <is>
          <t>ESKILSTUNA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53071-2024</t>
        </is>
      </c>
      <c r="B7092" s="1" t="n">
        <v>45611</v>
      </c>
      <c r="C7092" s="1" t="n">
        <v>45636</v>
      </c>
      <c r="D7092" t="inlineStr">
        <is>
          <t>SÖDERMANLANDS LÄN</t>
        </is>
      </c>
      <c r="E7092" t="inlineStr">
        <is>
          <t>NYKÖPING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45636</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45636</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53550-2024</t>
        </is>
      </c>
      <c r="B7095" s="1" t="n">
        <v>45614</v>
      </c>
      <c r="C7095" s="1" t="n">
        <v>45636</v>
      </c>
      <c r="D7095" t="inlineStr">
        <is>
          <t>SÖDERMANLANDS LÄN</t>
        </is>
      </c>
      <c r="E7095" t="inlineStr">
        <is>
          <t>GNESTA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54025-2024</t>
        </is>
      </c>
      <c r="B7096" s="1" t="n">
        <v>45614</v>
      </c>
      <c r="C7096" s="1" t="n">
        <v>45636</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53896-2024</t>
        </is>
      </c>
      <c r="B7097" s="1" t="n">
        <v>45614</v>
      </c>
      <c r="C7097" s="1" t="n">
        <v>45636</v>
      </c>
      <c r="D7097" t="inlineStr">
        <is>
          <t>SÖDERMANLANDS LÄN</t>
        </is>
      </c>
      <c r="E7097" t="inlineStr">
        <is>
          <t>ESKILSTUNA</t>
        </is>
      </c>
      <c r="G7097" t="n">
        <v>6.5</v>
      </c>
      <c r="H7097" t="n">
        <v>0</v>
      </c>
      <c r="I7097" t="n">
        <v>0</v>
      </c>
      <c r="J7097" t="n">
        <v>0</v>
      </c>
      <c r="K7097" t="n">
        <v>0</v>
      </c>
      <c r="L7097" t="n">
        <v>0</v>
      </c>
      <c r="M7097" t="n">
        <v>0</v>
      </c>
      <c r="N7097" t="n">
        <v>0</v>
      </c>
      <c r="O7097" t="n">
        <v>0</v>
      </c>
      <c r="P7097" t="n">
        <v>0</v>
      </c>
      <c r="Q7097" t="n">
        <v>0</v>
      </c>
      <c r="R7097" s="2" t="inlineStr"/>
      <c r="U7097">
        <f>HYPERLINK("https://klasma.github.io/Logging_0484/knärot/A 53896-2024 karta knärot.png", "A 53896-2024")</f>
        <v/>
      </c>
      <c r="V7097">
        <f>HYPERLINK("https://klasma.github.io/Logging_0484/klagomål/A 53896-2024 FSC-klagomål.docx", "A 53896-2024")</f>
        <v/>
      </c>
      <c r="W7097">
        <f>HYPERLINK("https://klasma.github.io/Logging_0484/klagomålsmail/A 53896-2024 FSC-klagomål mail.docx", "A 53896-2024")</f>
        <v/>
      </c>
      <c r="X7097">
        <f>HYPERLINK("https://klasma.github.io/Logging_0484/tillsyn/A 53896-2024 tillsynsbegäran.docx", "A 53896-2024")</f>
        <v/>
      </c>
      <c r="Y7097">
        <f>HYPERLINK("https://klasma.github.io/Logging_0484/tillsynsmail/A 53896-2024 tillsynsbegäran mail.docx", "A 53896-2024")</f>
        <v/>
      </c>
    </row>
    <row r="7098" ht="15" customHeight="1">
      <c r="A7098" t="inlineStr">
        <is>
          <t>A 53851-2024</t>
        </is>
      </c>
      <c r="B7098" s="1" t="n">
        <v>45615</v>
      </c>
      <c r="C7098" s="1" t="n">
        <v>45636</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45636</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45636</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45636</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45636</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45636</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45636</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54272-2024</t>
        </is>
      </c>
      <c r="B7105" s="1" t="n">
        <v>45616</v>
      </c>
      <c r="C7105" s="1" t="n">
        <v>45636</v>
      </c>
      <c r="D7105" t="inlineStr">
        <is>
          <t>SÖDERMANLANDS LÄN</t>
        </is>
      </c>
      <c r="E7105" t="inlineStr">
        <is>
          <t>STRÄNGNÄS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54307-2024</t>
        </is>
      </c>
      <c r="B7106" s="1" t="n">
        <v>45617</v>
      </c>
      <c r="C7106" s="1" t="n">
        <v>45636</v>
      </c>
      <c r="D7106" t="inlineStr">
        <is>
          <t>SÖDERMANLANDS LÄN</t>
        </is>
      </c>
      <c r="E7106" t="inlineStr">
        <is>
          <t>GNESTA</t>
        </is>
      </c>
      <c r="G7106" t="n">
        <v>34.8</v>
      </c>
      <c r="H7106" t="n">
        <v>0</v>
      </c>
      <c r="I7106" t="n">
        <v>0</v>
      </c>
      <c r="J7106" t="n">
        <v>0</v>
      </c>
      <c r="K7106" t="n">
        <v>0</v>
      </c>
      <c r="L7106" t="n">
        <v>0</v>
      </c>
      <c r="M7106" t="n">
        <v>0</v>
      </c>
      <c r="N7106" t="n">
        <v>0</v>
      </c>
      <c r="O7106" t="n">
        <v>0</v>
      </c>
      <c r="P7106" t="n">
        <v>0</v>
      </c>
      <c r="Q7106" t="n">
        <v>0</v>
      </c>
      <c r="R7106" s="2" t="inlineStr"/>
    </row>
    <row r="7107" ht="15" customHeight="1">
      <c r="A7107" t="inlineStr">
        <is>
          <t>A 54298-2024</t>
        </is>
      </c>
      <c r="B7107" s="1" t="n">
        <v>45617</v>
      </c>
      <c r="C7107" s="1" t="n">
        <v>45636</v>
      </c>
      <c r="D7107" t="inlineStr">
        <is>
          <t>SÖDERMANLANDS LÄN</t>
        </is>
      </c>
      <c r="E7107" t="inlineStr">
        <is>
          <t>FLEN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54480-2024</t>
        </is>
      </c>
      <c r="B7108" s="1" t="n">
        <v>45617</v>
      </c>
      <c r="C7108" s="1" t="n">
        <v>45636</v>
      </c>
      <c r="D7108" t="inlineStr">
        <is>
          <t>SÖDERMANLANDS LÄN</t>
        </is>
      </c>
      <c r="E7108" t="inlineStr">
        <is>
          <t>ESKILSTUNA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45636</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45636</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54930-2024</t>
        </is>
      </c>
      <c r="B7111" s="1" t="n">
        <v>45618</v>
      </c>
      <c r="C7111" s="1" t="n">
        <v>45636</v>
      </c>
      <c r="D7111" t="inlineStr">
        <is>
          <t>SÖDERMANLANDS LÄN</t>
        </is>
      </c>
      <c r="E7111" t="inlineStr">
        <is>
          <t>NYKÖPING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54927-2024</t>
        </is>
      </c>
      <c r="B7112" s="1" t="n">
        <v>45618</v>
      </c>
      <c r="C7112" s="1" t="n">
        <v>45636</v>
      </c>
      <c r="D7112" t="inlineStr">
        <is>
          <t>SÖDERMANLANDS LÄN</t>
        </is>
      </c>
      <c r="E7112" t="inlineStr">
        <is>
          <t>NYKÖPING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54781-2024</t>
        </is>
      </c>
      <c r="B7113" s="1" t="n">
        <v>45618</v>
      </c>
      <c r="C7113" s="1" t="n">
        <v>45636</v>
      </c>
      <c r="D7113" t="inlineStr">
        <is>
          <t>SÖDERMANLANDS LÄN</t>
        </is>
      </c>
      <c r="E7113" t="inlineStr">
        <is>
          <t>FLEN</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45636</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55699-2024</t>
        </is>
      </c>
      <c r="B7115" s="1" t="n">
        <v>45622</v>
      </c>
      <c r="C7115" s="1" t="n">
        <v>45636</v>
      </c>
      <c r="D7115" t="inlineStr">
        <is>
          <t>SÖDERMANLANDS LÄN</t>
        </is>
      </c>
      <c r="E7115" t="inlineStr">
        <is>
          <t>ESKILSTUNA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55673-2024</t>
        </is>
      </c>
      <c r="B7116" s="1" t="n">
        <v>45622</v>
      </c>
      <c r="C7116" s="1" t="n">
        <v>45636</v>
      </c>
      <c r="D7116" t="inlineStr">
        <is>
          <t>SÖDERMANLANDS LÄN</t>
        </is>
      </c>
      <c r="E7116" t="inlineStr">
        <is>
          <t>ESKILSTUNA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55988-2024</t>
        </is>
      </c>
      <c r="B7117" s="1" t="n">
        <v>45623</v>
      </c>
      <c r="C7117" s="1" t="n">
        <v>45636</v>
      </c>
      <c r="D7117" t="inlineStr">
        <is>
          <t>SÖDERMANLANDS LÄN</t>
        </is>
      </c>
      <c r="E7117" t="inlineStr">
        <is>
          <t>VINGÅKER</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55994-2024</t>
        </is>
      </c>
      <c r="B7118" s="1" t="n">
        <v>45623</v>
      </c>
      <c r="C7118" s="1" t="n">
        <v>45636</v>
      </c>
      <c r="D7118" t="inlineStr">
        <is>
          <t>SÖDERMANLANDS LÄN</t>
        </is>
      </c>
      <c r="E7118" t="inlineStr">
        <is>
          <t>VINGÅKER</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56007-2024</t>
        </is>
      </c>
      <c r="B7119" s="1" t="n">
        <v>45623</v>
      </c>
      <c r="C7119" s="1" t="n">
        <v>45636</v>
      </c>
      <c r="D7119" t="inlineStr">
        <is>
          <t>SÖDERMANLANDS LÄN</t>
        </is>
      </c>
      <c r="E7119" t="inlineStr">
        <is>
          <t>STRÄNGNÄS</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55991-2024</t>
        </is>
      </c>
      <c r="B7120" s="1" t="n">
        <v>45623</v>
      </c>
      <c r="C7120" s="1" t="n">
        <v>45636</v>
      </c>
      <c r="D7120" t="inlineStr">
        <is>
          <t>SÖDERMANLANDS LÄN</t>
        </is>
      </c>
      <c r="E7120" t="inlineStr">
        <is>
          <t>VINGÅKER</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56012-2024</t>
        </is>
      </c>
      <c r="B7121" s="1" t="n">
        <v>45623</v>
      </c>
      <c r="C7121" s="1" t="n">
        <v>45636</v>
      </c>
      <c r="D7121" t="inlineStr">
        <is>
          <t>SÖDERMANLANDS LÄN</t>
        </is>
      </c>
      <c r="E7121" t="inlineStr">
        <is>
          <t>STRÄNGNÄS</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45636</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45636</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56238-2024</t>
        </is>
      </c>
      <c r="B7124" s="1" t="n">
        <v>45624</v>
      </c>
      <c r="C7124" s="1" t="n">
        <v>45636</v>
      </c>
      <c r="D7124" t="inlineStr">
        <is>
          <t>SÖDERMANLANDS LÄN</t>
        </is>
      </c>
      <c r="E7124" t="inlineStr">
        <is>
          <t>NYKÖPING</t>
        </is>
      </c>
      <c r="G7124" t="n">
        <v>17.3</v>
      </c>
      <c r="H7124" t="n">
        <v>0</v>
      </c>
      <c r="I7124" t="n">
        <v>0</v>
      </c>
      <c r="J7124" t="n">
        <v>0</v>
      </c>
      <c r="K7124" t="n">
        <v>0</v>
      </c>
      <c r="L7124" t="n">
        <v>0</v>
      </c>
      <c r="M7124" t="n">
        <v>0</v>
      </c>
      <c r="N7124" t="n">
        <v>0</v>
      </c>
      <c r="O7124" t="n">
        <v>0</v>
      </c>
      <c r="P7124" t="n">
        <v>0</v>
      </c>
      <c r="Q7124" t="n">
        <v>0</v>
      </c>
      <c r="R7124" s="2" t="inlineStr"/>
    </row>
    <row r="7125" ht="15" customHeight="1">
      <c r="A7125" t="inlineStr">
        <is>
          <t>A 56228-2024</t>
        </is>
      </c>
      <c r="B7125" s="1" t="n">
        <v>45624</v>
      </c>
      <c r="C7125" s="1" t="n">
        <v>45636</v>
      </c>
      <c r="D7125" t="inlineStr">
        <is>
          <t>SÖDERMANLANDS LÄN</t>
        </is>
      </c>
      <c r="E7125" t="inlineStr">
        <is>
          <t>NYKÖPING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56307-2024</t>
        </is>
      </c>
      <c r="B7126" s="1" t="n">
        <v>45624</v>
      </c>
      <c r="C7126" s="1" t="n">
        <v>45636</v>
      </c>
      <c r="D7126" t="inlineStr">
        <is>
          <t>SÖDERMANLANDS LÄN</t>
        </is>
      </c>
      <c r="E7126" t="inlineStr">
        <is>
          <t>FLEN</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56308-2024</t>
        </is>
      </c>
      <c r="B7127" s="1" t="n">
        <v>45624</v>
      </c>
      <c r="C7127" s="1" t="n">
        <v>45636</v>
      </c>
      <c r="D7127" t="inlineStr">
        <is>
          <t>SÖDERMANLANDS LÄN</t>
        </is>
      </c>
      <c r="E7127" t="inlineStr">
        <is>
          <t>FLEN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45636</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56953-2024</t>
        </is>
      </c>
      <c r="B7129" s="1" t="n">
        <v>45628</v>
      </c>
      <c r="C7129" s="1" t="n">
        <v>45636</v>
      </c>
      <c r="D7129" t="inlineStr">
        <is>
          <t>SÖDERMANLANDS LÄN</t>
        </is>
      </c>
      <c r="E7129" t="inlineStr">
        <is>
          <t>VINGÅKER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56987-2024</t>
        </is>
      </c>
      <c r="B7130" s="1" t="n">
        <v>45628</v>
      </c>
      <c r="C7130" s="1" t="n">
        <v>45636</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57026-2024</t>
        </is>
      </c>
      <c r="B7131" s="1" t="n">
        <v>45628</v>
      </c>
      <c r="C7131" s="1" t="n">
        <v>45636</v>
      </c>
      <c r="D7131" t="inlineStr">
        <is>
          <t>SÖDERMANLANDS LÄN</t>
        </is>
      </c>
      <c r="E7131" t="inlineStr">
        <is>
          <t>NYKÖPING</t>
        </is>
      </c>
      <c r="F7131" t="inlineStr">
        <is>
          <t>Holmen skog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57304-2024</t>
        </is>
      </c>
      <c r="B7132" s="1" t="n">
        <v>45628</v>
      </c>
      <c r="C7132" s="1" t="n">
        <v>45636</v>
      </c>
      <c r="D7132" t="inlineStr">
        <is>
          <t>SÖDERMANLANDS LÄN</t>
        </is>
      </c>
      <c r="E7132" t="inlineStr">
        <is>
          <t>KATRINEHOLM</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56984-2024</t>
        </is>
      </c>
      <c r="B7133" s="1" t="n">
        <v>45628</v>
      </c>
      <c r="C7133" s="1" t="n">
        <v>45636</v>
      </c>
      <c r="D7133" t="inlineStr">
        <is>
          <t>SÖDERMANLANDS LÄN</t>
        </is>
      </c>
      <c r="E7133" t="inlineStr">
        <is>
          <t>STRÄNGNÄS</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56989-2024</t>
        </is>
      </c>
      <c r="B7134" s="1" t="n">
        <v>45628</v>
      </c>
      <c r="C7134" s="1" t="n">
        <v>45636</v>
      </c>
      <c r="D7134" t="inlineStr">
        <is>
          <t>SÖDERMANLANDS LÄN</t>
        </is>
      </c>
      <c r="E7134" t="inlineStr">
        <is>
          <t>STRÄNGNÄS</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57028-2024</t>
        </is>
      </c>
      <c r="B7135" s="1" t="n">
        <v>45628</v>
      </c>
      <c r="C7135" s="1" t="n">
        <v>45636</v>
      </c>
      <c r="D7135" t="inlineStr">
        <is>
          <t>SÖDERMANLANDS LÄN</t>
        </is>
      </c>
      <c r="E7135" t="inlineStr">
        <is>
          <t>NYKÖPING</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56970-2024</t>
        </is>
      </c>
      <c r="B7136" s="1" t="n">
        <v>45628</v>
      </c>
      <c r="C7136" s="1" t="n">
        <v>45636</v>
      </c>
      <c r="D7136" t="inlineStr">
        <is>
          <t>SÖDERMANLANDS LÄN</t>
        </is>
      </c>
      <c r="E7136" t="inlineStr">
        <is>
          <t>VINGÅKER</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56988-2024</t>
        </is>
      </c>
      <c r="B7137" s="1" t="n">
        <v>45628</v>
      </c>
      <c r="C7137" s="1" t="n">
        <v>45636</v>
      </c>
      <c r="D7137" t="inlineStr">
        <is>
          <t>SÖDERMANLANDS LÄN</t>
        </is>
      </c>
      <c r="E7137" t="inlineStr">
        <is>
          <t>STRÄNGNÄS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57014-2024</t>
        </is>
      </c>
      <c r="B7138" s="1" t="n">
        <v>45628</v>
      </c>
      <c r="C7138" s="1" t="n">
        <v>45636</v>
      </c>
      <c r="D7138" t="inlineStr">
        <is>
          <t>SÖDERMANLANDS LÄN</t>
        </is>
      </c>
      <c r="E7138" t="inlineStr">
        <is>
          <t>GNESTA</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56954-2024</t>
        </is>
      </c>
      <c r="B7139" s="1" t="n">
        <v>45628</v>
      </c>
      <c r="C7139" s="1" t="n">
        <v>45636</v>
      </c>
      <c r="D7139" t="inlineStr">
        <is>
          <t>SÖDERMANLANDS LÄN</t>
        </is>
      </c>
      <c r="E7139" t="inlineStr">
        <is>
          <t>VINGÅKER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56994-2024</t>
        </is>
      </c>
      <c r="B7140" s="1" t="n">
        <v>45628</v>
      </c>
      <c r="C7140" s="1" t="n">
        <v>45636</v>
      </c>
      <c r="D7140" t="inlineStr">
        <is>
          <t>SÖDERMANLANDS LÄN</t>
        </is>
      </c>
      <c r="E7140" t="inlineStr">
        <is>
          <t>STRÄNGNÄS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57005-2024</t>
        </is>
      </c>
      <c r="B7141" s="1" t="n">
        <v>45628</v>
      </c>
      <c r="C7141" s="1" t="n">
        <v>45636</v>
      </c>
      <c r="D7141" t="inlineStr">
        <is>
          <t>SÖDERMANLANDS LÄN</t>
        </is>
      </c>
      <c r="E7141" t="inlineStr">
        <is>
          <t>TROSA</t>
        </is>
      </c>
      <c r="F7141" t="inlineStr">
        <is>
          <t>Kyrkan</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57514-2024</t>
        </is>
      </c>
      <c r="B7142" s="1" t="n">
        <v>45629</v>
      </c>
      <c r="C7142" s="1" t="n">
        <v>45636</v>
      </c>
      <c r="D7142" t="inlineStr">
        <is>
          <t>SÖDERMANLANDS LÄN</t>
        </is>
      </c>
      <c r="E7142" t="inlineStr">
        <is>
          <t>FLEN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57231-2024</t>
        </is>
      </c>
      <c r="B7143" s="1" t="n">
        <v>45629</v>
      </c>
      <c r="C7143" s="1" t="n">
        <v>45636</v>
      </c>
      <c r="D7143" t="inlineStr">
        <is>
          <t>SÖDERMANLANDS LÄN</t>
        </is>
      </c>
      <c r="E7143" t="inlineStr">
        <is>
          <t>STRÄNGNÄS</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45636</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57621-2024</t>
        </is>
      </c>
      <c r="B7145" s="1" t="n">
        <v>45630</v>
      </c>
      <c r="C7145" s="1" t="n">
        <v>45636</v>
      </c>
      <c r="D7145" t="inlineStr">
        <is>
          <t>SÖDERMANLANDS LÄN</t>
        </is>
      </c>
      <c r="E7145" t="inlineStr">
        <is>
          <t>NYKÖPING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57608-2024</t>
        </is>
      </c>
      <c r="B7146" s="1" t="n">
        <v>45630</v>
      </c>
      <c r="C7146" s="1" t="n">
        <v>45636</v>
      </c>
      <c r="D7146" t="inlineStr">
        <is>
          <t>SÖDERMANLANDS LÄN</t>
        </is>
      </c>
      <c r="E7146" t="inlineStr">
        <is>
          <t>VINGÅKER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57616-2024</t>
        </is>
      </c>
      <c r="B7147" s="1" t="n">
        <v>45630</v>
      </c>
      <c r="C7147" s="1" t="n">
        <v>45636</v>
      </c>
      <c r="D7147" t="inlineStr">
        <is>
          <t>SÖDERMANLANDS LÄN</t>
        </is>
      </c>
      <c r="E7147" t="inlineStr">
        <is>
          <t>NYKÖPING</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57633-2024</t>
        </is>
      </c>
      <c r="B7148" s="1" t="n">
        <v>45630</v>
      </c>
      <c r="C7148" s="1" t="n">
        <v>45636</v>
      </c>
      <c r="D7148" t="inlineStr">
        <is>
          <t>SÖDERMANLANDS LÄN</t>
        </is>
      </c>
      <c r="E7148" t="inlineStr">
        <is>
          <t>NYKÖPING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57762-2024</t>
        </is>
      </c>
      <c r="B7149" s="1" t="n">
        <v>45630</v>
      </c>
      <c r="C7149" s="1" t="n">
        <v>45636</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57686-2024</t>
        </is>
      </c>
      <c r="B7150" s="1" t="n">
        <v>45630</v>
      </c>
      <c r="C7150" s="1" t="n">
        <v>45636</v>
      </c>
      <c r="D7150" t="inlineStr">
        <is>
          <t>SÖDERMANLANDS LÄN</t>
        </is>
      </c>
      <c r="E7150" t="inlineStr">
        <is>
          <t>FLEN</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57765-2024</t>
        </is>
      </c>
      <c r="B7151" s="1" t="n">
        <v>45630</v>
      </c>
      <c r="C7151" s="1" t="n">
        <v>45636</v>
      </c>
      <c r="D7151" t="inlineStr">
        <is>
          <t>SÖDERMANLANDS LÄN</t>
        </is>
      </c>
      <c r="E7151" t="inlineStr">
        <is>
          <t>GNESTA</t>
        </is>
      </c>
      <c r="F7151" t="inlineStr">
        <is>
          <t>Holmen skog AB</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58175-2024</t>
        </is>
      </c>
      <c r="B7152" s="1" t="n">
        <v>45632</v>
      </c>
      <c r="C7152" s="1" t="n">
        <v>45636</v>
      </c>
      <c r="D7152" t="inlineStr">
        <is>
          <t>SÖDERMANLANDS LÄN</t>
        </is>
      </c>
      <c r="E7152" t="inlineStr">
        <is>
          <t>KATRINEHOLM</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58635-2024</t>
        </is>
      </c>
      <c r="B7153" s="1" t="n">
        <v>45632</v>
      </c>
      <c r="C7153" s="1" t="n">
        <v>45636</v>
      </c>
      <c r="D7153" t="inlineStr">
        <is>
          <t>SÖDERMANLANDS LÄN</t>
        </is>
      </c>
      <c r="E7153" t="inlineStr">
        <is>
          <t>FLEN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58631-2024</t>
        </is>
      </c>
      <c r="B7154" s="1" t="n">
        <v>45632</v>
      </c>
      <c r="C7154" s="1" t="n">
        <v>45636</v>
      </c>
      <c r="D7154" t="inlineStr">
        <is>
          <t>SÖDERMANLANDS LÄN</t>
        </is>
      </c>
      <c r="E7154" t="inlineStr">
        <is>
          <t>FLEN</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58443-2024</t>
        </is>
      </c>
      <c r="B7155" s="1" t="n">
        <v>45635</v>
      </c>
      <c r="C7155" s="1" t="n">
        <v>45636</v>
      </c>
      <c r="D7155" t="inlineStr">
        <is>
          <t>SÖDERMANLANDS LÄN</t>
        </is>
      </c>
      <c r="E7155" t="inlineStr">
        <is>
          <t>FLEN</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58503-2024</t>
        </is>
      </c>
      <c r="B7156" s="1" t="n">
        <v>45635</v>
      </c>
      <c r="C7156" s="1" t="n">
        <v>45636</v>
      </c>
      <c r="D7156" t="inlineStr">
        <is>
          <t>SÖDERMANLANDS LÄN</t>
        </is>
      </c>
      <c r="E7156" t="inlineStr">
        <is>
          <t>ESKILSTUNA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58501-2024</t>
        </is>
      </c>
      <c r="B7157" s="1" t="n">
        <v>45635</v>
      </c>
      <c r="C7157" s="1" t="n">
        <v>45636</v>
      </c>
      <c r="D7157" t="inlineStr">
        <is>
          <t>SÖDERMANLANDS LÄN</t>
        </is>
      </c>
      <c r="E7157" t="inlineStr">
        <is>
          <t>ESKILSTUNA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58516-2024</t>
        </is>
      </c>
      <c r="B7158" s="1" t="n">
        <v>45635</v>
      </c>
      <c r="C7158" s="1" t="n">
        <v>45636</v>
      </c>
      <c r="D7158" t="inlineStr">
        <is>
          <t>SÖDERMANLANDS LÄN</t>
        </is>
      </c>
      <c r="E7158" t="inlineStr">
        <is>
          <t>ESKILSTUNA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58528-2024</t>
        </is>
      </c>
      <c r="B7159" s="1" t="n">
        <v>45635</v>
      </c>
      <c r="C7159" s="1" t="n">
        <v>45636</v>
      </c>
      <c r="D7159" t="inlineStr">
        <is>
          <t>SÖDERMANLANDS LÄN</t>
        </is>
      </c>
      <c r="E7159" t="inlineStr">
        <is>
          <t>KATRINEHOLM</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58553-2024</t>
        </is>
      </c>
      <c r="B7160" s="1" t="n">
        <v>45635</v>
      </c>
      <c r="C7160" s="1" t="n">
        <v>45636</v>
      </c>
      <c r="D7160" t="inlineStr">
        <is>
          <t>SÖDERMANLANDS LÄN</t>
        </is>
      </c>
      <c r="E7160" t="inlineStr">
        <is>
          <t>NYKÖPING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58556-2024</t>
        </is>
      </c>
      <c r="B7161" s="1" t="n">
        <v>45635</v>
      </c>
      <c r="C7161" s="1" t="n">
        <v>45636</v>
      </c>
      <c r="D7161" t="inlineStr">
        <is>
          <t>SÖDERMANLANDS LÄN</t>
        </is>
      </c>
      <c r="E7161" t="inlineStr">
        <is>
          <t>NYKÖPING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58445-2024</t>
        </is>
      </c>
      <c r="B7162" s="1" t="n">
        <v>45635</v>
      </c>
      <c r="C7162" s="1" t="n">
        <v>45636</v>
      </c>
      <c r="D7162" t="inlineStr">
        <is>
          <t>SÖDERMANLANDS LÄN</t>
        </is>
      </c>
      <c r="E7162" t="inlineStr">
        <is>
          <t>FLEN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58457-2024</t>
        </is>
      </c>
      <c r="B7163" s="1" t="n">
        <v>45635</v>
      </c>
      <c r="C7163" s="1" t="n">
        <v>45636</v>
      </c>
      <c r="D7163" t="inlineStr">
        <is>
          <t>SÖDERMANLANDS LÄN</t>
        </is>
      </c>
      <c r="E7163" t="inlineStr">
        <is>
          <t>FLEN</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58494-2024</t>
        </is>
      </c>
      <c r="B7164" s="1" t="n">
        <v>45635</v>
      </c>
      <c r="C7164" s="1" t="n">
        <v>45636</v>
      </c>
      <c r="D7164" t="inlineStr">
        <is>
          <t>SÖDERMANLANDS LÄN</t>
        </is>
      </c>
      <c r="E7164" t="inlineStr">
        <is>
          <t>ESKILSTUNA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58502-2024</t>
        </is>
      </c>
      <c r="B7165" s="1" t="n">
        <v>45635</v>
      </c>
      <c r="C7165" s="1" t="n">
        <v>45636</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58522-2024</t>
        </is>
      </c>
      <c r="B7166" s="1" t="n">
        <v>45635</v>
      </c>
      <c r="C7166" s="1" t="n">
        <v>45636</v>
      </c>
      <c r="D7166" t="inlineStr">
        <is>
          <t>SÖDERMANLANDS LÄN</t>
        </is>
      </c>
      <c r="E7166" t="inlineStr">
        <is>
          <t>KATRINEHOLM</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58652-2024</t>
        </is>
      </c>
      <c r="B7167" s="1" t="n">
        <v>45635</v>
      </c>
      <c r="C7167" s="1" t="n">
        <v>45636</v>
      </c>
      <c r="D7167" t="inlineStr">
        <is>
          <t>SÖDERMANLANDS LÄN</t>
        </is>
      </c>
      <c r="E7167" t="inlineStr">
        <is>
          <t>NYKÖPING</t>
        </is>
      </c>
      <c r="G7167" t="n">
        <v>0.5</v>
      </c>
      <c r="H7167" t="n">
        <v>0</v>
      </c>
      <c r="I7167" t="n">
        <v>0</v>
      </c>
      <c r="J7167" t="n">
        <v>0</v>
      </c>
      <c r="K7167" t="n">
        <v>0</v>
      </c>
      <c r="L7167" t="n">
        <v>0</v>
      </c>
      <c r="M7167" t="n">
        <v>0</v>
      </c>
      <c r="N7167" t="n">
        <v>0</v>
      </c>
      <c r="O7167" t="n">
        <v>0</v>
      </c>
      <c r="P7167" t="n">
        <v>0</v>
      </c>
      <c r="Q7167" t="n">
        <v>0</v>
      </c>
      <c r="R7167" s="2" t="inlineStr"/>
    </row>
    <row r="7168">
      <c r="A7168" t="inlineStr">
        <is>
          <t>A 58766-2024</t>
        </is>
      </c>
      <c r="B7168" s="1" t="n">
        <v>45635</v>
      </c>
      <c r="C7168" s="1" t="n">
        <v>45636</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2024-12-10T15:23:45Z</dcterms:created>
  <dcterms:modified xmlns:dcterms="http://purl.org/dc/terms/" xmlns:xsi="http://www.w3.org/2001/XMLSchema-instance" xsi:type="dcterms:W3CDTF">2024-12-10T15:23:51Z</dcterms:modified>
</cp:coreProperties>
</file>