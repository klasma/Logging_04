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45638</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45638</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45638</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45638</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45638</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45638</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45638</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45638</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45638</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45638</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45638</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45638</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45638</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45638</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45638</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45638</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45638</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45638</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45638</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45638</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45638</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45638</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45638</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45638</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45638</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45638</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45638</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45638</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45638</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45638</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45638</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45638</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45638</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45638</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45638</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45638</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45638</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45638</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45638</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45638</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45638</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45638</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45638</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45638</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45638</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45638</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45638</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45638</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45638</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45638</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45638</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45638</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45638</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45638</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45638</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45638</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45638</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45638</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45638</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45638</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45638</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45638</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45638</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45638</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45638</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45638</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45638</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45638</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45638</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45638</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45638</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45638</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45638</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45638</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45638</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45638</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45638</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45638</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45638</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45638</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45638</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45638</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45638</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45638</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45638</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45638</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45638</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45638</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45638</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45638</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45638</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45638</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45638</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45638</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45638</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45638</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45638</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45638</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45638</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45638</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45638</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45638</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45638</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45638</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45638</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45638</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45638</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45638</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45638</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45638</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45638</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45638</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45638</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45638</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45638</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45638</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45638</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45638</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45638</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45638</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45638</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45638</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45638</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45638</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45638</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45638</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45638</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45638</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45638</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45638</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45638</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45638</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45638</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45638</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45638</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45638</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45638</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45638</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45638</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45638</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45638</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45638</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45638</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45638</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45638</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45638</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45638</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45638</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45638</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45638</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45638</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45638</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45638</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45638</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45638</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45638</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45638</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45638</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45638</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45638</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45638</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45638</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45638</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45638</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45638</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45638</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45638</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45638</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45638</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45638</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45638</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45638</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45638</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45638</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45638</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45638</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45638</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45638</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45638</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45638</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45638</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45638</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45638</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45638</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45638</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45638</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45638</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45638</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45638</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45638</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45638</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45638</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45638</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45638</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45638</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45638</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45638</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45638</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45638</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45638</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45638</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45638</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45638</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45638</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45638</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45638</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45638</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45638</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45638</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45638</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45638</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45638</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45638</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45638</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45638</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45638</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45638</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45638</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45638</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45638</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45638</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45638</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45638</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45638</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45638</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45638</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45638</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45638</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45638</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45638</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45638</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45638</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45638</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45638</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45638</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45638</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45638</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45638</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45638</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45638</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45638</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45638</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45638</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45638</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45638</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45638</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45638</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45638</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45638</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45638</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45638</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45638</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45638</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45638</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45638</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45638</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45638</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45638</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45638</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45638</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45638</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45638</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45638</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45638</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45638</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45638</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45638</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45638</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45638</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45638</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45638</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45638</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45638</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45638</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45638</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45638</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45638</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45638</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45638</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45638</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45638</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45638</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45638</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45638</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45638</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45638</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45638</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45638</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45638</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45638</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45638</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45638</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45638</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45638</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45638</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45638</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45638</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45638</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45638</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45638</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45638</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45638</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45638</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45638</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45638</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45638</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45638</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45638</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45638</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45638</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45638</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45638</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45638</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45638</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45638</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45638</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45638</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45638</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45638</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45638</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45638</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45638</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45638</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45638</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45638</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45638</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45638</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45638</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45638</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45638</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45638</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45638</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45638</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45638</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45638</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45638</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45638</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45638</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45638</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45638</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45638</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45638</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45638</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45638</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45638</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45638</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45638</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45638</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45638</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45638</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45638</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45638</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45638</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45638</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45638</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45638</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45638</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45638</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45638</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45638</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45638</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45638</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45638</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45638</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45638</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45638</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45638</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45638</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45638</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45638</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45638</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45638</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45638</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45638</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45638</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45638</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45638</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45638</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45638</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45638</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45638</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45638</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45638</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45638</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45638</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45638</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45638</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45638</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45638</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45638</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45638</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45638</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45638</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45638</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45638</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45638</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45638</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45638</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45638</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45638</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45638</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45638</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45638</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45638</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45638</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45638</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45638</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45638</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45638</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45638</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45638</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45638</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45638</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45638</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45638</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45638</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45638</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45638</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45638</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45638</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45638</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45638</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45638</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45638</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45638</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45638</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45638</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45638</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45638</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45638</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45638</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45638</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45638</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45638</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45638</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45638</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45638</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45638</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45638</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45638</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45638</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45638</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45638</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45638</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45638</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45638</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45638</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45638</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45638</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45638</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45638</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45638</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45638</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45638</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45638</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45638</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45638</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45638</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45638</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45638</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45638</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45638</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45638</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45638</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45638</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45638</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45638</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45638</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45638</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45638</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45638</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45638</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45638</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45638</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45638</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45638</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45638</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45638</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45638</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45638</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45638</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45638</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45638</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45638</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45638</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45638</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45638</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45638</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45638</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45638</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45638</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45638</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45638</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45638</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45638</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45638</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45638</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45638</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45638</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45638</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45638</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45638</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45638</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45638</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45638</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45638</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45638</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45638</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45638</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45638</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45638</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45638</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45638</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45638</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45638</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45638</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45638</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45638</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45638</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45638</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45638</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45638</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45638</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45638</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45638</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45638</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45638</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45638</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45638</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45638</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45638</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45638</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45638</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45638</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45638</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45638</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45638</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45638</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45638</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45638</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45638</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45638</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45638</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45638</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45638</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45638</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45638</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45638</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45638</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45638</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45638</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45638</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45638</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45638</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45638</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45638</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45638</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45638</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45638</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45638</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45638</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45638</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45638</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45638</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45638</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45638</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45638</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45638</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45638</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45638</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45638</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45638</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45638</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45638</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45638</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45638</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45638</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45638</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45638</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45638</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45638</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45638</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45638</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45638</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45638</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45638</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45638</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45638</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45638</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45638</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45638</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45638</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45638</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45638</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45638</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45638</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45638</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45638</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45638</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45638</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45638</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45638</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45638</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45638</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45638</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45638</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45638</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45638</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45638</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45638</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45638</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45638</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45638</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45638</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45638</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45638</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45638</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45638</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45638</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45638</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45638</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45638</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45638</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45638</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45638</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45638</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45638</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45638</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45638</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45638</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45638</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45638</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45638</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45638</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45638</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45638</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45638</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45638</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45638</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45638</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45638</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45638</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45638</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45638</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45638</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45638</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45638</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45638</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45638</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45638</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45638</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45638</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45638</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45638</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45638</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45638</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45638</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45638</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45638</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45638</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45638</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45638</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45638</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45638</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45638</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45638</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45638</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45638</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45638</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45638</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45638</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45638</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45638</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45638</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45638</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45638</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45638</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45638</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45638</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45638</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45638</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45638</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45638</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45638</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45638</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45638</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45638</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45638</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45638</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45638</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45638</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45638</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45638</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45638</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45638</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45638</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45638</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45638</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45638</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45638</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45638</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45638</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45638</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45638</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45638</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45638</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45638</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45638</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45638</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45638</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45638</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45638</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45638</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45638</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45638</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45638</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45638</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45638</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45638</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45638</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45638</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45638</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45638</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45638</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45638</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45638</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45638</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45638</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45638</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45638</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45638</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45638</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45638</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45638</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45638</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45638</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45638</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45638</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45638</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45638</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45638</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45638</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45638</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45638</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45638</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45638</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45638</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45638</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45638</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45638</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45638</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45638</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45638</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45638</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45638</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45638</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45638</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45638</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45638</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45638</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45638</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45638</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45638</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45638</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45638</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45638</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45638</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45638</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45638</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45638</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45638</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45638</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45638</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45638</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45638</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45638</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45638</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45638</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45638</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45638</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45638</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45638</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45638</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45638</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45638</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45638</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45638</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45638</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45638</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45638</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45638</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45638</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45638</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45638</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45638</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45638</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45638</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45638</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45638</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45638</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45638</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45638</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45638</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45638</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45638</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45638</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45638</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45638</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45638</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45638</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45638</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45638</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45638</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45638</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45638</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45638</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45638</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45638</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45638</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45638</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45638</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45638</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45638</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45638</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45638</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45638</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45638</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45638</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45638</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45638</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45638</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45638</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45638</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45638</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45638</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45638</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45638</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45638</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45638</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45638</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45638</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45638</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45638</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45638</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45638</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45638</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45638</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45638</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45638</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45638</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45638</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45638</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45638</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45638</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45638</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45638</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45638</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45638</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45638</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45638</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45638</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45638</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45638</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45638</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45638</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45638</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45638</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45638</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45638</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45638</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45638</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45638</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45638</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45638</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45638</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45638</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45638</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45638</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45638</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45638</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45638</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45638</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45638</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45638</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45638</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45638</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45638</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45638</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45638</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45638</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45638</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45638</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45638</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45638</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45638</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45638</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45638</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45638</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45638</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45638</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45638</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45638</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45638</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45638</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45638</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45638</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45638</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45638</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45638</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45638</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45638</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45638</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45638</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45638</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45638</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45638</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45638</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45638</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45638</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45638</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45638</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45638</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45638</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45638</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45638</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45638</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45638</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45638</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45638</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45638</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45638</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45638</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45638</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45638</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45638</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45638</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45638</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45638</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45638</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45638</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45638</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45638</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45638</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45638</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45638</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45638</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45638</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45638</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45638</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45638</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45638</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45638</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45638</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45638</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45638</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45638</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45638</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45638</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45638</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45638</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45638</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45638</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45638</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45638</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45638</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45638</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45638</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45638</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45638</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45638</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45638</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45638</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45638</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45638</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45638</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45638</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45638</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45638</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45638</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45638</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45638</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45638</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45638</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45638</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45638</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45638</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45638</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45638</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45638</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45638</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45638</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45638</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45638</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45638</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45638</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45638</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45638</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45638</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45638</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45638</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45638</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45638</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45638</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45638</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45638</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45638</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45638</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45638</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45638</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45638</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45638</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45638</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45638</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45638</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45638</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45638</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45638</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45638</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45638</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45638</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45638</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45638</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45638</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45638</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45638</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45638</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45638</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45638</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45638</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45638</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45638</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45638</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45638</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45638</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45638</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45638</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45638</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45638</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45638</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45638</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45638</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45638</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45638</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45638</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45638</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45638</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45638</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45638</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45638</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45638</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45638</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45638</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45638</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45638</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45638</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45638</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45638</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45638</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45638</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45638</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45638</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45638</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45638</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45638</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45638</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45638</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45638</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45638</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45638</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45638</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45638</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45638</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45638</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45638</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45638</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45638</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45638</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45638</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45638</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45638</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45638</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45638</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45638</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45638</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45638</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45638</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45638</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45638</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45638</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45638</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45638</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45638</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45638</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45638</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45638</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45638</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45638</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45638</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45638</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45638</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45638</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45638</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45638</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45638</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45638</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45638</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45638</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45638</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45638</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45638</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45638</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45638</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45638</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45638</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45638</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45638</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45638</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45638</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45638</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45638</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45638</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45638</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45638</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45638</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45638</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45638</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45638</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45638</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45638</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45638</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45638</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45638</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45638</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45638</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45638</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45638</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45638</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45638</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45638</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45638</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45638</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45638</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45638</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45638</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45638</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45638</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45638</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45638</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45638</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45638</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45638</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45638</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45638</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45638</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45638</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45638</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45638</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45638</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45638</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45638</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45638</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45638</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45638</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45638</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45638</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45638</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45638</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45638</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45638</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45638</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45638</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45638</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45638</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45638</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45638</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45638</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45638</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45638</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45638</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45638</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45638</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45638</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45638</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45638</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45638</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45638</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45638</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45638</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45638</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45638</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45638</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45638</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45638</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45638</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45638</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45638</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45638</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45638</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45638</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45638</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45638</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45638</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45638</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45638</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45638</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45638</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45638</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45638</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45638</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45638</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45638</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45638</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45638</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45638</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45638</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45638</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45638</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45638</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45638</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45638</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45638</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45638</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45638</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45638</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45638</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45638</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45638</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45638</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45638</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45638</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45638</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45638</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45638</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45638</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45638</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45638</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45638</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45638</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45638</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45638</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45638</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45638</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45638</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45638</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45638</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45638</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45638</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45638</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45638</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45638</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45638</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45638</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45638</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45638</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45638</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45638</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45638</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45638</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45638</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45638</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45638</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45638</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45638</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45638</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45638</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45638</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45638</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45638</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45638</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45638</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45638</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45638</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45638</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45638</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45638</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45638</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45638</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45638</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45638</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45638</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45638</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45638</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45638</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45638</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45638</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45638</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45638</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45638</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45638</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45638</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45638</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45638</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45638</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45638</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45638</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45638</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45638</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45638</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45638</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45638</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45638</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45638</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45638</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45638</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45638</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45638</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45638</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45638</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45638</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45638</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45638</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45638</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45638</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45638</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45638</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45638</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45638</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45638</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45638</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45638</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45638</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45638</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45638</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45638</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45638</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45638</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45638</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45638</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45638</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45638</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45638</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45638</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45638</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45638</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45638</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45638</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45638</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45638</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45638</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45638</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45638</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45638</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45638</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45638</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45638</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45638</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45638</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45638</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45638</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45638</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45638</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45638</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45638</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45638</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45638</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45638</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45638</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45638</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45638</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45638</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45638</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45638</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45638</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45638</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45638</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45638</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45638</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45638</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45638</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45638</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45638</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45638</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45638</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45638</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45638</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45638</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45638</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45638</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45638</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45638</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45638</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45638</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45638</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45638</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45638</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45638</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45638</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45638</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45638</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45638</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45638</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45638</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45638</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45638</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45638</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45638</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45638</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45638</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45638</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45638</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45638</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45638</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45638</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45638</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45638</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45638</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45638</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45638</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45638</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45638</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45638</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45638</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45638</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45638</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45638</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45638</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45638</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45638</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45638</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45638</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45638</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45638</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45638</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45638</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45638</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45638</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45638</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45638</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45638</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45638</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45638</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45638</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45638</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45638</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45638</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45638</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45638</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45638</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45638</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45638</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45638</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45638</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45638</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45638</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45638</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45638</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45638</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45638</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45638</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45638</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45638</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45638</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45638</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45638</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45638</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45638</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45638</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45638</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45638</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45638</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45638</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45638</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45638</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45638</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45638</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45638</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45638</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45638</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45638</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45638</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45638</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45638</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45638</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45638</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45638</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45638</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45638</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45638</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45638</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45638</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45638</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45638</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45638</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45638</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45638</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45638</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45638</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45638</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45638</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45638</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45638</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45638</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45638</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45638</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45638</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45638</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45638</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45638</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45638</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45638</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45638</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45638</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45638</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45638</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45638</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45638</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45638</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45638</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45638</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45638</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45638</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45638</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45638</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45638</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45638</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45638</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45638</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45638</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45638</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45638</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45638</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45638</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45638</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45638</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45638</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45638</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45638</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45638</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45638</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45638</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45638</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45638</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45638</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45638</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45638</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45638</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45638</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45638</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45638</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45638</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45638</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45638</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45638</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45638</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45638</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45638</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45638</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45638</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45638</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45638</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45638</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45638</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45638</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45638</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45638</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45638</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45638</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45638</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45638</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45638</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45638</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45638</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45638</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45638</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45638</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45638</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45638</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45638</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45638</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45638</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45638</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45638</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45638</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45638</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45638</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45638</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45638</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45638</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45638</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45638</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45638</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45638</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45638</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45638</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45638</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45638</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45638</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45638</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45638</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45638</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45638</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45638</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45638</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45638</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45638</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45638</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45638</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45638</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45638</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45638</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45638</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45638</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45638</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45638</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45638</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45638</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45638</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45638</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45638</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45638</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45638</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45638</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45638</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45638</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45638</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45638</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45638</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45638</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45638</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45638</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45638</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45638</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45638</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45638</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45638</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45638</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45638</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45638</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45638</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45638</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45638</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45638</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45638</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45638</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45638</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45638</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45638</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45638</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45638</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45638</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45638</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45638</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45638</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45638</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45638</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45638</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45638</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45638</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45638</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45638</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45638</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45638</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45638</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45638</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45638</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45638</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45638</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45638</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45638</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45638</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45638</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45638</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45638</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45638</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45638</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45638</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45638</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45638</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45638</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45638</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45638</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45638</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45638</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45638</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45638</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45638</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45638</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45638</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45638</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45638</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45638</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45638</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45638</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45638</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45638</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45638</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45638</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45638</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45638</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45638</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45638</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45638</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45638</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45638</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45638</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45638</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45638</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45638</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45638</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45638</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45638</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45638</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45638</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45638</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45638</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45638</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45638</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45638</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45638</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45638</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45638</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45638</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45638</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45638</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45638</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45638</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45638</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45638</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45638</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45638</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45638</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45638</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45638</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45638</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45638</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45638</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45638</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45638</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45638</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45638</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45638</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45638</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45638</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45638</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45638</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45638</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45638</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45638</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45638</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45638</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45638</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45638</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45638</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45638</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45638</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45638</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45638</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45638</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45638</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45638</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45638</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45638</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45638</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45638</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45638</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45638</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45638</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45638</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45638</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45638</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45638</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45638</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45638</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45638</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45638</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45638</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45638</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45638</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45638</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45638</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45638</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45638</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45638</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45638</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45638</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45638</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45638</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45638</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45638</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45638</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45638</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45638</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45638</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45638</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45638</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45638</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45638</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45638</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45638</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45638</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45638</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45638</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45638</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45638</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45638</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45638</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45638</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45638</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45638</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45638</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45638</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45638</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45638</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45638</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45638</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45638</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45638</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45638</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45638</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45638</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45638</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45638</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45638</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45638</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45638</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45638</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45638</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45638</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45638</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45638</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45638</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45638</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45638</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45638</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45638</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45638</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45638</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45638</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45638</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45638</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45638</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45638</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45638</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45638</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45638</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45638</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45638</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45638</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45638</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45638</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45638</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45638</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45638</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45638</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45638</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45638</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45638</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45638</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45638</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45638</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45638</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45638</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45638</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45638</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45638</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45638</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45638</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45638</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45638</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45638</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45638</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45638</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45638</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45638</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45638</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45638</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45638</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45638</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45638</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45638</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45638</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45638</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45638</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45638</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45638</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45638</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45638</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45638</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45638</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45638</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45638</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45638</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45638</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45638</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45638</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45638</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45638</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45638</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45638</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45638</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45638</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45638</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45638</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45638</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45638</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45638</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45638</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45638</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45638</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45638</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45638</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45638</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45638</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45638</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45638</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45638</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45638</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45638</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45638</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45638</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45638</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45638</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45638</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45638</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45638</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45638</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45638</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45638</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45638</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45638</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45638</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45638</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45638</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45638</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45638</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45638</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45638</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45638</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45638</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45638</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45638</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45638</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45638</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45638</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45638</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45638</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45638</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45638</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45638</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45638</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45638</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45638</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45638</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45638</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45638</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45638</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45638</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45638</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45638</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45638</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45638</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45638</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45638</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45638</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45638</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45638</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45638</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45638</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45638</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45638</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45638</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45638</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45638</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45638</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45638</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45638</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45638</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45638</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45638</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45638</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45638</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45638</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45638</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45638</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45638</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45638</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45638</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45638</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45638</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45638</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45638</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45638</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45638</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45638</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45638</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45638</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45638</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45638</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45638</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45638</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45638</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45638</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45638</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45638</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45638</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45638</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45638</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45638</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45638</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45638</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45638</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45638</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45638</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45638</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45638</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45638</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45638</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45638</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45638</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45638</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45638</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45638</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45638</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45638</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45638</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45638</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45638</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45638</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45638</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45638</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45638</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45638</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45638</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45638</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45638</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45638</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45638</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45638</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45638</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45638</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45638</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45638</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45638</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45638</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45638</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45638</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45638</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45638</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45638</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45638</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45638</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45638</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45638</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45638</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45638</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45638</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45638</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45638</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45638</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45638</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45638</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45638</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45638</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45638</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45638</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45638</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45638</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45638</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45638</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45638</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45638</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45638</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45638</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45638</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45638</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45638</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45638</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45638</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45638</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45638</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45638</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45638</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45638</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45638</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45638</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45638</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45638</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45638</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45638</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45638</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45638</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45638</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45638</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45638</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45638</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45638</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45638</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45638</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45638</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45638</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45638</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45638</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45638</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45638</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45638</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45638</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45638</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45638</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45638</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45638</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45638</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45638</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45638</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45638</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45638</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45638</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45638</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45638</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45638</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45638</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45638</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45638</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45638</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45638</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45638</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45638</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45638</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45638</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45638</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45638</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45638</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45638</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45638</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45638</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45638</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45638</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45638</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45638</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45638</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45638</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45638</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45638</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45638</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45638</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45638</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45638</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45638</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45638</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45638</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45638</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45638</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45638</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45638</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45638</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45638</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45638</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45638</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45638</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45638</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45638</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45638</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45638</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45638</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45638</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45638</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45638</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45638</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45638</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45638</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45638</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45638</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45638</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45638</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45638</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45638</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45638</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45638</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45638</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45638</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45638</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45638</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45638</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45638</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45638</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45638</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45638</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45638</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45638</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45638</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45638</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45638</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45638</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45638</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45638</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45638</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45638</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45638</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45638</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45638</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45638</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45638</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45638</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45638</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45638</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45638</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45638</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45638</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45638</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45638</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45638</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45638</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45638</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45638</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45638</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45638</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45638</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45638</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45638</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45638</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45638</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45638</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45638</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45638</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45638</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45638</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45638</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45638</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45638</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45638</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45638</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45638</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45638</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45638</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45638</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45638</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45638</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45638</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45638</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45638</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45638</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45638</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45638</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45638</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45638</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45638</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45638</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45638</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45638</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45638</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45638</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45638</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45638</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45638</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45638</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45638</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45638</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45638</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45638</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45638</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45638</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45638</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45638</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45638</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45638</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45638</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45638</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45638</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45638</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45638</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45638</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45638</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45638</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45638</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45638</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45638</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45638</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45638</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45638</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45638</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45638</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45638</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45638</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45638</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45638</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45638</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45638</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45638</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45638</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45638</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45638</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45638</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45638</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45638</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45638</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45638</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45638</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45638</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45638</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45638</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45638</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45638</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45638</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45638</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45638</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45638</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45638</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45638</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45638</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45638</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45638</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45638</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45638</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45638</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45638</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45638</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45638</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45638</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45638</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45638</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45638</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45638</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45638</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45638</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45638</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45638</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45638</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45638</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45638</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45638</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45638</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45638</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45638</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45638</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45638</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45638</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45638</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45638</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45638</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45638</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45638</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45638</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45638</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45638</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45638</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45638</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45638</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45638</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45638</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45638</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45638</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45638</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45638</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45638</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45638</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45638</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45638</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45638</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45638</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45638</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45638</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45638</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45638</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45638</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45638</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45638</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45638</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45638</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45638</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45638</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45638</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45638</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45638</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45638</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45638</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45638</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45638</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45638</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45638</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45638</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45638</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45638</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45638</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45638</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45638</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45638</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45638</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45638</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45638</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45638</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45638</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45638</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45638</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45638</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45638</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45638</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45638</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45638</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45638</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45638</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45638</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45638</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45638</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45638</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45638</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45638</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45638</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45638</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45638</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45638</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45638</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45638</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45638</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45638</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45638</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45638</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45638</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45638</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45638</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45638</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45638</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45638</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45638</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45638</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45638</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45638</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45638</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45638</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45638</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45638</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45638</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45638</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45638</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45638</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45638</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45638</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45638</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45638</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45638</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45638</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45638</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45638</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45638</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45638</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45638</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45638</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45638</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45638</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45638</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45638</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45638</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45638</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45638</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45638</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45638</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45638</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45638</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45638</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45638</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45638</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45638</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45638</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45638</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45638</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45638</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45638</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45638</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45638</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45638</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45638</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45638</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45638</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45638</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45638</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45638</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45638</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45638</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45638</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45638</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45638</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45638</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45638</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45638</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45638</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45638</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45638</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45638</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45638</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45638</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45638</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45638</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45638</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45638</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45638</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45638</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45638</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45638</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45638</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45638</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45638</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45638</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45638</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45638</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45638</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45638</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45638</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45638</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45638</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45638</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45638</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45638</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45638</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45638</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45638</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45638</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45638</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45638</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45638</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45638</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45638</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45638</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45638</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45638</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45638</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45638</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45638</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45638</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45638</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45638</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45638</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45638</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45638</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45638</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45638</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45638</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45638</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45638</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45638</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45638</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45638</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45638</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45638</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45638</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45638</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45638</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45638</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45638</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45638</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45638</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45638</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45638</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45638</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45638</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45638</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45638</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45638</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45638</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45638</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45638</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45638</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45638</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45638</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45638</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45638</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45638</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45638</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45638</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45638</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45638</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45638</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45638</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45638</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45638</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45638</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45638</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45638</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45638</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45638</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45638</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45638</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45638</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45638</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45638</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45638</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45638</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45638</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45638</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45638</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45638</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45638</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45638</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45638</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45638</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45638</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45638</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45638</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45638</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45638</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45638</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45638</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45638</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45638</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45638</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45638</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45638</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45638</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45638</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45638</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45638</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45638</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45638</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45638</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45638</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45638</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45638</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45638</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45638</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45638</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45638</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45638</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45638</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45638</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45638</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45638</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45638</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45638</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45638</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45638</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45638</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45638</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45638</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45638</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45638</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45638</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45638</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45638</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45638</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45638</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45638</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45638</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45638</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45638</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45638</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45638</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45638</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45638</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45638</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45638</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45638</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45638</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45638</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45638</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45638</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45638</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45638</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45638</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45638</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45638</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45638</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45638</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45638</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45638</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45638</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45638</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45638</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45638</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45638</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45638</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45638</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45638</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45638</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45638</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45638</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45638</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45638</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45638</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45638</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45638</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45638</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45638</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45638</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45638</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45638</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45638</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45638</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45638</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45638</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45638</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45638</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45638</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45638</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45638</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45638</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45638</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45638</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45638</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45638</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45638</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45638</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45638</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45638</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45638</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45638</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45638</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45638</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45638</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45638</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45638</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45638</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45638</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45638</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45638</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45638</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45638</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45638</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45638</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45638</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45638</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45638</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45638</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45638</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45638</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45638</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45638</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45638</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45638</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45638</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45638</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45638</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45638</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45638</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45638</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45638</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45638</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45638</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45638</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45638</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45638</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45638</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45638</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45638</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45638</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45638</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45638</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45638</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45638</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45638</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45638</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45638</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45638</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45638</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45638</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45638</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45638</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45638</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45638</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45638</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45638</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45638</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45638</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45638</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45638</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45638</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45638</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45638</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45638</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45638</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45638</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45638</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45638</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45638</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45638</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45638</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45638</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45638</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45638</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45638</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45638</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45638</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45638</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45638</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45638</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45638</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45638</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45638</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45638</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45638</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45638</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45638</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45638</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45638</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45638</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45638</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45638</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45638</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45638</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45638</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45638</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45638</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45638</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45638</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45638</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45638</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45638</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45638</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45638</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45638</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45638</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45638</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45638</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45638</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45638</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45638</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45638</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45638</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45638</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45638</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45638</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45638</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45638</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45638</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45638</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45638</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45638</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45638</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45638</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45638</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45638</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45638</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45638</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45638</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45638</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45638</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45638</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45638</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45638</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45638</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45638</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45638</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45638</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45638</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45638</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45638</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45638</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45638</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45638</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45638</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45638</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45638</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45638</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45638</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45638</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45638</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45638</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45638</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45638</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45638</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45638</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45638</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45638</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45638</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45638</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45638</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45638</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45638</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45638</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45638</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45638</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45638</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45638</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45638</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45638</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45638</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45638</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45638</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45638</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45638</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45638</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45638</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45638</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45638</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45638</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45638</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45638</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45638</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45638</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45638</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45638</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45638</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45638</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45638</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45638</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45638</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45638</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45638</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45638</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45638</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45638</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45638</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45638</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45638</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45638</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45638</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45638</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45638</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45638</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45638</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45638</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45638</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45638</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45638</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45638</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45638</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45638</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45638</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45638</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45638</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45638</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45638</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45638</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45638</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45638</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45638</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45638</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45638</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45638</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45638</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45638</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45638</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45638</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45638</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45638</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45638</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45638</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45638</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45638</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45638</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45638</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45638</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45638</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45638</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45638</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45638</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45638</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45638</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45638</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45638</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45638</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45638</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45638</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45638</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45638</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45638</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45638</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45638</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45638</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45638</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45638</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45638</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45638</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45638</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45638</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45638</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45638</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45638</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45638</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45638</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45638</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45638</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45638</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45638</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45638</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45638</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45638</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45638</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45638</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45638</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45638</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45638</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45638</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45638</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45638</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45638</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45638</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45638</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45638</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45638</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45638</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45638</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45638</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45638</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45638</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45638</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45638</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45638</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45638</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45638</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45638</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45638</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45638</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45638</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45638</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45638</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45638</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45638</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45638</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45638</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45638</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45638</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45638</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45638</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45638</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45638</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45638</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45638</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45638</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45638</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45638</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45638</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45638</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45638</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45638</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45638</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45638</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45638</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45638</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45638</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45638</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45638</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45638</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45638</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45638</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45638</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45638</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45638</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45638</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45638</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45638</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45638</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45638</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45638</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45638</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45638</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45638</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45638</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45638</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45638</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45638</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45638</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45638</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45638</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45638</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45638</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45638</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45638</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45638</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45638</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45638</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45638</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45638</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45638</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45638</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45638</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45638</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45638</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45638</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45638</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45638</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45638</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45638</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45638</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45638</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45638</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45638</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45638</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45638</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45638</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45638</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45638</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45638</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45638</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45638</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45638</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45638</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45638</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45638</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45638</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45638</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45638</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45638</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45638</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45638</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45638</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45638</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45638</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45638</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45638</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45638</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45638</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45638</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45638</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45638</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45638</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45638</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45638</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45638</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45638</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45638</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45638</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45638</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45638</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45638</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45638</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45638</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45638</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45638</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45638</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45638</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45638</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45638</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45638</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45638</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45638</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45638</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45638</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45638</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45638</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45638</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45638</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45638</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45638</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45638</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45638</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45638</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45638</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45638</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45638</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45638</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45638</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45638</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45638</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45638</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45638</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45638</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45638</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45638</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45638</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45638</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45638</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45638</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45638</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45638</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45638</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45638</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45638</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45638</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45638</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45638</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45638</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45638</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45638</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45638</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45638</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45638</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45638</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45638</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45638</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45638</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45638</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45638</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45638</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45638</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45638</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45638</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45638</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45638</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45638</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45638</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45638</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45638</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45638</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45638</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45638</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45638</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45638</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45638</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45638</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45638</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45638</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45638</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45638</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45638</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45638</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45638</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45638</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45638</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45638</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45638</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45638</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45638</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45638</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45638</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45638</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45638</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45638</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45638</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45638</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45638</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45638</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45638</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45638</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45638</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45638</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45638</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45638</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45638</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45638</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45638</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45638</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45638</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45638</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45638</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45638</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45638</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45638</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45638</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45638</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45638</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45638</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45638</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45638</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45638</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45638</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45638</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45638</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45638</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45638</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45638</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45638</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45638</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45638</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45638</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45638</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45638</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45638</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45638</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45638</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45638</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45638</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45638</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45638</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45638</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45638</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45638</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45638</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45638</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45638</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45638</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45638</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45638</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45638</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45638</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45638</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45638</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45638</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45638</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45638</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45638</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45638</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45638</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45638</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45638</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45638</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45638</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45638</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45638</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45638</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45638</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45638</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45638</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45638</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45638</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45638</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45638</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45638</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45638</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45638</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45638</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45638</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45638</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45638</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45638</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45638</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45638</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45638</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45638</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45638</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45638</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45638</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45638</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45638</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45638</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45638</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45638</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45638</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45638</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45638</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45638</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45638</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45638</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45638</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45638</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45638</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45638</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45638</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45638</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45638</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45638</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45638</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45638</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45638</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45638</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45638</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45638</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45638</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45638</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45638</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45638</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45638</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45638</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45638</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45638</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45638</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45638</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45638</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45638</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45638</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45638</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45638</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45638</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45638</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45638</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45638</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45638</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45638</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45638</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45638</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45638</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45638</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45638</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45638</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45638</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45638</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45638</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45638</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45638</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45638</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45638</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45638</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45638</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45638</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45638</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45638</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45638</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45638</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45638</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45638</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45638</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45638</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45638</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45638</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45638</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45638</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45638</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45638</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45638</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45638</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45638</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45638</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45638</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45638</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45638</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45638</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45638</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45638</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45638</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45638</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45638</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45638</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45638</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45638</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45638</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45638</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45638</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45638</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45638</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45638</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45638</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45638</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45638</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45638</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45638</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45638</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45638</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45638</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45638</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45638</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45638</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45638</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45638</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45638</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45638</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45638</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45638</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45638</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45638</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45638</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45638</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45638</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45638</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45638</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45638</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45638</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45638</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45638</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45638</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45638</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45638</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45638</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45638</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45638</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45638</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45638</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45638</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45638</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45638</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45638</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45638</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45638</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45638</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45638</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45638</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45638</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45638</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45638</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45638</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45638</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45638</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45638</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45638</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45638</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45638</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45638</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45638</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45638</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45638</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45638</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45638</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45638</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45638</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45638</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45638</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45638</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45638</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45638</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45638</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45638</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45638</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45638</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45638</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45638</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45638</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45638</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45638</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45638</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45638</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45638</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45638</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45638</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45638</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45638</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45638</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45638</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45638</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45638</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45638</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45638</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45638</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45638</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45638</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45638</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45638</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45638</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45638</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45638</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45638</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45638</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45638</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45638</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45638</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45638</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45638</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45638</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45638</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45638</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45638</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45638</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45638</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45638</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45638</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45638</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45638</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45638</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45638</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45638</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45638</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45638</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45638</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45638</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45638</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45638</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45638</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45638</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45638</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45638</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45638</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45638</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45638</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45638</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45638</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45638</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45638</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45638</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45638</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45638</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45638</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45638</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45638</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45638</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45638</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45638</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45638</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45638</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45638</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45638</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45638</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45638</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45638</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45638</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45638</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45638</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45638</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45638</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45638</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45638</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45638</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45638</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45638</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45638</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45638</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45638</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45638</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45638</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45638</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45638</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45638</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45638</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45638</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45638</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45638</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45638</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45638</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45638</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45638</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45638</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45638</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45638</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45638</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45638</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45638</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45638</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45638</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45638</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45638</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45638</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45638</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45638</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45638</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45638</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45638</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45638</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45638</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45638</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45638</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45638</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45638</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45638</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45638</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45638</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45638</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45638</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45638</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45638</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45638</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45638</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45638</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45638</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45638</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45638</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45638</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45638</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45638</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45638</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45638</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45638</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45638</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45638</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45638</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45638</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45638</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45638</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45638</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45638</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45638</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45638</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45638</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45638</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45638</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45638</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45638</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45638</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45638</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45638</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45638</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45638</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45638</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45638</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45638</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45638</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45638</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45638</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45638</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45638</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45638</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45638</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45638</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45638</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45638</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45638</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45638</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45638</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45638</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45638</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45638</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45638</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45638</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45638</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45638</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45638</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45638</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45638</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45638</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45638</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45638</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45638</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45638</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45638</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45638</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45638</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45638</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45638</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45638</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45638</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45638</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45638</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45638</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45638</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45638</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45638</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45638</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45638</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45638</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45638</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45638</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45638</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45638</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45638</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45638</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45638</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45638</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45638</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45638</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45638</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45638</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45638</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45638</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45638</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45638</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45638</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45638</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45638</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45638</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45638</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45638</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45638</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45638</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45638</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45638</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45638</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45638</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45638</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45638</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45638</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45638</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45638</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45638</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45638</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45638</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45638</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45638</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45638</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45638</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45638</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45638</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45638</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45638</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45638</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45638</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45638</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45638</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45638</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45638</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45638</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45638</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45638</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45638</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45638</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45638</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45638</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45638</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45638</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45638</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45638</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45638</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45638</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45638</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45638</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45638</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45638</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45638</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45638</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45638</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45638</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45638</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45638</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45638</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45638</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45638</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45638</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45638</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45638</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45638</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45638</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45638</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45638</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45638</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45638</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45638</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45638</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45638</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45638</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45638</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45638</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45638</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45638</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45638</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45638</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45638</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45638</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45638</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45638</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45638</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45638</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45638</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45638</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45638</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45638</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45638</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45638</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45638</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45638</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45638</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45638</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45638</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45638</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45638</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45638</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45638</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45638</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45638</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45638</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45638</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45638</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45638</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45638</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45638</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45638</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45638</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45638</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45638</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45638</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45638</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45638</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45638</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45638</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45638</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45638</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45638</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45638</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45638</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45638</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45638</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45638</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45638</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45638</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45638</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45638</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45638</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45638</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45638</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45638</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45638</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45638</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45638</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45638</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45638</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45638</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45638</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45638</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45638</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45638</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45638</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45638</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45638</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45638</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45638</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45638</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45638</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45638</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45638</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45638</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45638</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45638</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45638</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45638</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45638</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45638</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45638</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45638</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45638</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45638</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45638</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45638</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45638</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45638</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45638</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45638</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45638</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45638</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45638</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45638</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45638</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45638</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45638</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45638</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45638</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45638</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45638</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45638</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45638</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45638</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45638</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45638</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45638</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45638</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45638</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45638</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45638</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45638</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45638</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45638</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45638</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45638</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45638</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45638</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45638</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45638</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45638</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45638</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45638</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45638</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45638</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45638</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45638</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45638</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45638</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45638</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45638</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45638</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45638</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45638</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45638</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45638</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45638</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45638</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45638</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45638</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45638</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45638</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45638</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45638</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45638</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45638</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45638</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45638</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45638</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45638</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45638</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45638</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45638</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45638</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45638</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45638</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45638</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45638</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45638</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45638</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45638</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45638</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45638</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45638</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45638</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45638</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45638</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45638</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45638</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45638</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45638</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45638</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45638</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45638</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45638</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45638</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45638</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45638</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45638</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45638</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45638</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45638</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45638</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45638</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45638</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45638</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45638</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45638</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45638</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45638</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45638</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45638</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45638</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45638</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45638</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45638</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45638</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45638</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45638</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45638</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45638</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45638</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45638</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45638</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45638</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45638</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45638</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45638</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45638</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45638</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45638</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45638</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45638</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45638</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45638</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45638</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45638</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45638</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45638</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45638</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45638</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45638</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45638</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45638</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45638</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45638</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45638</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45638</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45638</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45638</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45638</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45638</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45638</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45638</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45638</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45638</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45638</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45638</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45638</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45638</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45638</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45638</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45638</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45638</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45638</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45638</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45638</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45638</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45638</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45638</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45638</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45638</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45638</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45638</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45638</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45638</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45638</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45638</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45638</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45638</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45638</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45638</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45638</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45638</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45638</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45638</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45638</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45638</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45638</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45638</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45638</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45638</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45638</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45638</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45638</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45638</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45638</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45638</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45638</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45638</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45638</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45638</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45638</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45638</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45638</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45638</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45638</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45638</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45638</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45638</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45638</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45638</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45638</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45638</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45638</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45638</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45638</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45638</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45638</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45638</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45638</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45638</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45638</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45638</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45638</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45638</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45638</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45638</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45638</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45638</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45638</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45638</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45638</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45638</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45638</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45638</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45638</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45638</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45638</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45638</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45638</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45638</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45638</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45638</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45638</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45638</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45638</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45638</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45638</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45638</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45638</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45638</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45638</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45638</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45638</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45638</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45638</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45638</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45638</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45638</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45638</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45638</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45638</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45638</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45638</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45638</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45638</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45638</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45638</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45638</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45638</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45638</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45638</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45638</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45638</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45638</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45638</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45638</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45638</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45638</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45638</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45638</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45638</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45638</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45638</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45638</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45638</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45638</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45638</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45638</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45638</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45638</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45638</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45638</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45638</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45638</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45638</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45638</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45638</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45638</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45638</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45638</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45638</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45638</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45638</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45638</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45638</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45638</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45638</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45638</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45638</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45638</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45638</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45638</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45638</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45638</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45638</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45638</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45638</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45638</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45638</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45638</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45638</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45638</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45638</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45638</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45638</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45638</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45638</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45638</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45638</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45638</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45638</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45638</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45638</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45638</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45638</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45638</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45638</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45638</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45638</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45638</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45638</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45638</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45638</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45638</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45638</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45638</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45638</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45638</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45638</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45638</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45638</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45638</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45638</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45638</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45638</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45638</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45638</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45638</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45638</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45638</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45638</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45638</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45638</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45638</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45638</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45638</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45638</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45638</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45638</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45638</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45638</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45638</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45638</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45638</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45638</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45638</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45638</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45638</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45638</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45638</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45638</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45638</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45638</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45638</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45638</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45638</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45638</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45638</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45638</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45638</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45638</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45638</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45638</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45638</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45638</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45638</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45638</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45638</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45638</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45638</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45638</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45638</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45638</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45638</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45638</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45638</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45638</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45638</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45638</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45638</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45638</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45638</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45638</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45638</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45638</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45638</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45638</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45638</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45638</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45638</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45638</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45638</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45638</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45638</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45638</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45638</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45638</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45638</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45638</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45638</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45638</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45638</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45638</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45638</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45638</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45638</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45638</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45638</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45638</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45638</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45638</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45638</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45638</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45638</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45638</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45638</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45638</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45638</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45638</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45638</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45638</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45638</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45638</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45638</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45638</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45638</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45638</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45638</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45638</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45638</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45638</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45638</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45638</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45638</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45638</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45638</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45638</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45638</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45638</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45638</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45638</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45638</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45638</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45638</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45638</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45638</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45638</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45638</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45638</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45638</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45638</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45638</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45638</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45638</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45638</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45638</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45638</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45638</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45638</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45638</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45638</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45638</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45638</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45638</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45638</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45638</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45638</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45638</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45638</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45638</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45638</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45638</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45638</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45638</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45638</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45638</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45638</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45638</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45638</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45638</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45638</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45638</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45638</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45638</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45638</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45638</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45638</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45638</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45638</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45638</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45638</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45638</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45638</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45638</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45638</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45638</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45638</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45638</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45638</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45638</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45638</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45638</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45638</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45638</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45638</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45638</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45638</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45638</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45638</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45638</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45638</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45638</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45638</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45638</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45638</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45638</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45638</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45638</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45638</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45638</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45638</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45638</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45638</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45638</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45638</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45638</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45638</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45638</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45638</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45638</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45638</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45638</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45638</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45638</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45638</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45638</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45638</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45638</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45638</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45638</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45638</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45638</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45638</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45638</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45638</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45638</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45638</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45638</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45638</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45638</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45638</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45638</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45638</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45638</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45638</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45638</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45638</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45638</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45638</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45638</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45638</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45638</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45638</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45638</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45638</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45638</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45638</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45638</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45638</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45638</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45638</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45638</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45638</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45638</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45638</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45638</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45638</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45638</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45638</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45638</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45638</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45638</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45638</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45638</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45638</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45638</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45638</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45638</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45638</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45638</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45638</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45638</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45638</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45638</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45638</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45638</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45638</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45638</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45638</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45638</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45638</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45638</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45638</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45638</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45638</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45638</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45638</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45638</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45638</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45638</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45638</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45638</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45638</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45638</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45638</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45638</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45638</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45638</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45638</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45638</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45638</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45638</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45638</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45638</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45638</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45638</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45638</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45638</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45638</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45638</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45638</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45638</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45638</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45638</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45638</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45638</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45638</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45638</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45638</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45638</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45638</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45638</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45638</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45638</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45638</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45638</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45638</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45638</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45638</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45638</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45638</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45638</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45638</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45638</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45638</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45638</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45638</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45638</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45638</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45638</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45638</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45638</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45638</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45638</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45638</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45638</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45638</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45638</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45638</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45638</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45638</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45638</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45638</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45638</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45638</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45638</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45638</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45638</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45638</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45638</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45638</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45638</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45638</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45638</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45638</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45638</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45638</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45638</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45638</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45638</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45638</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45638</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45638</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45638</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45638</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45638</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45638</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45638</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45638</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45638</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45638</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45638</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45638</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45638</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45638</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45638</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45638</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45638</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45638</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45638</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45638</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45638</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45638</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45638</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45638</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45638</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45638</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45638</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45638</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45638</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45638</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45638</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45638</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45638</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45638</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45638</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45638</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45638</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45638</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45638</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45638</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45638</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45638</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45638</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45638</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45638</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45638</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45638</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45638</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45638</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45638</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45638</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45638</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45638</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45638</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45638</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45638</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45638</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45638</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45638</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45638</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45638</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45638</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45638</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45638</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45638</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45638</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45638</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45638</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45638</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45638</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45638</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45638</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45638</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45638</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45638</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45638</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45638</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45638</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45638</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45638</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45638</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45638</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45638</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45638</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45638</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45638</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45638</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45638</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45638</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45638</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45638</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45638</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45638</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45638</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45638</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45638</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45638</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45638</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45638</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45638</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45638</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45638</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45638</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45638</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45638</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45638</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45638</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45638</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45638</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45638</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45638</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45638</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45638</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45638</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45638</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45638</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45638</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45638</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45638</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45638</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45638</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45638</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45638</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45638</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45638</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45638</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45638</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45638</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45638</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45638</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45638</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45638</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45638</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45638</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45638</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45638</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45638</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45638</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45638</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45638</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45638</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45638</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45638</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45638</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45638</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45638</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45638</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45638</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45638</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45638</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45638</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45638</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45638</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45638</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45638</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45638</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45638</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45638</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45638</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45638</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45638</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45638</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45638</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45638</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45638</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45638</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45638</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45638</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45638</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45638</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45638</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45638</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45638</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45638</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45638</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45638</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45638</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45638</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45638</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45638</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45638</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45638</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45638</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45638</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45638</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45638</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45638</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45638</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45638</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45638</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45638</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45638</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45638</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45638</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45638</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45638</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45638</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45638</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45638</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45638</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45638</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45638</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45638</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45638</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45638</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45638</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45638</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45638</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45638</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45638</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45638</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45638</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45638</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45638</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45638</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45638</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45638</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45638</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45638</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45638</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45638</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45638</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45638</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45638</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45638</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45638</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45638</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45638</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45638</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45638</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45638</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45638</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45638</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45638</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45638</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45638</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45638</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45638</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45638</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45638</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45638</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45638</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45638</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45638</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45638</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45638</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45638</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45638</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45638</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45638</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45638</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45638</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45638</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45638</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45638</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45638</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45638</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45638</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45638</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45638</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45638</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45638</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45638</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45638</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45638</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45638</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45638</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45638</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45638</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45638</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45638</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45638</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45638</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45638</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45638</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45638</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45638</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45638</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45638</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45638</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45638</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45638</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45638</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45638</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45638</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45638</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45638</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45638</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45638</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45638</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45638</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45638</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45638</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45638</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45638</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45638</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45638</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45638</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45638</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45638</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45638</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45638</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45638</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45638</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45638</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45638</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45638</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45638</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45638</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45638</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45638</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45638</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45638</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45638</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45638</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45638</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45638</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45638</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45638</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45638</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45638</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45638</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45638</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45638</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45638</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45638</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45638</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45638</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45638</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45638</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45638</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45638</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45638</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45638</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45638</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45638</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45638</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45638</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45638</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45638</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45638</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45638</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45638</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45638</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45638</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45638</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45638</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45638</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45638</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45638</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45638</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45638</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45638</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45638</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45638</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45638</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45638</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45638</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45638</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45638</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45638</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45638</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45638</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45638</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45638</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45638</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45638</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45638</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45638</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45638</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45638</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45638</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45638</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45638</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45638</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45638</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45638</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45638</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45638</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45638</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45638</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45638</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45638</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45638</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45638</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45638</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45638</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45638</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45638</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45638</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45638</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45638</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45638</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45638</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45638</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45638</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45638</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45638</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45638</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45638</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45638</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45638</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45638</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45638</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45638</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45638</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45638</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45638</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45638</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45638</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45638</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45638</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45638</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45638</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45638</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45638</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45638</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45638</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45638</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45638</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45638</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45638</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45638</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45638</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45638</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45638</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45638</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45638</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45638</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45638</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45638</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45638</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45638</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45638</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45638</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45638</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45638</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45638</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45638</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45638</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45638</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45638</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45638</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45638</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45638</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45638</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45638</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45638</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45638</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45638</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45638</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45638</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45638</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45638</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45638</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45638</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45638</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45638</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45638</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45638</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45638</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45638</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45638</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45638</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45638</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45638</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45638</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45638</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45638</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45638</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45638</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45638</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45638</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45638</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45638</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45638</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45638</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45638</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45638</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45638</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45638</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45638</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45638</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45638</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45638</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45638</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45638</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45638</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45638</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45638</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45638</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45638</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45638</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45638</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45638</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45638</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45638</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45638</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45638</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45638</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45638</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45638</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45638</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45638</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45638</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45638</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45638</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45638</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45638</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45638</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45638</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45638</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45638</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45638</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45638</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45638</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45638</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45638</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45638</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45638</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45638</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45638</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45638</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45638</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45638</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45638</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45638</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45638</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45638</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45638</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45638</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45638</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45638</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45638</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45638</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45638</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45638</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45638</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45638</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45638</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45638</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45638</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45638</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45638</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45638</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45638</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45638</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45638</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45638</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45638</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45638</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45638</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45638</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45638</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45638</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45638</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45638</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45638</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45638</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45638</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45638</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45638</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45638</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45638</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45638</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45638</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45638</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45638</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45638</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45638</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45638</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45638</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45638</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45638</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45638</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45638</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45638</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45638</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45638</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45638</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45638</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45638</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45638</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45638</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45638</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45638</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45638</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45638</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45638</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45638</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45638</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45638</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45638</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45638</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45638</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45638</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45638</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45638</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45638</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45638</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45638</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45638</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45638</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45638</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45638</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45638</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45638</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45638</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45638</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45638</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45638</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45638</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45638</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45638</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45638</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45638</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45638</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45638</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45638</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45638</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45638</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45638</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45638</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45638</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45638</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45638</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45638</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45638</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45638</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45638</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45638</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45638</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45638</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45638</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45638</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45638</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45638</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45638</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45638</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45638</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45638</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45638</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45638</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45638</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45638</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45638</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45638</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45638</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45638</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45638</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45638</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45638</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45638</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45638</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45638</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45638</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45638</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45638</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45638</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45638</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45638</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45638</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45638</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45638</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45638</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45638</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45638</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45638</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45638</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45638</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45638</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45638</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45638</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45638</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45638</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45638</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45638</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45638</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45638</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45638</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45638</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45638</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45638</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45638</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45638</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45638</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45638</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45638</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45638</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45638</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45638</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45638</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45638</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45638</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45638</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45638</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45638</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45638</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45638</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45638</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45638</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45638</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45638</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45638</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45638</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45638</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45638</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45638</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45638</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45638</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45638</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45638</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45638</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45638</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45638</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45638</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45638</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45638</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45638</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45638</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45638</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45638</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45638</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45638</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45638</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45638</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45638</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45638</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45638</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45638</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45638</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45638</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45638</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45638</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45638</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45638</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45638</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45638</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45638</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45638</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45638</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45638</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45638</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45638</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45638</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45638</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45638</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45638</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45638</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45638</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45638</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45638</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45638</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45638</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45638</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45638</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45638</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45638</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45638</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45638</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45638</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45638</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45638</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45638</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45638</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45638</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45638</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45638</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45638</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45638</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45638</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45638</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45638</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45638</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45638</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45638</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45638</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45638</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45638</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45638</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45638</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45638</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45638</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45638</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45638</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45638</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45638</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45638</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45638</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45638</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45638</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45638</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45638</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45638</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45638</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45638</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45638</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45638</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45638</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45638</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45638</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45638</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45638</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45638</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45638</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45638</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45638</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45638</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45638</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45638</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45638</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45638</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45638</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45638</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45638</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45638</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45638</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45638</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45638</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45638</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45638</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45638</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45638</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45638</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45638</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45638</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45638</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45638</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45638</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45638</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45638</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45638</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45638</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45638</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45638</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45638</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45638</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45638</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45638</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45638</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45638</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45638</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45638</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45638</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45638</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45638</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45638</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45638</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45638</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45638</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45638</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45638</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45638</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45638</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45638</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45638</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45638</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45638</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45638</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45638</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45638</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45638</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45638</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45638</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45638</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45638</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45638</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45638</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45638</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45638</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45638</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45638</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45638</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45638</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45638</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45638</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45638</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45638</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45638</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45638</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45638</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45638</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45638</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45638</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45638</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45638</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45638</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45638</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45638</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45638</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45638</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45638</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45638</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45638</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45638</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45638</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45638</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45638</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45638</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45638</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45638</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45638</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45638</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45638</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45638</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45638</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45638</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45638</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45638</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45638</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45638</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45638</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45638</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45638</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45638</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45638</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45638</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45638</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45638</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45638</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45638</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45638</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45638</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45638</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45638</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45638</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45638</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45638</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45638</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45638</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45638</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45638</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45638</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45638</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45638</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45638</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45638</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45638</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45638</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45638</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45638</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45638</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45638</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45638</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45638</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45638</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45638</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45638</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45638</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45638</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45638</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45638</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45638</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45638</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45638</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45638</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45638</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45638</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45638</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45638</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45638</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45638</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45638</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45638</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45638</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45638</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45638</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45638</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45638</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45638</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45638</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45638</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45638</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45638</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45638</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45638</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45638</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45638</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45638</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45638</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45638</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45638</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45638</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45638</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45638</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45638</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45638</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45638</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45638</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45638</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45638</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45638</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45638</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45638</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45638</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45638</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45638</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45638</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45638</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45638</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45638</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45638</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45638</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45638</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45638</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45638</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45638</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45638</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45638</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45638</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45638</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45638</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45638</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45638</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45638</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45638</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45638</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45638</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45638</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45638</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45638</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45638</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45638</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45638</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45638</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45638</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45638</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45638</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45638</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45638</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45638</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45638</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45638</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45638</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45638</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45638</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45638</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45638</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45638</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45638</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45638</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45638</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45638</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45638</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45638</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45638</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45638</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45638</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45638</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45638</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45638</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45638</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45638</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45638</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45638</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45638</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45638</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45638</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45638</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45638</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45638</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45638</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45638</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45638</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45638</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45638</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45638</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45638</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45638</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45638</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45638</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45638</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45638</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45638</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45638</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45638</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45638</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45638</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45638</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45638</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45638</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45638</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45638</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45638</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45638</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45638</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45638</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45638</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45638</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45638</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45638</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45638</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45638</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45638</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45638</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45638</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45638</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45638</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45638</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45638</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45638</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45638</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45638</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45638</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45638</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45638</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45638</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45638</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45638</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45638</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45638</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45638</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45638</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45638</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45638</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45638</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45638</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45638</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45638</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45638</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45638</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45638</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45638</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45638</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45638</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45638</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45638</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45638</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45638</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45638</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45638</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45638</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45638</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45638</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45638</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45638</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45638</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45638</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45638</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45638</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45638</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45638</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45638</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45638</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45638</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45638</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45638</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45638</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45638</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45638</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45638</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45638</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45638</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45638</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45638</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45638</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45638</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45638</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45638</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45638</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45638</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45638</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45638</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45638</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45638</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45638</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45638</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45638</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45638</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45638</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45638</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45638</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45638</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45638</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45638</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45638</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45638</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45638</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45638</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45638</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45638</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45638</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45638</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45638</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45638</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45638</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45638</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45638</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45638</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45638</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45638</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45638</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45638</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45638</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45638</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45638</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45638</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45638</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45638</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45638</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45638</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45638</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45638</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45638</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45638</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45638</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45638</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45638</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45638</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45638</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45638</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45638</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45638</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45638</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45638</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45638</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45638</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45638</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45638</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45638</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45638</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45638</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45638</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45638</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45638</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45638</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45638</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45638</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45638</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45638</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45638</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45638</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45638</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45638</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45638</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45638</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45638</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45638</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45638</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45638</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45638</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45638</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45638</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45638</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45638</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45638</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45638</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45638</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45638</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45638</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45638</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45638</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45638</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45638</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45638</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45638</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45638</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45638</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45638</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45638</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45638</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45638</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45638</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45638</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45638</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45638</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45638</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45638</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45638</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45638</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45638</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45638</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45638</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45638</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45638</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45638</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45638</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45638</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45638</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45638</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45638</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45638</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45638</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45638</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45638</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45638</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45638</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45638</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45638</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45638</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45638</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45638</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45638</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45638</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45638</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45638</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45638</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45638</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45638</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45638</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45638</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45638</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45638</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45638</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45638</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45638</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45638</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45638</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45638</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45638</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45638</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45638</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45638</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45638</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45638</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45638</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45638</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45638</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45638</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45638</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45638</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45638</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45638</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45638</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45638</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45638</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45638</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45638</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45638</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45638</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45638</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45638</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45638</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45638</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45638</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45638</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45638</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45638</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45638</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45638</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45638</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45638</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45638</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45638</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45638</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45638</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45638</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45638</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45638</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45638</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45638</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45638</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45638</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45638</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45638</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45638</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45638</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45638</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45638</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45638</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45638</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45638</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45638</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45638</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45638</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45638</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45638</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45638</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45638</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45638</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45638</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45638</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45638</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45638</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45638</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45638</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45638</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45638</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45638</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45638</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45638</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45638</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45638</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45638</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45638</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45638</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45638</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45638</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45638</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45638</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45638</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45638</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45638</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45638</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45638</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45638</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45638</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45638</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45638</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45638</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45638</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45638</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45638</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45638</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45638</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45638</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45638</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45638</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45638</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45638</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45638</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45638</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45638</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45638</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45638</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45638</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45638</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45638</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45638</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45638</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45638</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45638</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45638</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45638</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45638</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45638</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45638</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45638</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45638</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45638</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45638</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45638</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45638</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45638</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45638</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45638</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45638</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45638</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45638</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45638</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45638</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45638</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45638</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45638</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45638</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45638</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45638</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45638</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45638</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45638</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45638</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45638</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45638</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45638</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45638</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45638</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45638</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45638</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45638</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45638</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45638</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45638</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45638</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45638</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45638</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45638</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45638</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45638</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45638</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45638</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45638</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45638</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45638</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45638</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45638</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45638</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45638</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45638</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45638</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45638</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45638</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45638</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45638</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45638</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45638</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45638</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45638</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45638</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45638</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45638</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45638</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45638</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45638</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45638</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45638</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45638</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45638</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45638</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45638</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45638</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45638</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45638</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45638</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45638</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45638</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45638</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45638</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45638</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45638</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45638</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45638</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45638</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45638</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45638</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45638</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45638</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45638</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45638</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45638</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45638</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45638</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45638</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45638</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45638</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45638</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45638</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45638</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45638</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45638</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45638</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45638</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45638</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45638</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45638</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45638</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45638</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45638</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45638</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45638</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45638</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45638</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45638</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45638</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45638</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45638</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45638</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45638</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45638</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45638</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45638</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45638</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45638</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45638</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45638</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45638</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45638</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45638</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45638</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45638</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45638</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45638</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45638</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45638</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45638</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45638</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45638</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45638</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45638</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45638</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45638</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45638</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45638</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45638</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45638</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45638</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45638</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45638</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45638</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45638</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45638</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45638</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45638</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45638</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45638</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45638</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45638</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45638</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45638</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45638</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45638</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45638</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45638</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45638</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45638</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45638</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45638</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45638</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45638</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45638</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45638</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45638</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45638</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45638</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45638</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45638</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45638</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45638</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45638</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45638</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45638</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45638</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45638</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45638</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45638</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45638</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45638</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45638</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45638</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45638</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45638</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45638</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45638</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45638</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45638</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45638</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45638</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45638</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45638</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45638</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45638</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45638</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45638</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45638</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45638</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45638</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45638</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45638</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45638</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45638</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45638</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45638</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45638</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45638</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45638</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45638</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45638</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45638</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45638</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45638</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45638</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45638</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45638</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45638</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45638</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45638</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45638</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45638</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45638</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45638</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45638</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45638</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45638</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45638</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45638</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45638</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45638</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45638</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45638</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45638</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45638</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45638</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45638</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45638</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45638</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45638</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45638</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45638</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45638</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45638</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45638</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45638</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45638</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45638</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45638</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45638</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45638</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45638</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45638</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45638</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45638</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45638</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45638</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45638</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45638</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45638</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45638</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45638</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45638</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45638</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45638</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45638</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45638</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45638</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45638</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45638</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45638</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45638</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45638</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45638</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45638</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45638</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45638</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45638</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45638</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45638</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45638</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45638</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45638</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45638</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45638</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45638</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45638</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45638</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45638</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45638</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45638</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45638</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45638</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45638</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45638</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45638</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45638</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45638</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45638</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45638</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45638</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45638</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45638</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45638</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45638</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45638</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45638</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45638</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45638</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45638</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45638</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45638</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45638</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45638</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45638</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45638</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45638</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45638</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45638</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45638</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45638</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45638</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45638</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45638</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45638</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45638</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45638</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45638</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45638</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45638</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45638</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45638</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45638</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45638</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45638</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45638</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45638</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45638</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45638</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45638</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45638</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45638</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45638</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45638</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45638</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45638</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45638</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45638</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45638</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45638</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45638</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45638</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45638</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45638</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45638</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45638</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45638</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45638</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45638</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45638</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45638</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45638</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45638</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45638</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45638</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45638</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45638</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45638</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45638</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45638</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45638</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45638</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45638</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45638</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45638</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45638</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45638</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45638</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45638</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45638</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45638</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45638</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45638</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45638</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45638</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45638</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45638</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45638</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45638</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45638</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45638</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45638</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45638</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45638</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45638</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45638</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45638</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45638</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45638</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45638</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45638</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45638</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45638</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45638</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45638</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45638</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45638</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45638</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45638</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45638</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45638</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45638</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45638</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45638</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45638</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45638</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45638</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45638</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45638</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45638</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45638</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45638</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45638</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45638</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45638</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45638</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45638</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45638</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45638</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45638</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45638</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45638</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45638</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45638</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45638</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45638</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45638</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45638</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45638</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45638</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45638</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45638</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45638</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45638</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45638</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45638</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45638</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45638</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45638</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45638</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45638</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45638</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45638</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45638</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45638</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45638</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45638</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45638</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45638</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45638</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45638</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45638</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45638</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45638</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45638</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45638</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45638</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45638</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45638</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45638</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45638</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45638</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45638</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45638</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45638</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45638</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45638</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45638</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45638</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45638</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45638</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45638</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45638</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45638</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45638</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45638</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45638</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45638</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45638</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45638</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45638</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45638</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45638</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45638</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45638</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45638</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45638</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45638</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45638</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45638</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45638</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45638</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45638</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45638</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45638</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45638</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45638</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45638</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45638</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45638</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45638</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45638</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45638</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45638</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45638</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45638</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45638</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45638</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45638</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45638</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45638</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45638</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45638</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45638</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45638</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45638</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45638</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45638</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45638</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45638</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45638</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45638</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45638</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45638</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45638</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45638</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45638</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45638</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45638</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45638</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45638</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45638</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45638</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45638</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45638</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45638</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45638</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45638</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45638</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45638</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45638</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45638</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45638</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45638</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45638</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45638</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45638</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45638</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45638</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45638</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45638</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45638</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45638</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45638</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45638</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45638</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45638</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45638</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45638</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45638</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45638</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45638</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45638</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45638</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45638</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45638</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45638</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45638</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45638</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45638</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45638</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45638</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45638</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45638</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45638</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45638</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45638</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45638</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45638</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45638</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45638</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45638</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45638</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45638</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45638</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45638</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45638</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45638</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45638</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45638</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45638</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45638</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45638</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45638</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45638</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45638</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45638</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45638</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45638</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45638</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45638</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45638</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45638</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45638</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45638</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45638</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45638</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45638</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45638</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45638</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45638</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45638</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45638</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45638</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45638</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45638</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45638</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45638</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45638</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45638</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45638</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45638</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45638</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45638</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45638</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45638</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45638</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45638</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45638</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45638</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45638</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45638</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45638</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45638</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45638</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45638</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45638</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45638</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45638</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45638</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45638</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45638</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45638</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45638</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45638</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45638</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45638</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45638</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45638</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45638</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45638</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45638</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45638</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45638</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45638</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45638</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45638</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45638</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45638</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45638</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45638</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45638</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45638</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45638</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45638</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45638</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45638</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45638</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45638</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45638</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45638</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45638</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45638</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45638</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45638</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45638</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45638</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45638</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45638</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45638</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45638</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45638</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45638</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45638</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45638</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45638</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45638</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45638</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45638</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45638</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45638</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45638</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45638</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45638</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45638</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45638</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45638</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45638</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45638</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45638</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45638</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45638</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45638</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45638</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45638</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45638</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45638</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45638</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45638</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45638</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45638</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45638</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45638</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45638</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45638</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45638</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45638</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45638</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45638</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45638</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45638</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45638</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45638</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45638</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45638</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45638</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45638</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45638</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45638</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45638</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45638</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45638</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45638</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45638</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45638</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45638</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45638</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45638</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45638</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45638</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45638</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45638</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45638</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45638</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45638</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45638</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45638</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45638</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45638</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45638</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45638</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45638</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45638</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45638</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45638</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45638</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45638</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45638</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45638</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45638</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45638</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45638</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45638</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45638</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45638</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45638</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45638</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45638</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45638</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45638</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45638</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45638</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45638</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45638</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45638</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45638</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45638</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45638</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45638</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45638</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45638</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45638</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45638</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45638</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45638</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45638</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45638</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45638</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45638</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45638</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45638</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45638</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45638</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45638</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45638</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45638</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45638</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45638</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45638</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45638</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45638</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45638</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45638</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45638</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45638</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45638</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45638</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45638</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45638</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45638</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45638</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45638</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45638</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45638</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45638</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45638</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45638</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45638</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45638</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45638</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45638</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45638</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45638</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45638</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45638</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45638</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45638</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45638</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45638</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45638</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45638</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45638</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45638</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45638</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45638</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45638</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45638</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45638</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45638</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45638</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45638</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45638</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45638</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45638</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45638</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45638</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45638</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45638</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45638</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45638</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45638</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45638</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45638</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45638</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45638</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45638</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45638</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45638</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45638</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45638</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45638</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45638</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45638</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45638</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45638</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45638</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45638</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45638</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45638</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45638</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45638</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45638</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45638</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45638</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45638</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45638</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45638</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45638</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45638</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45638</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45638</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45638</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45638</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45638</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45638</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45638</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45638</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45638</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45638</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45638</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45638</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45638</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45638</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45638</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45638</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45638</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45638</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45638</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45638</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45638</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45638</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45638</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45638</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45638</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45638</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45638</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45638</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45638</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45638</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45638</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45638</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45638</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45638</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45638</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45638</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45638</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45638</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45638</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45638</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45638</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45638</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45638</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45638</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45638</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45638</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45638</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45638</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45638</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45638</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45638</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45638</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45638</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45638</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45638</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45638</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45638</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45638</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45638</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45638</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45638</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45638</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45638</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45638</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45638</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45638</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45638</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45638</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45638</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45638</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45638</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45638</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45638</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45638</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45638</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45638</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45638</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45638</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45638</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45638</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45638</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45638</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45638</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45638</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45638</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45638</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45638</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45638</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45638</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45638</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45638</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45638</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45638</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45638</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45638</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45638</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45638</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45638</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45638</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45638</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45638</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45638</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45638</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45638</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45638</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45638</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45638</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45638</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45638</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45638</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45638</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45638</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45638</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45638</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45638</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45638</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45638</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45638</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45638</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45638</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45638</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45638</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45638</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45638</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45638</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45638</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45638</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45638</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45638</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45638</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45638</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45638</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45638</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45638</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45638</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45638</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45638</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45638</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45638</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45638</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45638</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45638</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45638</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45638</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45638</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45638</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45638</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45638</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45638</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45638</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45638</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45638</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45638</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45638</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45638</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45638</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45638</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45638</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45638</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45638</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45638</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45638</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45638</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45638</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45638</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45638</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45638</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45638</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45638</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45638</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45638</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45638</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45638</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45638</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45638</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45638</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45638</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45638</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45638</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45638</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45638</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45638</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52517-2024</t>
        </is>
      </c>
      <c r="B7084" s="1" t="n">
        <v>45609</v>
      </c>
      <c r="C7084" s="1" t="n">
        <v>45638</v>
      </c>
      <c r="D7084" t="inlineStr">
        <is>
          <t>SÖDERMANLANDS LÄN</t>
        </is>
      </c>
      <c r="E7084" t="inlineStr">
        <is>
          <t>ESKILSTUNA</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45638</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52452-2024</t>
        </is>
      </c>
      <c r="B7086" s="1" t="n">
        <v>45609</v>
      </c>
      <c r="C7086" s="1" t="n">
        <v>45638</v>
      </c>
      <c r="D7086" t="inlineStr">
        <is>
          <t>SÖDERMANLANDS LÄN</t>
        </is>
      </c>
      <c r="E7086" t="inlineStr">
        <is>
          <t>STRÄNGNÄS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52450-2024</t>
        </is>
      </c>
      <c r="B7087" s="1" t="n">
        <v>45609</v>
      </c>
      <c r="C7087" s="1" t="n">
        <v>45638</v>
      </c>
      <c r="D7087" t="inlineStr">
        <is>
          <t>SÖDERMANLANDS LÄN</t>
        </is>
      </c>
      <c r="E7087" t="inlineStr">
        <is>
          <t>STRÄNGNÄS</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52502-2024</t>
        </is>
      </c>
      <c r="B7088" s="1" t="n">
        <v>45609</v>
      </c>
      <c r="C7088" s="1" t="n">
        <v>45638</v>
      </c>
      <c r="D7088" t="inlineStr">
        <is>
          <t>SÖDERMANLANDS LÄN</t>
        </is>
      </c>
      <c r="E7088" t="inlineStr">
        <is>
          <t>ESKILSTUNA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52630-2024</t>
        </is>
      </c>
      <c r="B7089" s="1" t="n">
        <v>45610</v>
      </c>
      <c r="C7089" s="1" t="n">
        <v>45638</v>
      </c>
      <c r="D7089" t="inlineStr">
        <is>
          <t>SÖDERMANLANDS LÄN</t>
        </is>
      </c>
      <c r="E7089" t="inlineStr">
        <is>
          <t>KATRINEHOLM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52775-2024</t>
        </is>
      </c>
      <c r="B7090" s="1" t="n">
        <v>45610</v>
      </c>
      <c r="C7090" s="1" t="n">
        <v>45638</v>
      </c>
      <c r="D7090" t="inlineStr">
        <is>
          <t>SÖDERMANLANDS LÄN</t>
        </is>
      </c>
      <c r="E7090" t="inlineStr">
        <is>
          <t>FLEN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53181-2024</t>
        </is>
      </c>
      <c r="B7091" s="1" t="n">
        <v>45611</v>
      </c>
      <c r="C7091" s="1" t="n">
        <v>45638</v>
      </c>
      <c r="D7091" t="inlineStr">
        <is>
          <t>SÖDERMANLANDS LÄN</t>
        </is>
      </c>
      <c r="E7091" t="inlineStr">
        <is>
          <t>ESKILSTUNA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53285-2024</t>
        </is>
      </c>
      <c r="B7092" s="1" t="n">
        <v>45611</v>
      </c>
      <c r="C7092" s="1" t="n">
        <v>45638</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53071-2024</t>
        </is>
      </c>
      <c r="B7093" s="1" t="n">
        <v>45611</v>
      </c>
      <c r="C7093" s="1" t="n">
        <v>45638</v>
      </c>
      <c r="D7093" t="inlineStr">
        <is>
          <t>SÖDERMANLANDS LÄN</t>
        </is>
      </c>
      <c r="E7093" t="inlineStr">
        <is>
          <t>NYKÖPING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45638</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53467-2024</t>
        </is>
      </c>
      <c r="B7095" s="1" t="n">
        <v>45614</v>
      </c>
      <c r="C7095" s="1" t="n">
        <v>45638</v>
      </c>
      <c r="D7095" t="inlineStr">
        <is>
          <t>SÖDERMANLANDS LÄN</t>
        </is>
      </c>
      <c r="E7095" t="inlineStr">
        <is>
          <t>ESKILSTUNA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54025-2024</t>
        </is>
      </c>
      <c r="B7096" s="1" t="n">
        <v>45614</v>
      </c>
      <c r="C7096" s="1" t="n">
        <v>45638</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53896-2024</t>
        </is>
      </c>
      <c r="B7097" s="1" t="n">
        <v>45614</v>
      </c>
      <c r="C7097" s="1" t="n">
        <v>45638</v>
      </c>
      <c r="D7097" t="inlineStr">
        <is>
          <t>SÖDERMANLANDS LÄN</t>
        </is>
      </c>
      <c r="E7097" t="inlineStr">
        <is>
          <t>ESKILSTUNA</t>
        </is>
      </c>
      <c r="G7097" t="n">
        <v>6.5</v>
      </c>
      <c r="H7097" t="n">
        <v>0</v>
      </c>
      <c r="I7097" t="n">
        <v>0</v>
      </c>
      <c r="J7097" t="n">
        <v>0</v>
      </c>
      <c r="K7097" t="n">
        <v>0</v>
      </c>
      <c r="L7097" t="n">
        <v>0</v>
      </c>
      <c r="M7097" t="n">
        <v>0</v>
      </c>
      <c r="N7097" t="n">
        <v>0</v>
      </c>
      <c r="O7097" t="n">
        <v>0</v>
      </c>
      <c r="P7097" t="n">
        <v>0</v>
      </c>
      <c r="Q7097" t="n">
        <v>0</v>
      </c>
      <c r="R7097" s="2" t="inlineStr"/>
      <c r="U7097">
        <f>HYPERLINK("https://klasma.github.io/Logging_0484/knärot/A 53896-2024 karta knärot.png", "A 53896-2024")</f>
        <v/>
      </c>
      <c r="V7097">
        <f>HYPERLINK("https://klasma.github.io/Logging_0484/klagomål/A 53896-2024 FSC-klagomål.docx", "A 53896-2024")</f>
        <v/>
      </c>
      <c r="W7097">
        <f>HYPERLINK("https://klasma.github.io/Logging_0484/klagomålsmail/A 53896-2024 FSC-klagomål mail.docx", "A 53896-2024")</f>
        <v/>
      </c>
      <c r="X7097">
        <f>HYPERLINK("https://klasma.github.io/Logging_0484/tillsyn/A 53896-2024 tillsynsbegäran.docx", "A 53896-2024")</f>
        <v/>
      </c>
      <c r="Y7097">
        <f>HYPERLINK("https://klasma.github.io/Logging_0484/tillsynsmail/A 53896-2024 tillsynsbegäran mail.docx", "A 53896-2024")</f>
        <v/>
      </c>
    </row>
    <row r="7098" ht="15" customHeight="1">
      <c r="A7098" t="inlineStr">
        <is>
          <t>A 53933-2024</t>
        </is>
      </c>
      <c r="B7098" s="1" t="n">
        <v>45615</v>
      </c>
      <c r="C7098" s="1" t="n">
        <v>45638</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53851-2024</t>
        </is>
      </c>
      <c r="B7099" s="1" t="n">
        <v>45615</v>
      </c>
      <c r="C7099" s="1" t="n">
        <v>45638</v>
      </c>
      <c r="D7099" t="inlineStr">
        <is>
          <t>SÖDERMANLANDS LÄN</t>
        </is>
      </c>
      <c r="E7099" t="inlineStr">
        <is>
          <t>KATRINEHOLM</t>
        </is>
      </c>
      <c r="G7099" t="n">
        <v>9.300000000000001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45638</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54228-2024</t>
        </is>
      </c>
      <c r="B7101" s="1" t="n">
        <v>45616</v>
      </c>
      <c r="C7101" s="1" t="n">
        <v>45638</v>
      </c>
      <c r="D7101" t="inlineStr">
        <is>
          <t>SÖDERMANLANDS LÄN</t>
        </is>
      </c>
      <c r="E7101" t="inlineStr">
        <is>
          <t>NYKÖPING</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54269-2024</t>
        </is>
      </c>
      <c r="B7102" s="1" t="n">
        <v>45616</v>
      </c>
      <c r="C7102" s="1" t="n">
        <v>45638</v>
      </c>
      <c r="D7102" t="inlineStr">
        <is>
          <t>SÖDERMANLANDS LÄN</t>
        </is>
      </c>
      <c r="E7102" t="inlineStr">
        <is>
          <t>STRÄNGNÄS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54163-2024</t>
        </is>
      </c>
      <c r="B7103" s="1" t="n">
        <v>45616</v>
      </c>
      <c r="C7103" s="1" t="n">
        <v>45638</v>
      </c>
      <c r="D7103" t="inlineStr">
        <is>
          <t>SÖDERMANLANDS LÄN</t>
        </is>
      </c>
      <c r="E7103" t="inlineStr">
        <is>
          <t>NYKÖPING</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45638</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54271-2024</t>
        </is>
      </c>
      <c r="B7105" s="1" t="n">
        <v>45616</v>
      </c>
      <c r="C7105" s="1" t="n">
        <v>45638</v>
      </c>
      <c r="D7105" t="inlineStr">
        <is>
          <t>SÖDERMANLANDS LÄN</t>
        </is>
      </c>
      <c r="E7105" t="inlineStr">
        <is>
          <t>STRÄNGNÄS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54307-2024</t>
        </is>
      </c>
      <c r="B7106" s="1" t="n">
        <v>45617</v>
      </c>
      <c r="C7106" s="1" t="n">
        <v>45638</v>
      </c>
      <c r="D7106" t="inlineStr">
        <is>
          <t>SÖDERMANLANDS LÄN</t>
        </is>
      </c>
      <c r="E7106" t="inlineStr">
        <is>
          <t>GNESTA</t>
        </is>
      </c>
      <c r="G7106" t="n">
        <v>34.8</v>
      </c>
      <c r="H7106" t="n">
        <v>0</v>
      </c>
      <c r="I7106" t="n">
        <v>0</v>
      </c>
      <c r="J7106" t="n">
        <v>0</v>
      </c>
      <c r="K7106" t="n">
        <v>0</v>
      </c>
      <c r="L7106" t="n">
        <v>0</v>
      </c>
      <c r="M7106" t="n">
        <v>0</v>
      </c>
      <c r="N7106" t="n">
        <v>0</v>
      </c>
      <c r="O7106" t="n">
        <v>0</v>
      </c>
      <c r="P7106" t="n">
        <v>0</v>
      </c>
      <c r="Q7106" t="n">
        <v>0</v>
      </c>
      <c r="R7106" s="2" t="inlineStr"/>
    </row>
    <row r="7107" ht="15" customHeight="1">
      <c r="A7107" t="inlineStr">
        <is>
          <t>A 54480-2024</t>
        </is>
      </c>
      <c r="B7107" s="1" t="n">
        <v>45617</v>
      </c>
      <c r="C7107" s="1" t="n">
        <v>45638</v>
      </c>
      <c r="D7107" t="inlineStr">
        <is>
          <t>SÖDERMANLANDS LÄN</t>
        </is>
      </c>
      <c r="E7107" t="inlineStr">
        <is>
          <t>ESKILSTUNA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54298-2024</t>
        </is>
      </c>
      <c r="B7108" s="1" t="n">
        <v>45617</v>
      </c>
      <c r="C7108" s="1" t="n">
        <v>45638</v>
      </c>
      <c r="D7108" t="inlineStr">
        <is>
          <t>SÖDERMANLANDS LÄN</t>
        </is>
      </c>
      <c r="E7108" t="inlineStr">
        <is>
          <t>FLEN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45638</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45638</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45638</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54930-2024</t>
        </is>
      </c>
      <c r="B7112" s="1" t="n">
        <v>45618</v>
      </c>
      <c r="C7112" s="1" t="n">
        <v>45638</v>
      </c>
      <c r="D7112" t="inlineStr">
        <is>
          <t>SÖDERMANLANDS LÄN</t>
        </is>
      </c>
      <c r="E7112" t="inlineStr">
        <is>
          <t>NYKÖPING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54927-2024</t>
        </is>
      </c>
      <c r="B7113" s="1" t="n">
        <v>45618</v>
      </c>
      <c r="C7113" s="1" t="n">
        <v>45638</v>
      </c>
      <c r="D7113" t="inlineStr">
        <is>
          <t>SÖDERMANLANDS LÄN</t>
        </is>
      </c>
      <c r="E7113" t="inlineStr">
        <is>
          <t>NYKÖPING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55673-2024</t>
        </is>
      </c>
      <c r="B7114" s="1" t="n">
        <v>45622</v>
      </c>
      <c r="C7114" s="1" t="n">
        <v>45638</v>
      </c>
      <c r="D7114" t="inlineStr">
        <is>
          <t>SÖDERMANLANDS LÄN</t>
        </is>
      </c>
      <c r="E7114" t="inlineStr">
        <is>
          <t>ESKILSTUNA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55619-2024</t>
        </is>
      </c>
      <c r="B7115" s="1" t="n">
        <v>45622</v>
      </c>
      <c r="C7115" s="1" t="n">
        <v>45638</v>
      </c>
      <c r="D7115" t="inlineStr">
        <is>
          <t>SÖDERMANLANDS LÄN</t>
        </is>
      </c>
      <c r="E7115" t="inlineStr">
        <is>
          <t>GNESTA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55699-2024</t>
        </is>
      </c>
      <c r="B7116" s="1" t="n">
        <v>45622</v>
      </c>
      <c r="C7116" s="1" t="n">
        <v>45638</v>
      </c>
      <c r="D7116" t="inlineStr">
        <is>
          <t>SÖDERMANLANDS LÄN</t>
        </is>
      </c>
      <c r="E7116" t="inlineStr">
        <is>
          <t>ESKILSTUNA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45638</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55988-2024</t>
        </is>
      </c>
      <c r="B7118" s="1" t="n">
        <v>45623</v>
      </c>
      <c r="C7118" s="1" t="n">
        <v>45638</v>
      </c>
      <c r="D7118" t="inlineStr">
        <is>
          <t>SÖDERMANLANDS LÄN</t>
        </is>
      </c>
      <c r="E7118" t="inlineStr">
        <is>
          <t>VINGÅKER</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56012-2024</t>
        </is>
      </c>
      <c r="B7119" s="1" t="n">
        <v>45623</v>
      </c>
      <c r="C7119" s="1" t="n">
        <v>45638</v>
      </c>
      <c r="D7119" t="inlineStr">
        <is>
          <t>SÖDERMANLANDS LÄN</t>
        </is>
      </c>
      <c r="E7119" t="inlineStr">
        <is>
          <t>STRÄNGNÄS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55994-2024</t>
        </is>
      </c>
      <c r="B7120" s="1" t="n">
        <v>45623</v>
      </c>
      <c r="C7120" s="1" t="n">
        <v>45638</v>
      </c>
      <c r="D7120" t="inlineStr">
        <is>
          <t>SÖDERMANLANDS LÄN</t>
        </is>
      </c>
      <c r="E7120" t="inlineStr">
        <is>
          <t>VINGÅKER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56007-2024</t>
        </is>
      </c>
      <c r="B7121" s="1" t="n">
        <v>45623</v>
      </c>
      <c r="C7121" s="1" t="n">
        <v>45638</v>
      </c>
      <c r="D7121" t="inlineStr">
        <is>
          <t>SÖDERMANLANDS LÄN</t>
        </is>
      </c>
      <c r="E7121" t="inlineStr">
        <is>
          <t>STRÄNGNÄS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45638</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45638</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56228-2024</t>
        </is>
      </c>
      <c r="B7124" s="1" t="n">
        <v>45624</v>
      </c>
      <c r="C7124" s="1" t="n">
        <v>45638</v>
      </c>
      <c r="D7124" t="inlineStr">
        <is>
          <t>SÖDERMANLANDS LÄN</t>
        </is>
      </c>
      <c r="E7124" t="inlineStr">
        <is>
          <t>NYKÖPING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45638</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56238-2024</t>
        </is>
      </c>
      <c r="B7126" s="1" t="n">
        <v>45624</v>
      </c>
      <c r="C7126" s="1" t="n">
        <v>45638</v>
      </c>
      <c r="D7126" t="inlineStr">
        <is>
          <t>SÖDERMANLANDS LÄN</t>
        </is>
      </c>
      <c r="E7126" t="inlineStr">
        <is>
          <t>NYKÖPING</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56307-2024</t>
        </is>
      </c>
      <c r="B7127" s="1" t="n">
        <v>45624</v>
      </c>
      <c r="C7127" s="1" t="n">
        <v>45638</v>
      </c>
      <c r="D7127" t="inlineStr">
        <is>
          <t>SÖDERMANLANDS LÄN</t>
        </is>
      </c>
      <c r="E7127" t="inlineStr">
        <is>
          <t>FLEN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45638</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56970-2024</t>
        </is>
      </c>
      <c r="B7129" s="1" t="n">
        <v>45628</v>
      </c>
      <c r="C7129" s="1" t="n">
        <v>45638</v>
      </c>
      <c r="D7129" t="inlineStr">
        <is>
          <t>SÖDERMANLANDS LÄN</t>
        </is>
      </c>
      <c r="E7129" t="inlineStr">
        <is>
          <t>VINGÅKER</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56988-2024</t>
        </is>
      </c>
      <c r="B7130" s="1" t="n">
        <v>45628</v>
      </c>
      <c r="C7130" s="1" t="n">
        <v>45638</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56954-2024</t>
        </is>
      </c>
      <c r="B7131" s="1" t="n">
        <v>45628</v>
      </c>
      <c r="C7131" s="1" t="n">
        <v>45638</v>
      </c>
      <c r="D7131" t="inlineStr">
        <is>
          <t>SÖDERMANLANDS LÄN</t>
        </is>
      </c>
      <c r="E7131" t="inlineStr">
        <is>
          <t>VINGÅKER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56994-2024</t>
        </is>
      </c>
      <c r="B7132" s="1" t="n">
        <v>45628</v>
      </c>
      <c r="C7132" s="1" t="n">
        <v>45638</v>
      </c>
      <c r="D7132" t="inlineStr">
        <is>
          <t>SÖDERMANLANDS LÄN</t>
        </is>
      </c>
      <c r="E7132" t="inlineStr">
        <is>
          <t>STRÄNGNÄS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57005-2024</t>
        </is>
      </c>
      <c r="B7133" s="1" t="n">
        <v>45628</v>
      </c>
      <c r="C7133" s="1" t="n">
        <v>45638</v>
      </c>
      <c r="D7133" t="inlineStr">
        <is>
          <t>SÖDERMANLANDS LÄN</t>
        </is>
      </c>
      <c r="E7133" t="inlineStr">
        <is>
          <t>TROSA</t>
        </is>
      </c>
      <c r="F7133" t="inlineStr">
        <is>
          <t>Kyrkan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56953-2024</t>
        </is>
      </c>
      <c r="B7134" s="1" t="n">
        <v>45628</v>
      </c>
      <c r="C7134" s="1" t="n">
        <v>45638</v>
      </c>
      <c r="D7134" t="inlineStr">
        <is>
          <t>SÖDERMANLANDS LÄN</t>
        </is>
      </c>
      <c r="E7134" t="inlineStr">
        <is>
          <t>VINGÅKER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56984-2024</t>
        </is>
      </c>
      <c r="B7135" s="1" t="n">
        <v>45628</v>
      </c>
      <c r="C7135" s="1" t="n">
        <v>45638</v>
      </c>
      <c r="D7135" t="inlineStr">
        <is>
          <t>SÖDERMANLANDS LÄN</t>
        </is>
      </c>
      <c r="E7135" t="inlineStr">
        <is>
          <t>STRÄNGNÄS</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56989-2024</t>
        </is>
      </c>
      <c r="B7136" s="1" t="n">
        <v>45628</v>
      </c>
      <c r="C7136" s="1" t="n">
        <v>45638</v>
      </c>
      <c r="D7136" t="inlineStr">
        <is>
          <t>SÖDERMANLANDS LÄN</t>
        </is>
      </c>
      <c r="E7136" t="inlineStr">
        <is>
          <t>STRÄNGNÄS</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57028-2024</t>
        </is>
      </c>
      <c r="B7137" s="1" t="n">
        <v>45628</v>
      </c>
      <c r="C7137" s="1" t="n">
        <v>45638</v>
      </c>
      <c r="D7137" t="inlineStr">
        <is>
          <t>SÖDERMANLANDS LÄN</t>
        </is>
      </c>
      <c r="E7137" t="inlineStr">
        <is>
          <t>NYKÖPING</t>
        </is>
      </c>
      <c r="F7137" t="inlineStr">
        <is>
          <t>Holmen skog AB</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57014-2024</t>
        </is>
      </c>
      <c r="B7138" s="1" t="n">
        <v>45628</v>
      </c>
      <c r="C7138" s="1" t="n">
        <v>45638</v>
      </c>
      <c r="D7138" t="inlineStr">
        <is>
          <t>SÖDERMANLANDS LÄN</t>
        </is>
      </c>
      <c r="E7138" t="inlineStr">
        <is>
          <t>GNESTA</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56987-2024</t>
        </is>
      </c>
      <c r="B7139" s="1" t="n">
        <v>45628</v>
      </c>
      <c r="C7139" s="1" t="n">
        <v>45638</v>
      </c>
      <c r="D7139" t="inlineStr">
        <is>
          <t>SÖDERMANLANDS LÄN</t>
        </is>
      </c>
      <c r="E7139" t="inlineStr">
        <is>
          <t>STRÄNGNÄS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57026-2024</t>
        </is>
      </c>
      <c r="B7140" s="1" t="n">
        <v>45628</v>
      </c>
      <c r="C7140" s="1" t="n">
        <v>45638</v>
      </c>
      <c r="D7140" t="inlineStr">
        <is>
          <t>SÖDERMANLANDS LÄN</t>
        </is>
      </c>
      <c r="E7140" t="inlineStr">
        <is>
          <t>NYKÖPING</t>
        </is>
      </c>
      <c r="F7140" t="inlineStr">
        <is>
          <t>Holmen skog AB</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57304-2024</t>
        </is>
      </c>
      <c r="B7141" s="1" t="n">
        <v>45628</v>
      </c>
      <c r="C7141" s="1" t="n">
        <v>45638</v>
      </c>
      <c r="D7141" t="inlineStr">
        <is>
          <t>SÖDERMANLANDS LÄN</t>
        </is>
      </c>
      <c r="E7141" t="inlineStr">
        <is>
          <t>KATRINEHOLM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45638</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45638</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57569-2024</t>
        </is>
      </c>
      <c r="B7144" s="1" t="n">
        <v>45630</v>
      </c>
      <c r="C7144" s="1" t="n">
        <v>45638</v>
      </c>
      <c r="D7144" t="inlineStr">
        <is>
          <t>SÖDERMANLANDS LÄN</t>
        </is>
      </c>
      <c r="E7144" t="inlineStr">
        <is>
          <t>GNESTA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57627-2024</t>
        </is>
      </c>
      <c r="B7145" s="1" t="n">
        <v>45630</v>
      </c>
      <c r="C7145" s="1" t="n">
        <v>45638</v>
      </c>
      <c r="D7145" t="inlineStr">
        <is>
          <t>SÖDERMANLANDS LÄN</t>
        </is>
      </c>
      <c r="E7145" t="inlineStr">
        <is>
          <t>NYKÖPING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57621-2024</t>
        </is>
      </c>
      <c r="B7146" s="1" t="n">
        <v>45630</v>
      </c>
      <c r="C7146" s="1" t="n">
        <v>45638</v>
      </c>
      <c r="D7146" t="inlineStr">
        <is>
          <t>SÖDERMANLANDS LÄN</t>
        </is>
      </c>
      <c r="E7146" t="inlineStr">
        <is>
          <t>NYKÖPING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57686-2024</t>
        </is>
      </c>
      <c r="B7147" s="1" t="n">
        <v>45630</v>
      </c>
      <c r="C7147" s="1" t="n">
        <v>45638</v>
      </c>
      <c r="D7147" t="inlineStr">
        <is>
          <t>SÖDERMANLANDS LÄN</t>
        </is>
      </c>
      <c r="E7147" t="inlineStr">
        <is>
          <t>FLEN</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57765-2024</t>
        </is>
      </c>
      <c r="B7148" s="1" t="n">
        <v>45630</v>
      </c>
      <c r="C7148" s="1" t="n">
        <v>45638</v>
      </c>
      <c r="D7148" t="inlineStr">
        <is>
          <t>SÖDERMANLANDS LÄN</t>
        </is>
      </c>
      <c r="E7148" t="inlineStr">
        <is>
          <t>GNESTA</t>
        </is>
      </c>
      <c r="F7148" t="inlineStr">
        <is>
          <t>Holmen skog AB</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57608-2024</t>
        </is>
      </c>
      <c r="B7149" s="1" t="n">
        <v>45630</v>
      </c>
      <c r="C7149" s="1" t="n">
        <v>45638</v>
      </c>
      <c r="D7149" t="inlineStr">
        <is>
          <t>SÖDERMANLANDS LÄN</t>
        </is>
      </c>
      <c r="E7149" t="inlineStr">
        <is>
          <t>VINGÅKER</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57616-2024</t>
        </is>
      </c>
      <c r="B7150" s="1" t="n">
        <v>45630</v>
      </c>
      <c r="C7150" s="1" t="n">
        <v>45638</v>
      </c>
      <c r="D7150" t="inlineStr">
        <is>
          <t>SÖDERMANLANDS LÄN</t>
        </is>
      </c>
      <c r="E7150" t="inlineStr">
        <is>
          <t>NYKÖPING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57633-2024</t>
        </is>
      </c>
      <c r="B7151" s="1" t="n">
        <v>45630</v>
      </c>
      <c r="C7151" s="1" t="n">
        <v>45638</v>
      </c>
      <c r="D7151" t="inlineStr">
        <is>
          <t>SÖDERMANLANDS LÄN</t>
        </is>
      </c>
      <c r="E7151" t="inlineStr">
        <is>
          <t>NYKÖPING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57762-2024</t>
        </is>
      </c>
      <c r="B7152" s="1" t="n">
        <v>45630</v>
      </c>
      <c r="C7152" s="1" t="n">
        <v>45638</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45638</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58635-2024</t>
        </is>
      </c>
      <c r="B7154" s="1" t="n">
        <v>45632</v>
      </c>
      <c r="C7154" s="1" t="n">
        <v>45638</v>
      </c>
      <c r="D7154" t="inlineStr">
        <is>
          <t>SÖDERMANLANDS LÄN</t>
        </is>
      </c>
      <c r="E7154" t="inlineStr">
        <is>
          <t>FLEN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58631-2024</t>
        </is>
      </c>
      <c r="B7155" s="1" t="n">
        <v>45632</v>
      </c>
      <c r="C7155" s="1" t="n">
        <v>45638</v>
      </c>
      <c r="D7155" t="inlineStr">
        <is>
          <t>SÖDERMANLANDS LÄN</t>
        </is>
      </c>
      <c r="E7155" t="inlineStr">
        <is>
          <t>FLEN</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58445-2024</t>
        </is>
      </c>
      <c r="B7156" s="1" t="n">
        <v>45635</v>
      </c>
      <c r="C7156" s="1" t="n">
        <v>45638</v>
      </c>
      <c r="D7156" t="inlineStr">
        <is>
          <t>SÖDERMANLANDS LÄN</t>
        </is>
      </c>
      <c r="E7156" t="inlineStr">
        <is>
          <t>FLEN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58457-2024</t>
        </is>
      </c>
      <c r="B7157" s="1" t="n">
        <v>45635</v>
      </c>
      <c r="C7157" s="1" t="n">
        <v>45638</v>
      </c>
      <c r="D7157" t="inlineStr">
        <is>
          <t>SÖDERMANLANDS LÄN</t>
        </is>
      </c>
      <c r="E7157" t="inlineStr">
        <is>
          <t>FLEN</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58494-2024</t>
        </is>
      </c>
      <c r="B7158" s="1" t="n">
        <v>45635</v>
      </c>
      <c r="C7158" s="1" t="n">
        <v>45638</v>
      </c>
      <c r="D7158" t="inlineStr">
        <is>
          <t>SÖDERMANLANDS LÄN</t>
        </is>
      </c>
      <c r="E7158" t="inlineStr">
        <is>
          <t>ESKILSTUNA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58502-2024</t>
        </is>
      </c>
      <c r="B7159" s="1" t="n">
        <v>45635</v>
      </c>
      <c r="C7159" s="1" t="n">
        <v>45638</v>
      </c>
      <c r="D7159" t="inlineStr">
        <is>
          <t>SÖDERMANLANDS LÄN</t>
        </is>
      </c>
      <c r="E7159" t="inlineStr">
        <is>
          <t>ESKILSTUNA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58501-2024</t>
        </is>
      </c>
      <c r="B7160" s="1" t="n">
        <v>45635</v>
      </c>
      <c r="C7160" s="1" t="n">
        <v>45638</v>
      </c>
      <c r="D7160" t="inlineStr">
        <is>
          <t>SÖDERMANLANDS LÄN</t>
        </is>
      </c>
      <c r="E7160" t="inlineStr">
        <is>
          <t>ESKILSTUNA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58522-2024</t>
        </is>
      </c>
      <c r="B7161" s="1" t="n">
        <v>45635</v>
      </c>
      <c r="C7161" s="1" t="n">
        <v>45638</v>
      </c>
      <c r="D7161" t="inlineStr">
        <is>
          <t>SÖDERMANLANDS LÄN</t>
        </is>
      </c>
      <c r="E7161" t="inlineStr">
        <is>
          <t>KATRINEHOLM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58652-2024</t>
        </is>
      </c>
      <c r="B7162" s="1" t="n">
        <v>45635</v>
      </c>
      <c r="C7162" s="1" t="n">
        <v>45638</v>
      </c>
      <c r="D7162" t="inlineStr">
        <is>
          <t>SÖDERMANLANDS LÄN</t>
        </is>
      </c>
      <c r="E7162" t="inlineStr">
        <is>
          <t>NYKÖPING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58516-2024</t>
        </is>
      </c>
      <c r="B7163" s="1" t="n">
        <v>45635</v>
      </c>
      <c r="C7163" s="1" t="n">
        <v>45638</v>
      </c>
      <c r="D7163" t="inlineStr">
        <is>
          <t>SÖDERMANLANDS LÄN</t>
        </is>
      </c>
      <c r="E7163" t="inlineStr">
        <is>
          <t>ESKILSTUNA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58553-2024</t>
        </is>
      </c>
      <c r="B7164" s="1" t="n">
        <v>45635</v>
      </c>
      <c r="C7164" s="1" t="n">
        <v>45638</v>
      </c>
      <c r="D7164" t="inlineStr">
        <is>
          <t>SÖDERMANLANDS LÄN</t>
        </is>
      </c>
      <c r="E7164" t="inlineStr">
        <is>
          <t>NYKÖPING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58443-2024</t>
        </is>
      </c>
      <c r="B7165" s="1" t="n">
        <v>45635</v>
      </c>
      <c r="C7165" s="1" t="n">
        <v>45638</v>
      </c>
      <c r="D7165" t="inlineStr">
        <is>
          <t>SÖDERMANLANDS LÄN</t>
        </is>
      </c>
      <c r="E7165" t="inlineStr">
        <is>
          <t>FLEN</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58503-2024</t>
        </is>
      </c>
      <c r="B7166" s="1" t="n">
        <v>45635</v>
      </c>
      <c r="C7166" s="1" t="n">
        <v>45638</v>
      </c>
      <c r="D7166" t="inlineStr">
        <is>
          <t>SÖDERMANLANDS LÄN</t>
        </is>
      </c>
      <c r="E7166" t="inlineStr">
        <is>
          <t>ESKILSTUNA</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58528-2024</t>
        </is>
      </c>
      <c r="B7167" s="1" t="n">
        <v>45635</v>
      </c>
      <c r="C7167" s="1" t="n">
        <v>45638</v>
      </c>
      <c r="D7167" t="inlineStr">
        <is>
          <t>SÖDERMANLANDS LÄN</t>
        </is>
      </c>
      <c r="E7167" t="inlineStr">
        <is>
          <t>KATRINEHOLM</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58556-2024</t>
        </is>
      </c>
      <c r="B7168" s="1" t="n">
        <v>45635</v>
      </c>
      <c r="C7168" s="1" t="n">
        <v>45638</v>
      </c>
      <c r="D7168" t="inlineStr">
        <is>
          <t>SÖDERMANLANDS LÄN</t>
        </is>
      </c>
      <c r="E7168" t="inlineStr">
        <is>
          <t>NYKÖPING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58766-2024</t>
        </is>
      </c>
      <c r="B7169" s="1" t="n">
        <v>45635</v>
      </c>
      <c r="C7169" s="1" t="n">
        <v>45638</v>
      </c>
      <c r="D7169" t="inlineStr">
        <is>
          <t>SÖDERMANLANDS LÄN</t>
        </is>
      </c>
      <c r="E7169" t="inlineStr">
        <is>
          <t>VINGÅKER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58834-2024</t>
        </is>
      </c>
      <c r="B7170" s="1" t="n">
        <v>45636</v>
      </c>
      <c r="C7170" s="1" t="n">
        <v>45638</v>
      </c>
      <c r="D7170" t="inlineStr">
        <is>
          <t>SÖDERMANLANDS LÄN</t>
        </is>
      </c>
      <c r="E7170" t="inlineStr">
        <is>
          <t>FLEN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58818-2024</t>
        </is>
      </c>
      <c r="B7171" s="1" t="n">
        <v>45636</v>
      </c>
      <c r="C7171" s="1" t="n">
        <v>45638</v>
      </c>
      <c r="D7171" t="inlineStr">
        <is>
          <t>SÖDERMANLANDS LÄN</t>
        </is>
      </c>
      <c r="E7171" t="inlineStr">
        <is>
          <t>FLEN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58828-2024</t>
        </is>
      </c>
      <c r="B7172" s="1" t="n">
        <v>45636</v>
      </c>
      <c r="C7172" s="1" t="n">
        <v>45638</v>
      </c>
      <c r="D7172" t="inlineStr">
        <is>
          <t>SÖDERMANLANDS LÄN</t>
        </is>
      </c>
      <c r="E7172" t="inlineStr">
        <is>
          <t>FLEN</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59042-2024</t>
        </is>
      </c>
      <c r="B7173" s="1" t="n">
        <v>45636</v>
      </c>
      <c r="C7173" s="1" t="n">
        <v>45638</v>
      </c>
      <c r="D7173" t="inlineStr">
        <is>
          <t>SÖDERMANLANDS LÄN</t>
        </is>
      </c>
      <c r="E7173" t="inlineStr">
        <is>
          <t>VINGÅKER</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58908-2024</t>
        </is>
      </c>
      <c r="B7174" s="1" t="n">
        <v>45636</v>
      </c>
      <c r="C7174" s="1" t="n">
        <v>45638</v>
      </c>
      <c r="D7174" t="inlineStr">
        <is>
          <t>SÖDERMANLANDS LÄN</t>
        </is>
      </c>
      <c r="E7174" t="inlineStr">
        <is>
          <t>VINGÅKER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58887-2024</t>
        </is>
      </c>
      <c r="B7175" s="1" t="n">
        <v>45636</v>
      </c>
      <c r="C7175" s="1" t="n">
        <v>45638</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59093-2024</t>
        </is>
      </c>
      <c r="B7176" s="1" t="n">
        <v>45636</v>
      </c>
      <c r="C7176" s="1" t="n">
        <v>45638</v>
      </c>
      <c r="D7176" t="inlineStr">
        <is>
          <t>SÖDERMANLANDS LÄN</t>
        </is>
      </c>
      <c r="E7176" t="inlineStr">
        <is>
          <t>KATRINEHOLM</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59214-2024</t>
        </is>
      </c>
      <c r="B7177" s="1" t="n">
        <v>45636</v>
      </c>
      <c r="C7177" s="1" t="n">
        <v>45638</v>
      </c>
      <c r="D7177" t="inlineStr">
        <is>
          <t>SÖDERMANLANDS LÄN</t>
        </is>
      </c>
      <c r="E7177" t="inlineStr">
        <is>
          <t>NYKÖPING</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58893-2024</t>
        </is>
      </c>
      <c r="B7178" s="1" t="n">
        <v>45636</v>
      </c>
      <c r="C7178" s="1" t="n">
        <v>45638</v>
      </c>
      <c r="D7178" t="inlineStr">
        <is>
          <t>SÖDERMANLANDS LÄN</t>
        </is>
      </c>
      <c r="E7178" t="inlineStr">
        <is>
          <t>VINGÅKER</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59138-2024</t>
        </is>
      </c>
      <c r="B7179" s="1" t="n">
        <v>45637</v>
      </c>
      <c r="C7179" s="1" t="n">
        <v>45638</v>
      </c>
      <c r="D7179" t="inlineStr">
        <is>
          <t>SÖDERMANLANDS LÄN</t>
        </is>
      </c>
      <c r="E7179" t="inlineStr">
        <is>
          <t>ESKILSTUNA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59148-2024</t>
        </is>
      </c>
      <c r="B7180" s="1" t="n">
        <v>45637</v>
      </c>
      <c r="C7180" s="1" t="n">
        <v>45638</v>
      </c>
      <c r="D7180" t="inlineStr">
        <is>
          <t>SÖDERMANLANDS LÄN</t>
        </is>
      </c>
      <c r="E7180" t="inlineStr">
        <is>
          <t>NYKÖPING</t>
        </is>
      </c>
      <c r="G7180" t="n">
        <v>1.1</v>
      </c>
      <c r="H7180" t="n">
        <v>0</v>
      </c>
      <c r="I7180" t="n">
        <v>0</v>
      </c>
      <c r="J7180" t="n">
        <v>0</v>
      </c>
      <c r="K7180" t="n">
        <v>0</v>
      </c>
      <c r="L7180" t="n">
        <v>0</v>
      </c>
      <c r="M7180" t="n">
        <v>0</v>
      </c>
      <c r="N7180" t="n">
        <v>0</v>
      </c>
      <c r="O7180" t="n">
        <v>0</v>
      </c>
      <c r="P7180" t="n">
        <v>0</v>
      </c>
      <c r="Q7180" t="n">
        <v>0</v>
      </c>
      <c r="R7180" s="2" t="inlineStr"/>
    </row>
    <row r="7181">
      <c r="A7181" t="inlineStr">
        <is>
          <t>A 59160-2024</t>
        </is>
      </c>
      <c r="B7181" s="1" t="n">
        <v>45637</v>
      </c>
      <c r="C7181" s="1" t="n">
        <v>45638</v>
      </c>
      <c r="D7181" t="inlineStr">
        <is>
          <t>SÖDERMANLANDS LÄN</t>
        </is>
      </c>
      <c r="E7181" t="inlineStr">
        <is>
          <t>NYKÖPING</t>
        </is>
      </c>
      <c r="F7181" t="inlineStr">
        <is>
          <t>Sveaskog</t>
        </is>
      </c>
      <c r="G7181" t="n">
        <v>4.3</v>
      </c>
      <c r="H7181" t="n">
        <v>0</v>
      </c>
      <c r="I7181" t="n">
        <v>0</v>
      </c>
      <c r="J7181" t="n">
        <v>0</v>
      </c>
      <c r="K7181" t="n">
        <v>0</v>
      </c>
      <c r="L7181" t="n">
        <v>0</v>
      </c>
      <c r="M7181" t="n">
        <v>0</v>
      </c>
      <c r="N7181" t="n">
        <v>0</v>
      </c>
      <c r="O7181" t="n">
        <v>0</v>
      </c>
      <c r="P7181" t="n">
        <v>0</v>
      </c>
      <c r="Q7181" t="n">
        <v>0</v>
      </c>
      <c r="R7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2024-12-12T15:48:53Z</dcterms:created>
  <dcterms:modified xmlns:dcterms="http://purl.org/dc/terms/" xmlns:xsi="http://www.w3.org/2001/XMLSchema-instance" xsi:type="dcterms:W3CDTF">2024-12-12T15:48:59Z</dcterms:modified>
</cp:coreProperties>
</file>